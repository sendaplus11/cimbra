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DI Nob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Formulario 1 - Propuesta económica - Centro de Desarrollo Infantil, Nobsa (transcrito del PDF oficial de SECOP II)</t>
        </is>
      </c>
    </row>
    <row r="2">
      <c r="A2" t="inlineStr">
        <is>
          <t>ITEM</t>
        </is>
      </c>
      <c r="B2" t="inlineStr">
        <is>
          <t>DESCRIPCIÓN</t>
        </is>
      </c>
      <c r="C2" t="inlineStr">
        <is>
          <t>UND.</t>
        </is>
      </c>
      <c r="D2" t="inlineStr">
        <is>
          <t>CANTIDAD</t>
        </is>
      </c>
      <c r="E2" t="inlineStr">
        <is>
          <t>VALOR UNITARIO</t>
        </is>
      </c>
      <c r="F2" t="inlineStr">
        <is>
          <t>VALOR TOTAL</t>
        </is>
      </c>
    </row>
    <row r="3">
      <c r="A3" t="inlineStr">
        <is>
          <t>CAP. 1</t>
        </is>
      </c>
      <c r="B3" t="inlineStr">
        <is>
          <t>PRELIMINARES</t>
        </is>
      </c>
    </row>
    <row r="4">
      <c r="A4" t="inlineStr">
        <is>
          <t>1,01</t>
        </is>
      </c>
      <c r="B4" t="inlineStr">
        <is>
          <t>LOCALIZACIÓN Y REPLANTEO DE OBRA ARQUITECTÓNICA</t>
        </is>
      </c>
      <c r="C4" t="inlineStr">
        <is>
          <t>M2</t>
        </is>
      </c>
      <c r="D4" t="n">
        <v>1152.97</v>
      </c>
      <c r="E4" t="n">
        <v>10063.04</v>
      </c>
      <c r="F4" t="n">
        <v>11602383</v>
      </c>
    </row>
    <row r="5">
      <c r="A5" t="inlineStr"/>
      <c r="B5" t="inlineStr">
        <is>
          <t>Subtotal</t>
        </is>
      </c>
      <c r="C5" t="inlineStr"/>
      <c r="D5" t="inlineStr"/>
      <c r="E5" t="inlineStr"/>
      <c r="F5">
        <f>SUM(F4:F4)</f>
        <v/>
      </c>
    </row>
    <row r="6">
      <c r="A6" t="inlineStr">
        <is>
          <t>CAP. 2</t>
        </is>
      </c>
      <c r="B6" t="inlineStr">
        <is>
          <t>EXCAVACIONES Y RELLENOS</t>
        </is>
      </c>
    </row>
    <row r="7">
      <c r="A7" t="inlineStr">
        <is>
          <t>2,01</t>
        </is>
      </c>
      <c r="B7" t="inlineStr">
        <is>
          <t>EXCAVACIÓNES MECANICAS VARIAS EN MATERIAL COMUN SECO. (INCLUYE ACARREO LIBRE HASTA 5 KM.)</t>
        </is>
      </c>
      <c r="C7" t="inlineStr">
        <is>
          <t>M3-KM</t>
        </is>
      </c>
      <c r="D7" t="n">
        <v>4212.5</v>
      </c>
      <c r="E7" t="n">
        <v>35041.7</v>
      </c>
      <c r="F7" t="n">
        <v>147613161</v>
      </c>
    </row>
    <row r="8">
      <c r="A8" t="inlineStr">
        <is>
          <t>2,02</t>
        </is>
      </c>
      <c r="B8" t="inlineStr">
        <is>
          <t>EXCAVACIÓN MANUAL EN MATERIAL COMUN</t>
        </is>
      </c>
      <c r="C8" t="inlineStr">
        <is>
          <t>M3</t>
        </is>
      </c>
      <c r="D8" t="n">
        <v>148.14</v>
      </c>
      <c r="E8" t="n">
        <v>91750.92</v>
      </c>
      <c r="F8" t="n">
        <v>13591981</v>
      </c>
    </row>
    <row r="9">
      <c r="A9" t="inlineStr">
        <is>
          <t>2,03</t>
        </is>
      </c>
      <c r="B9" t="inlineStr">
        <is>
          <t>BASE EN MATERIAL DE AFIRMADO COMPACTADO</t>
        </is>
      </c>
      <c r="C9" t="inlineStr">
        <is>
          <t>M3</t>
        </is>
      </c>
      <c r="D9" t="n">
        <v>57.64</v>
      </c>
      <c r="E9" t="n">
        <v>120748.98</v>
      </c>
      <c r="F9" t="n">
        <v>6959971</v>
      </c>
    </row>
    <row r="10">
      <c r="A10" t="inlineStr">
        <is>
          <t>2,04</t>
        </is>
      </c>
      <c r="B10" t="inlineStr">
        <is>
          <t>TRANSPORTE DE MATERIAL DE AFIRMADO Y/O GRANULAR SUELTO (MEDIDO EN BANCO) DESPUÉS DE 5 KM.</t>
        </is>
      </c>
      <c r="C10" t="inlineStr">
        <is>
          <t>M3-KM</t>
        </is>
      </c>
      <c r="D10" t="n">
        <v>196.01</v>
      </c>
      <c r="E10" t="n">
        <v>3594.63</v>
      </c>
      <c r="F10" t="n">
        <v>704583</v>
      </c>
    </row>
    <row r="11">
      <c r="A11" t="inlineStr"/>
      <c r="B11" t="inlineStr">
        <is>
          <t>Subtotal</t>
        </is>
      </c>
      <c r="C11" t="inlineStr"/>
      <c r="D11" t="inlineStr"/>
      <c r="E11" t="inlineStr"/>
      <c r="F11">
        <f>SUM(F7:F10)</f>
        <v/>
      </c>
    </row>
    <row r="12">
      <c r="A12" t="inlineStr">
        <is>
          <t>CAP. 3</t>
        </is>
      </c>
      <c r="B12" t="inlineStr">
        <is>
          <t>CIMENTACIÓN Y ESTRCUTURA</t>
        </is>
      </c>
    </row>
    <row r="13">
      <c r="A13" t="inlineStr">
        <is>
          <t>3,01</t>
        </is>
      </c>
      <c r="B13" t="inlineStr">
        <is>
          <t>SOLADO EN CONCRETO DE ESPESOR E = 0.05 M. 14 MPa (2000 PSI)</t>
        </is>
      </c>
      <c r="C13" t="inlineStr">
        <is>
          <t>M2</t>
        </is>
      </c>
      <c r="D13" t="n">
        <v>287.28</v>
      </c>
      <c r="E13" t="n">
        <v>43895.86</v>
      </c>
      <c r="F13" t="n">
        <v>12610403</v>
      </c>
    </row>
    <row r="14">
      <c r="A14" t="inlineStr">
        <is>
          <t>3,02</t>
        </is>
      </c>
      <c r="B14" t="inlineStr">
        <is>
          <t>SUMINISTRO, FIGURADA Y AMARRE DE ACERO DE 420 MPa (60000 PSI)</t>
        </is>
      </c>
      <c r="C14" t="inlineStr">
        <is>
          <t>KG</t>
        </is>
      </c>
      <c r="D14" t="n">
        <v>46688.58</v>
      </c>
      <c r="E14" t="n">
        <v>10077.34</v>
      </c>
      <c r="F14" t="n">
        <v>470496695</v>
      </c>
    </row>
    <row r="15">
      <c r="A15" t="inlineStr">
        <is>
          <t>3,03</t>
        </is>
      </c>
      <c r="B15" t="inlineStr">
        <is>
          <t>CONCRETO PARA ZAPATAS DE 21 MPa (3000 PSI) + FORMALETA MADERA</t>
        </is>
      </c>
      <c r="C15" t="inlineStr">
        <is>
          <t>M3</t>
        </is>
      </c>
      <c r="D15" t="n">
        <v>26.97</v>
      </c>
      <c r="E15" t="n">
        <v>1205868.29</v>
      </c>
      <c r="F15" t="n">
        <v>32522268</v>
      </c>
    </row>
    <row r="16">
      <c r="A16" t="inlineStr">
        <is>
          <t>3,04</t>
        </is>
      </c>
      <c r="B16" t="inlineStr">
        <is>
          <t>CONCRETO PARA VIGA DE AMARRE 21 MPa (3000 PSI) SECCION RECTANGULAR</t>
        </is>
      </c>
      <c r="C16" t="inlineStr">
        <is>
          <t>M3</t>
        </is>
      </c>
      <c r="D16" t="n">
        <v>87.16</v>
      </c>
      <c r="E16" t="n">
        <v>1165018.34</v>
      </c>
      <c r="F16" t="n">
        <v>101542999</v>
      </c>
    </row>
    <row r="17">
      <c r="A17" t="inlineStr">
        <is>
          <t>3,05</t>
        </is>
      </c>
      <c r="B17" t="inlineStr">
        <is>
          <t>SUMINISTRO E INSTALACIÓN DE MALLA ELECTROSOLDADA</t>
        </is>
      </c>
      <c r="C17" t="inlineStr">
        <is>
          <t>KG</t>
        </is>
      </c>
      <c r="D17" t="n">
        <v>3336.93</v>
      </c>
      <c r="E17" t="n">
        <v>9747.48</v>
      </c>
      <c r="F17" t="n">
        <v>32526658</v>
      </c>
    </row>
    <row r="18">
      <c r="A18" t="inlineStr">
        <is>
          <t>3,06</t>
        </is>
      </c>
      <c r="B18" t="inlineStr">
        <is>
          <t>LOSA MACIZA PARA CIMIENTO EN CONCRETO DE 21 MPa (3000 PSI) H = 10 CM.</t>
        </is>
      </c>
      <c r="C18" t="inlineStr">
        <is>
          <t>M2</t>
        </is>
      </c>
      <c r="D18" t="n">
        <v>1114.95</v>
      </c>
      <c r="E18" t="n">
        <v>140542</v>
      </c>
      <c r="F18" t="n">
        <v>156697303</v>
      </c>
    </row>
    <row r="19">
      <c r="A19" t="inlineStr">
        <is>
          <t>3,07</t>
        </is>
      </c>
      <c r="B19" t="inlineStr">
        <is>
          <t>COLUMNAS Y PEDESTALES EN CONCRETO DE 21 MPa - (3000 PSI), H &gt; 3.01 M. (FORMALETA MADERA)</t>
        </is>
      </c>
      <c r="C19" t="inlineStr">
        <is>
          <t>M3</t>
        </is>
      </c>
      <c r="D19" t="n">
        <v>62.55</v>
      </c>
      <c r="E19" t="n">
        <v>1669709.94</v>
      </c>
      <c r="F19" t="n">
        <v>104440357</v>
      </c>
    </row>
    <row r="20">
      <c r="A20" t="inlineStr">
        <is>
          <t>3,08</t>
        </is>
      </c>
      <c r="B20" t="inlineStr">
        <is>
          <t>VIGA AÉREA EN CONCRETO DE 21 MPa - (3000 PSI)</t>
        </is>
      </c>
      <c r="C20" t="inlineStr">
        <is>
          <t>M3</t>
        </is>
      </c>
      <c r="D20" t="n">
        <v>100.02</v>
      </c>
      <c r="E20" t="n">
        <v>1932227.25</v>
      </c>
      <c r="F20" t="n">
        <v>193261370</v>
      </c>
    </row>
    <row r="21">
      <c r="A21" t="inlineStr"/>
      <c r="B21" t="inlineStr">
        <is>
          <t>Subtotal</t>
        </is>
      </c>
      <c r="C21" t="inlineStr"/>
      <c r="D21" t="inlineStr"/>
      <c r="E21" t="inlineStr"/>
      <c r="F21">
        <f>SUM(F13:F20)</f>
        <v/>
      </c>
    </row>
    <row r="22">
      <c r="A22" t="inlineStr">
        <is>
          <t>CAP. 4</t>
        </is>
      </c>
      <c r="B22" t="inlineStr">
        <is>
          <t>CUBIERTA</t>
        </is>
      </c>
    </row>
    <row r="23">
      <c r="A23" t="inlineStr">
        <is>
          <t>4,01</t>
        </is>
      </c>
      <c r="B23" t="inlineStr">
        <is>
          <t>SUMINISTRO E INSTALACIÓN PERFILERIA METALICA PARA ESTRUCTURA DE CUBIERTA DE EDIFICACIONES. DIMENSIONES Y</t>
        </is>
      </c>
      <c r="C23" t="inlineStr">
        <is>
          <t>KG</t>
        </is>
      </c>
      <c r="D23" t="n">
        <v>5340.65</v>
      </c>
      <c r="E23" t="n">
        <v>28641.24</v>
      </c>
      <c r="F23" t="n">
        <v>152962838</v>
      </c>
    </row>
    <row r="24">
      <c r="A24" t="inlineStr">
        <is>
          <t>4,02</t>
        </is>
      </c>
      <c r="B24" t="inlineStr">
        <is>
          <t>SUMINISTRO E INSTALACIÓN TEJA TERMOACUSTICA TIPO TRAPEZOIDAL</t>
        </is>
      </c>
      <c r="C24" t="inlineStr">
        <is>
          <t>M2</t>
        </is>
      </c>
      <c r="D24" t="n">
        <v>805.6900000000001</v>
      </c>
      <c r="E24" t="n">
        <v>116463.47</v>
      </c>
      <c r="F24" t="n">
        <v>93833453</v>
      </c>
    </row>
    <row r="25">
      <c r="A25" t="inlineStr">
        <is>
          <t>4,03</t>
        </is>
      </c>
      <c r="B25" t="inlineStr">
        <is>
          <t>VIGA CANAL EN CONCRETO IMPERMEABILZADO DE 21 MPa - (3000 PSI)</t>
        </is>
      </c>
      <c r="C25" t="inlineStr">
        <is>
          <t>M3</t>
        </is>
      </c>
      <c r="D25" t="n">
        <v>10.95</v>
      </c>
      <c r="E25" t="n">
        <v>1834956.26</v>
      </c>
      <c r="F25" t="n">
        <v>20092771</v>
      </c>
    </row>
    <row r="26">
      <c r="A26" t="inlineStr">
        <is>
          <t>4,04</t>
        </is>
      </c>
      <c r="B26" t="inlineStr">
        <is>
          <t>SUMINISTRO E INSTALACIÓN DE ESMALTE SINTÉTICO PARA ESTRUCTURA METALICA. (INCLUYE BASE EN ANTICORROSIVO).</t>
        </is>
      </c>
      <c r="C26" t="inlineStr">
        <is>
          <t>KG</t>
        </is>
      </c>
      <c r="D26" t="n">
        <v>5340.65</v>
      </c>
      <c r="E26" t="n">
        <v>5485.15</v>
      </c>
      <c r="F26" t="n">
        <v>29294266</v>
      </c>
    </row>
    <row r="27">
      <c r="A27" t="inlineStr"/>
      <c r="B27" t="inlineStr">
        <is>
          <t>Subtotal</t>
        </is>
      </c>
      <c r="C27" t="inlineStr"/>
      <c r="D27" t="inlineStr"/>
      <c r="E27" t="inlineStr"/>
      <c r="F27">
        <f>SUM(F23:F26)</f>
        <v/>
      </c>
    </row>
    <row r="28">
      <c r="A28" t="inlineStr">
        <is>
          <t>CAP. 5</t>
        </is>
      </c>
      <c r="B28" t="inlineStr">
        <is>
          <t>MAMPOSTERIA</t>
        </is>
      </c>
    </row>
    <row r="29">
      <c r="A29" t="inlineStr">
        <is>
          <t>5,01</t>
        </is>
      </c>
      <c r="B29" t="inlineStr">
        <is>
          <t>MURO EN MAMPOSTERÍA DE LADRILLO ESTRUCTURAL E = 0.15 M.</t>
        </is>
      </c>
      <c r="C29" t="inlineStr">
        <is>
          <t>M2</t>
        </is>
      </c>
      <c r="D29" t="n">
        <v>1848.57</v>
      </c>
      <c r="E29" t="n">
        <v>218347.17</v>
      </c>
      <c r="F29" t="n">
        <v>403630028</v>
      </c>
    </row>
    <row r="30">
      <c r="A30" t="inlineStr">
        <is>
          <t>5,02</t>
        </is>
      </c>
      <c r="B30" t="inlineStr">
        <is>
          <t>MESONES EN CONCRETO A = 0.60 M. 17.5 MPa - (2500 PSI) INCLUYE REFUERZO, E = 0.10 M.</t>
        </is>
      </c>
      <c r="C30" t="inlineStr">
        <is>
          <t>M3</t>
        </is>
      </c>
      <c r="D30" t="n">
        <v>57.69</v>
      </c>
      <c r="E30" t="n">
        <v>246062.94</v>
      </c>
      <c r="F30" t="n">
        <v>14195371</v>
      </c>
    </row>
    <row r="31">
      <c r="A31" t="inlineStr">
        <is>
          <t>5,03</t>
        </is>
      </c>
      <c r="B31" t="inlineStr">
        <is>
          <t>POYOS EN CONCRETO DE 17.5 (2500 PSI) PARA COCINA Y BASE DE MUEBLES.(A = 60 CM. E = 8 CM)</t>
        </is>
      </c>
      <c r="C31" t="inlineStr">
        <is>
          <t>M2</t>
        </is>
      </c>
      <c r="D31" t="n">
        <v>9.26</v>
      </c>
      <c r="E31" t="n">
        <v>99594.02</v>
      </c>
      <c r="F31" t="n">
        <v>922241</v>
      </c>
    </row>
    <row r="32">
      <c r="A32" t="inlineStr">
        <is>
          <t>5,04</t>
        </is>
      </c>
      <c r="B32" t="inlineStr">
        <is>
          <t>VIGA DE AMARRE SOBRE MURO DE 21 MPa - (3000 PSI).</t>
        </is>
      </c>
      <c r="C32" t="inlineStr">
        <is>
          <t>M3</t>
        </is>
      </c>
      <c r="D32" t="n">
        <v>35.27</v>
      </c>
      <c r="E32" t="n">
        <v>1427958.82</v>
      </c>
      <c r="F32" t="n">
        <v>50364108</v>
      </c>
    </row>
    <row r="33">
      <c r="A33" t="inlineStr"/>
      <c r="B33" t="inlineStr">
        <is>
          <t>Subtotal</t>
        </is>
      </c>
      <c r="C33" t="inlineStr"/>
      <c r="D33" t="inlineStr"/>
      <c r="E33" t="inlineStr"/>
      <c r="F33">
        <f>SUM(F29:F32)</f>
        <v/>
      </c>
    </row>
    <row r="34">
      <c r="A34" t="inlineStr">
        <is>
          <t>CAP. 6</t>
        </is>
      </c>
      <c r="B34" t="inlineStr">
        <is>
          <t>PAÑETES</t>
        </is>
      </c>
    </row>
    <row r="35">
      <c r="A35" t="inlineStr">
        <is>
          <t>6,01</t>
        </is>
      </c>
      <c r="B35" t="inlineStr">
        <is>
          <t>PAÑETE LISO MUROS 1:4</t>
        </is>
      </c>
      <c r="C35" t="inlineStr">
        <is>
          <t>M2</t>
        </is>
      </c>
      <c r="D35" t="n">
        <v>1848.57</v>
      </c>
      <c r="E35" t="n">
        <v>47029.65</v>
      </c>
      <c r="F35" t="n">
        <v>86937600</v>
      </c>
    </row>
    <row r="36">
      <c r="A36" t="inlineStr">
        <is>
          <t>6,02</t>
        </is>
      </c>
      <c r="B36" t="inlineStr">
        <is>
          <t>PAÑETE IMPERMEABILIZADO 1:3</t>
        </is>
      </c>
      <c r="C36" t="inlineStr">
        <is>
          <t>M2</t>
        </is>
      </c>
      <c r="D36" t="n">
        <v>986.73</v>
      </c>
      <c r="E36" t="n">
        <v>50582.42</v>
      </c>
      <c r="F36" t="n">
        <v>49911191</v>
      </c>
    </row>
    <row r="37">
      <c r="A37" t="inlineStr">
        <is>
          <t>6,03</t>
        </is>
      </c>
      <c r="B37" t="inlineStr">
        <is>
          <t>FILOS Y DILATACIONES EN PAÑETES</t>
        </is>
      </c>
      <c r="C37" t="inlineStr">
        <is>
          <t>ML</t>
        </is>
      </c>
      <c r="D37" t="n">
        <v>864</v>
      </c>
      <c r="E37" t="n">
        <v>16636.63</v>
      </c>
      <c r="F37" t="n">
        <v>14374048</v>
      </c>
    </row>
    <row r="38">
      <c r="A38" t="inlineStr"/>
      <c r="B38" t="inlineStr">
        <is>
          <t>Subtotal</t>
        </is>
      </c>
      <c r="C38" t="inlineStr"/>
      <c r="D38" t="inlineStr"/>
      <c r="E38" t="inlineStr"/>
      <c r="F38">
        <f>SUM(F35:F37)</f>
        <v/>
      </c>
    </row>
    <row r="39">
      <c r="A39" t="inlineStr">
        <is>
          <t>CAP. 7</t>
        </is>
      </c>
      <c r="B39" t="inlineStr">
        <is>
          <t>PISOS Y ACABADOS</t>
        </is>
      </c>
    </row>
    <row r="40">
      <c r="A40" t="inlineStr">
        <is>
          <t>7,01</t>
        </is>
      </c>
      <c r="B40" t="inlineStr">
        <is>
          <t>ALISTADO DE PISO 1:3 IMPERMEABILIZADO, E = 4.0 CM.</t>
        </is>
      </c>
      <c r="C40" t="inlineStr">
        <is>
          <t>M2</t>
        </is>
      </c>
      <c r="D40" t="n">
        <v>1024.67</v>
      </c>
      <c r="E40" t="n">
        <v>57629.29</v>
      </c>
      <c r="F40" t="n">
        <v>59051005</v>
      </c>
    </row>
    <row r="41">
      <c r="A41" t="inlineStr">
        <is>
          <t>7,02</t>
        </is>
      </c>
      <c r="B41" t="inlineStr">
        <is>
          <t>PISO EN CERÁMICA</t>
        </is>
      </c>
      <c r="C41" t="inlineStr">
        <is>
          <t>M2</t>
        </is>
      </c>
      <c r="D41" t="n">
        <v>1024.67</v>
      </c>
      <c r="E41" t="n">
        <v>119910.51</v>
      </c>
      <c r="F41" t="n">
        <v>122868702</v>
      </c>
    </row>
    <row r="42">
      <c r="A42" t="inlineStr">
        <is>
          <t>7,03</t>
        </is>
      </c>
      <c r="B42" t="inlineStr">
        <is>
          <t>SUMINISTRO E INSTALACIÓN DE GUARDAESCOBA EN BALDOSÍN DE GRANITO DE H = 7.0 A 8.0 CM.</t>
        </is>
      </c>
      <c r="C42" t="inlineStr">
        <is>
          <t>ML</t>
        </is>
      </c>
      <c r="D42" t="n">
        <v>746.9299999999999</v>
      </c>
      <c r="E42" t="n">
        <v>59938.53</v>
      </c>
      <c r="F42" t="n">
        <v>44769886</v>
      </c>
    </row>
    <row r="43">
      <c r="A43" t="inlineStr"/>
      <c r="B43" t="inlineStr">
        <is>
          <t>Subtotal</t>
        </is>
      </c>
      <c r="C43" t="inlineStr"/>
      <c r="D43" t="inlineStr"/>
      <c r="E43" t="inlineStr"/>
      <c r="F43">
        <f>SUM(F40:F42)</f>
        <v/>
      </c>
    </row>
    <row r="44">
      <c r="A44" t="inlineStr">
        <is>
          <t>CAP. 8</t>
        </is>
      </c>
      <c r="B44" t="inlineStr">
        <is>
          <t>CARPINTERIA METALICA</t>
        </is>
      </c>
    </row>
    <row r="45">
      <c r="A45" t="inlineStr">
        <is>
          <t>8,01</t>
        </is>
      </c>
      <c r="B45" t="inlineStr">
        <is>
          <t>SUMINSITRO E INSTALACIÓN DE VENTANA EN LÁMINA COLD ROLLED CAL.18 CON VIDRIO. (INCLUYE ANTICORROSIVO)</t>
        </is>
      </c>
      <c r="C45" t="inlineStr">
        <is>
          <t>M2</t>
        </is>
      </c>
      <c r="D45" t="n">
        <v>184.89</v>
      </c>
      <c r="E45" t="n">
        <v>364746.15</v>
      </c>
      <c r="F45" t="n">
        <v>67437916</v>
      </c>
    </row>
    <row r="46">
      <c r="A46" t="inlineStr">
        <is>
          <t>8,02</t>
        </is>
      </c>
      <c r="B46" t="inlineStr">
        <is>
          <t>SUMINISTRO E INSTALACIÓN DE PUERTA VENTANA EN LÁMINA CAL 18 INC. ANTICORR. (INCLUYE MARCO Y VIDRIO)</t>
        </is>
      </c>
      <c r="C46" t="inlineStr">
        <is>
          <t>M2</t>
        </is>
      </c>
      <c r="D46" t="n">
        <v>87.61</v>
      </c>
      <c r="E46" t="n">
        <v>422681.42</v>
      </c>
      <c r="F46" t="n">
        <v>37031119</v>
      </c>
    </row>
    <row r="47">
      <c r="A47" t="inlineStr">
        <is>
          <t>8,03</t>
        </is>
      </c>
      <c r="B47" t="inlineStr">
        <is>
          <t>SUMINISTRO E INSTALACIÓN DE PUERTA Y MARCO EN LÁMINA COLD ROLLED CAL. 18 (INCLUYE ANTICORROSIVO)</t>
        </is>
      </c>
      <c r="C47" t="inlineStr">
        <is>
          <t>UND</t>
        </is>
      </c>
      <c r="D47" t="n">
        <v>44</v>
      </c>
      <c r="E47" t="n">
        <v>1027669.75</v>
      </c>
      <c r="F47" t="n">
        <v>45217469</v>
      </c>
    </row>
    <row r="48">
      <c r="A48" t="inlineStr"/>
      <c r="B48" t="inlineStr">
        <is>
          <t>Subtotal</t>
        </is>
      </c>
      <c r="C48" t="inlineStr"/>
      <c r="D48" t="inlineStr"/>
      <c r="E48" t="inlineStr"/>
      <c r="F48">
        <f>SUM(F45:F47)</f>
        <v/>
      </c>
    </row>
    <row r="49">
      <c r="A49" t="inlineStr">
        <is>
          <t>CAP. 9</t>
        </is>
      </c>
      <c r="B49" t="inlineStr">
        <is>
          <t>APARATOS SANITARIOS</t>
        </is>
      </c>
    </row>
    <row r="50">
      <c r="A50" t="inlineStr">
        <is>
          <t>9,01</t>
        </is>
      </c>
      <c r="B50" t="inlineStr">
        <is>
          <t>SUMINISTRO E INSTALACIÓN DE LAVAMANOS INFANTIL</t>
        </is>
      </c>
      <c r="C50" t="inlineStr">
        <is>
          <t>UND</t>
        </is>
      </c>
      <c r="D50" t="n">
        <v>22</v>
      </c>
      <c r="E50" t="n">
        <v>169475.57</v>
      </c>
      <c r="F50" t="n">
        <v>3728463</v>
      </c>
    </row>
    <row r="51">
      <c r="A51" t="inlineStr">
        <is>
          <t>9,02</t>
        </is>
      </c>
      <c r="B51" t="inlineStr">
        <is>
          <t>SUMINISTRO E INSTALACIÓN DE COMBO SANITARIO. INCLUYE GRIFERÍAS Y ACCESORIOS</t>
        </is>
      </c>
      <c r="C51" t="inlineStr">
        <is>
          <t>UND</t>
        </is>
      </c>
      <c r="D51" t="n">
        <v>34</v>
      </c>
      <c r="E51" t="n">
        <v>933886.3100000001</v>
      </c>
      <c r="F51" t="n">
        <v>31752135</v>
      </c>
    </row>
    <row r="52">
      <c r="A52" t="inlineStr">
        <is>
          <t>9,03</t>
        </is>
      </c>
      <c r="B52" t="inlineStr">
        <is>
          <t>SUMINISTRO E INSTALACIÓN GRIFERÍA PARA DUCHA SENCILLA</t>
        </is>
      </c>
      <c r="C52" t="inlineStr">
        <is>
          <t>UND</t>
        </is>
      </c>
      <c r="D52" t="n">
        <v>2</v>
      </c>
      <c r="E52" t="n">
        <v>180484.97</v>
      </c>
      <c r="F52" t="n">
        <v>360970</v>
      </c>
    </row>
    <row r="53">
      <c r="A53" t="inlineStr">
        <is>
          <t>9,04</t>
        </is>
      </c>
      <c r="B53" t="inlineStr">
        <is>
          <t>MURETE PARA DUCHA DE 0.10 X 0.20 M.</t>
        </is>
      </c>
      <c r="C53" t="inlineStr">
        <is>
          <t>ML</t>
        </is>
      </c>
      <c r="D53" t="n">
        <v>16</v>
      </c>
      <c r="E53" t="n">
        <v>110130.17</v>
      </c>
      <c r="F53" t="n">
        <v>1762083</v>
      </c>
    </row>
    <row r="54">
      <c r="A54" t="inlineStr"/>
      <c r="B54" t="inlineStr">
        <is>
          <t>Subtotal</t>
        </is>
      </c>
      <c r="C54" t="inlineStr"/>
      <c r="D54" t="inlineStr"/>
      <c r="E54" t="inlineStr"/>
      <c r="F54">
        <f>SUM(F50:F53)</f>
        <v/>
      </c>
    </row>
    <row r="55">
      <c r="A55" t="inlineStr">
        <is>
          <t>CAP. 10</t>
        </is>
      </c>
      <c r="B55" t="inlineStr">
        <is>
          <t>VIDRIOS Y CERRADURAS</t>
        </is>
      </c>
    </row>
    <row r="56">
      <c r="A56" t="inlineStr">
        <is>
          <t>10,01</t>
        </is>
      </c>
      <c r="B56" t="inlineStr">
        <is>
          <t>SUMINISTRO E INSTALACIÓN DE ESPEJO DE 4 MM. SIN BICEL</t>
        </is>
      </c>
      <c r="C56" t="inlineStr">
        <is>
          <t>M2</t>
        </is>
      </c>
      <c r="D56" t="n">
        <v>9.119999999999999</v>
      </c>
      <c r="E56" t="n">
        <v>126635.42</v>
      </c>
      <c r="F56" t="n">
        <v>1154915</v>
      </c>
    </row>
    <row r="57">
      <c r="A57" t="inlineStr">
        <is>
          <t>10,02</t>
        </is>
      </c>
      <c r="B57" t="inlineStr">
        <is>
          <t>CERRADURA BAÑO DE PALANCA METÁLICA USO INSTITUCIONAL</t>
        </is>
      </c>
      <c r="C57" t="inlineStr">
        <is>
          <t>UND</t>
        </is>
      </c>
      <c r="D57" t="n">
        <v>33</v>
      </c>
      <c r="E57" t="n">
        <v>127981.23</v>
      </c>
      <c r="F57" t="n">
        <v>4223381</v>
      </c>
    </row>
    <row r="58">
      <c r="A58" t="inlineStr">
        <is>
          <t>10,03</t>
        </is>
      </c>
      <c r="B58" t="inlineStr">
        <is>
          <t>SUMINISTRO E INSTALACIÓN DE CERRADURA DOBLE CILINDRO TIPO YALE 105 O SIMILAR</t>
        </is>
      </c>
      <c r="C58" t="inlineStr">
        <is>
          <t>UND</t>
        </is>
      </c>
      <c r="D58" t="n">
        <v>26</v>
      </c>
      <c r="E58" t="n">
        <v>171794.42</v>
      </c>
      <c r="F58" t="n">
        <v>4466655</v>
      </c>
    </row>
    <row r="59">
      <c r="A59" t="inlineStr"/>
      <c r="B59" t="inlineStr">
        <is>
          <t>Subtotal</t>
        </is>
      </c>
      <c r="C59" t="inlineStr"/>
      <c r="D59" t="inlineStr"/>
      <c r="E59" t="inlineStr"/>
      <c r="F59">
        <f>SUM(F56:F58)</f>
        <v/>
      </c>
    </row>
    <row r="60">
      <c r="A60" t="inlineStr">
        <is>
          <t>CAP. 11</t>
        </is>
      </c>
      <c r="B60" t="inlineStr">
        <is>
          <t>INSTALACIONES HIDRÁULICAS Y SANITARIAS</t>
        </is>
      </c>
    </row>
    <row r="61">
      <c r="A61" t="inlineStr">
        <is>
          <t>11,01</t>
        </is>
      </c>
      <c r="B61" t="inlineStr">
        <is>
          <t>BASE EN MATERIAL DE AFIRMADO COMPACTADO</t>
        </is>
      </c>
      <c r="C61" t="inlineStr">
        <is>
          <t>M3</t>
        </is>
      </c>
      <c r="D61" t="n">
        <v>6.05</v>
      </c>
      <c r="E61" t="n">
        <v>121956.47</v>
      </c>
      <c r="F61" t="n">
        <v>737837</v>
      </c>
    </row>
    <row r="62">
      <c r="A62" t="inlineStr">
        <is>
          <t>11,1</t>
        </is>
      </c>
      <c r="B62" t="inlineStr">
        <is>
          <t>SUMINISTRO E INSTALACIÓN DE REGISTRO DE BOLA ROSCADO PVC DE 3/4" T.P.</t>
        </is>
      </c>
      <c r="C62" t="inlineStr">
        <is>
          <t>UND</t>
        </is>
      </c>
      <c r="D62" t="n">
        <v>20</v>
      </c>
      <c r="E62" t="n">
        <v>39411.84</v>
      </c>
      <c r="F62" t="n">
        <v>788237</v>
      </c>
    </row>
    <row r="63">
      <c r="A63" t="inlineStr">
        <is>
          <t>11,02</t>
        </is>
      </c>
      <c r="B63" t="inlineStr">
        <is>
          <t>CONCRETO PARA VIGA DE AMARRE 21 MPa (3000 PSI) SECCION RECTANGULAR</t>
        </is>
      </c>
      <c r="C63" t="inlineStr">
        <is>
          <t>M3</t>
        </is>
      </c>
      <c r="D63" t="n">
        <v>2.86</v>
      </c>
      <c r="E63" t="n">
        <v>1165018.34</v>
      </c>
      <c r="F63" t="n">
        <v>3331952</v>
      </c>
    </row>
    <row r="64">
      <c r="A64" t="inlineStr">
        <is>
          <t>11,03</t>
        </is>
      </c>
      <c r="B64" t="inlineStr">
        <is>
          <t>CONCRETO SIMPLE DE 21 MPa - (3000 PSI) IMPERMEABILIZADO PARA MUROS</t>
        </is>
      </c>
      <c r="C64" t="inlineStr">
        <is>
          <t>M3</t>
        </is>
      </c>
      <c r="D64" t="n">
        <v>13.75</v>
      </c>
      <c r="E64" t="n">
        <v>1664760.67</v>
      </c>
      <c r="F64" t="n">
        <v>22890459</v>
      </c>
    </row>
    <row r="65">
      <c r="A65" t="inlineStr">
        <is>
          <t>11,04</t>
        </is>
      </c>
      <c r="B65" t="inlineStr">
        <is>
          <t>SUMINISTRO, FIGURADA Y AMARRE DE ACERO DE 420 MPa (60000 PSI)</t>
        </is>
      </c>
      <c r="C65" t="inlineStr">
        <is>
          <t>KG</t>
        </is>
      </c>
      <c r="D65" t="n">
        <v>2911.17</v>
      </c>
      <c r="E65" t="n">
        <v>10077.34</v>
      </c>
      <c r="F65" t="n">
        <v>29336850</v>
      </c>
    </row>
    <row r="66">
      <c r="A66" t="inlineStr">
        <is>
          <t>11,05</t>
        </is>
      </c>
      <c r="B66" t="inlineStr">
        <is>
          <t>CONCRETO SIMPLE DE 21 MPa - (3000 PSI) IMPERMEABILIZADO PARA PLACAS PISOS</t>
        </is>
      </c>
      <c r="C66" t="inlineStr">
        <is>
          <t>M3</t>
        </is>
      </c>
      <c r="D66" t="n">
        <v>15.13</v>
      </c>
      <c r="E66" t="n">
        <v>1352968.94</v>
      </c>
      <c r="F66" t="n">
        <v>20470420</v>
      </c>
    </row>
    <row r="67">
      <c r="A67" t="inlineStr">
        <is>
          <t>11,06</t>
        </is>
      </c>
      <c r="B67" t="inlineStr">
        <is>
          <t>SUMINISTRO E INSTALACIÓN DE TUBERÍA PVC DE 3/4" T.P, PARA RED DE SUMINISTRO.</t>
        </is>
      </c>
      <c r="C67" t="inlineStr">
        <is>
          <t>ML</t>
        </is>
      </c>
      <c r="D67" t="n">
        <v>548</v>
      </c>
      <c r="E67" t="n">
        <v>13912.26</v>
      </c>
      <c r="F67" t="n">
        <v>7623918</v>
      </c>
    </row>
    <row r="68">
      <c r="A68" t="inlineStr">
        <is>
          <t>11,07</t>
        </is>
      </c>
      <c r="B68" t="inlineStr">
        <is>
          <t>DE SUMINISTRO. SUMINISTRO E INSTALACIÓN DE CODO CPVC DE 3/4"</t>
        </is>
      </c>
      <c r="C68" t="inlineStr">
        <is>
          <t>UND</t>
        </is>
      </c>
      <c r="D68" t="n">
        <v>419</v>
      </c>
      <c r="E68" t="n">
        <v>7706.9</v>
      </c>
      <c r="F68" t="n">
        <v>3229191</v>
      </c>
    </row>
    <row r="69">
      <c r="A69" t="inlineStr">
        <is>
          <t>11,08</t>
        </is>
      </c>
      <c r="B69" t="inlineStr">
        <is>
          <t>SUMINISTRO E INSTALACIÓN VÁLVULA COMPUERTA H.D. D = 3/4" - 01</t>
        </is>
      </c>
      <c r="C69" t="inlineStr">
        <is>
          <t>UND</t>
        </is>
      </c>
      <c r="D69" t="n">
        <v>20</v>
      </c>
      <c r="E69" t="n">
        <v>343235.12</v>
      </c>
      <c r="F69" t="n">
        <v>6864702</v>
      </c>
    </row>
    <row r="70">
      <c r="A70" t="inlineStr">
        <is>
          <t>11,09</t>
        </is>
      </c>
      <c r="B70" t="inlineStr">
        <is>
          <t>EXTREMO BRIDA SELLO ELASTICO, 250 PSI SUMINISTRO E INSTALACIÓN DE SEMICODO CPVC DE 3/4"</t>
        </is>
      </c>
      <c r="C70" t="inlineStr">
        <is>
          <t>UND</t>
        </is>
      </c>
      <c r="D70" t="n">
        <v>24</v>
      </c>
      <c r="E70" t="n">
        <v>7680.64</v>
      </c>
      <c r="F70" t="n">
        <v>184335</v>
      </c>
    </row>
    <row r="71">
      <c r="A71" t="inlineStr">
        <is>
          <t>11,11</t>
        </is>
      </c>
      <c r="B71" t="inlineStr">
        <is>
          <t>DE 3/4" T.P. - 02                          SUMINISTRO E INSTALACIÓN DE ELECTROBOMBA 2HP</t>
        </is>
      </c>
      <c r="C71" t="inlineStr">
        <is>
          <t>UND</t>
        </is>
      </c>
      <c r="D71" t="n">
        <v>1</v>
      </c>
      <c r="E71" t="n">
        <v>3576290.13</v>
      </c>
      <c r="F71" t="n">
        <v>3576290</v>
      </c>
    </row>
    <row r="72">
      <c r="A72" t="inlineStr">
        <is>
          <t>11,12</t>
        </is>
      </c>
      <c r="B72" t="inlineStr">
        <is>
          <t>SUMINISTRO E INSTALACIÓN DE TUBERÍA PVC SANITARIA D = 4"</t>
        </is>
      </c>
      <c r="C72" t="inlineStr">
        <is>
          <t>ML</t>
        </is>
      </c>
      <c r="D72" t="n">
        <v>181.28</v>
      </c>
      <c r="E72" t="n">
        <v>68357.35000000001</v>
      </c>
      <c r="F72" t="n">
        <v>12391820</v>
      </c>
    </row>
    <row r="73">
      <c r="A73" t="inlineStr">
        <is>
          <t>11,13</t>
        </is>
      </c>
      <c r="B73" t="inlineStr">
        <is>
          <t>SUMINISTRO E INSTALACIÓN TUBERÍA DE ALCANTARILLADO PVC D= 6"</t>
        </is>
      </c>
      <c r="C73" t="inlineStr">
        <is>
          <t>ML</t>
        </is>
      </c>
      <c r="D73" t="n">
        <v>67.13</v>
      </c>
      <c r="E73" t="n">
        <v>96051.56</v>
      </c>
      <c r="F73" t="n">
        <v>6447941</v>
      </c>
    </row>
    <row r="74">
      <c r="A74" t="inlineStr">
        <is>
          <t>11,14</t>
        </is>
      </c>
      <c r="B74" t="inlineStr">
        <is>
          <t>CAJAS DE INSPECCIÓN EN LADRILLO DE 1.20 X 1.20 X 1.20 M. (NO INCLUYE TAPA).</t>
        </is>
      </c>
      <c r="C74" t="inlineStr">
        <is>
          <t>UND</t>
        </is>
      </c>
      <c r="D74" t="n">
        <v>1</v>
      </c>
      <c r="E74" t="n">
        <v>1185262.56</v>
      </c>
      <c r="F74" t="n">
        <v>1185263</v>
      </c>
    </row>
    <row r="75">
      <c r="A75" t="inlineStr">
        <is>
          <t>11,15</t>
        </is>
      </c>
      <c r="B75" t="inlineStr">
        <is>
          <t>INCLUYE TAPA). PUNTO SANITARIO O DE DESAGUES DE 2"</t>
        </is>
      </c>
      <c r="C75" t="inlineStr">
        <is>
          <t>UND</t>
        </is>
      </c>
      <c r="D75" t="n">
        <v>97</v>
      </c>
      <c r="E75" t="n">
        <v>108485.31</v>
      </c>
      <c r="F75" t="n">
        <v>10523075</v>
      </c>
    </row>
    <row r="76">
      <c r="A76" t="inlineStr"/>
      <c r="B76" t="inlineStr">
        <is>
          <t>Subtotal</t>
        </is>
      </c>
      <c r="C76" t="inlineStr"/>
      <c r="D76" t="inlineStr"/>
      <c r="E76" t="inlineStr"/>
      <c r="F76">
        <f>SUM(F61:F75)</f>
        <v/>
      </c>
    </row>
    <row r="77">
      <c r="A77" t="inlineStr">
        <is>
          <t>CAP. 12</t>
        </is>
      </c>
      <c r="B77" t="inlineStr">
        <is>
          <t>RED CONTRA INCENDIOS</t>
        </is>
      </c>
    </row>
    <row r="78">
      <c r="A78" t="inlineStr">
        <is>
          <t>12,01</t>
        </is>
      </c>
      <c r="B78" t="inlineStr">
        <is>
          <t>SUMINISTRO E INSTALACIÓN DE SIAMESA EN U DE 4X2</t>
        </is>
      </c>
      <c r="C78" t="inlineStr">
        <is>
          <t>UND</t>
        </is>
      </c>
      <c r="D78" t="n">
        <v>1</v>
      </c>
      <c r="E78" t="n">
        <v>3428271.41</v>
      </c>
      <c r="F78" t="n">
        <v>3428271</v>
      </c>
    </row>
    <row r="79">
      <c r="A79" t="inlineStr">
        <is>
          <t>12,1</t>
        </is>
      </c>
      <c r="B79" t="inlineStr">
        <is>
          <t>(UNION CADA 50 M) - 03                          EQUIPO DE BOMBEO DISEL DE 250 GPM - 35 MCA + BOMBA JOCKEY</t>
        </is>
      </c>
      <c r="C79" t="inlineStr">
        <is>
          <t>UND</t>
        </is>
      </c>
      <c r="D79" t="n">
        <v>1</v>
      </c>
      <c r="E79" t="n">
        <v>111583895.38</v>
      </c>
      <c r="F79" t="n">
        <v>111583895</v>
      </c>
    </row>
    <row r="80">
      <c r="A80" t="inlineStr">
        <is>
          <t>12,02</t>
        </is>
      </c>
      <c r="B80" t="inlineStr">
        <is>
          <t>EXCAVACIÓN MANUAL EN MATERIAL COMÚN</t>
        </is>
      </c>
      <c r="C80" t="inlineStr">
        <is>
          <t>M3</t>
        </is>
      </c>
      <c r="D80" t="n">
        <v>68</v>
      </c>
      <c r="E80" t="n">
        <v>91750.92</v>
      </c>
      <c r="F80" t="n">
        <v>6239063</v>
      </c>
    </row>
    <row r="81">
      <c r="A81" t="inlineStr">
        <is>
          <t>12,03</t>
        </is>
      </c>
      <c r="B81" t="inlineStr">
        <is>
          <t>RELLENO CON MATERIAL DE SITIO, COMPACTADO CON PLANCHA VIBRATORIA (RANA)</t>
        </is>
      </c>
      <c r="C81" t="inlineStr">
        <is>
          <t>M3</t>
        </is>
      </c>
      <c r="D81" t="n">
        <v>43.52</v>
      </c>
      <c r="E81" t="n">
        <v>36095.46</v>
      </c>
      <c r="F81" t="n">
        <v>1570874</v>
      </c>
    </row>
    <row r="82">
      <c r="A82" t="inlineStr">
        <is>
          <t>12,04</t>
        </is>
      </c>
      <c r="B82" t="inlineStr">
        <is>
          <t>SUMINISTRO E INSTALACIÓN DE SALIDA PARA DETECTOR DE HUMO. INCLUYE TUBERÍA, CABLE AISLADO FPLR NO. 16 Y ELEMENTOS DE</t>
        </is>
      </c>
      <c r="C82" t="inlineStr">
        <is>
          <t>UND</t>
        </is>
      </c>
      <c r="D82" t="n">
        <v>26</v>
      </c>
      <c r="E82" t="n">
        <v>403548.78</v>
      </c>
      <c r="F82" t="n">
        <v>10492268</v>
      </c>
    </row>
    <row r="83">
      <c r="A83" t="inlineStr">
        <is>
          <t>12,05</t>
        </is>
      </c>
      <c r="B83" t="inlineStr">
        <is>
          <t>SUMINISTRO E INSTALACIÓN DE SALIDA PARA DETECTOR TÉRMICO. INCLUYE TUBERÍA, CABLE AISLADO FPLR NO. 16 Y ELEMENTOS DE</t>
        </is>
      </c>
      <c r="C83" t="inlineStr">
        <is>
          <t>UND</t>
        </is>
      </c>
      <c r="D83" t="n">
        <v>6</v>
      </c>
      <c r="E83" t="n">
        <v>403221.84</v>
      </c>
      <c r="F83" t="n">
        <v>2419331</v>
      </c>
    </row>
    <row r="84">
      <c r="A84" t="inlineStr">
        <is>
          <t>12,06</t>
        </is>
      </c>
      <c r="B84" t="inlineStr">
        <is>
          <t>SUMNISTRO E INSTALACIÓN DE TUBERÍA DE ACERO AL CARBÓN SCH40 DE 2 1/2"</t>
        </is>
      </c>
      <c r="C84" t="inlineStr">
        <is>
          <t>ML</t>
        </is>
      </c>
      <c r="D84" t="n">
        <v>7</v>
      </c>
      <c r="E84" t="n">
        <v>114884.43</v>
      </c>
      <c r="F84" t="n">
        <v>804191</v>
      </c>
    </row>
    <row r="85">
      <c r="A85" t="inlineStr">
        <is>
          <t>12,07</t>
        </is>
      </c>
      <c r="B85" t="inlineStr">
        <is>
          <t>SUMINISTRO E INSTALACIÓN DE GABINETE PARA RED CONTRA INCENDIOS TIPO III</t>
        </is>
      </c>
      <c r="C85" t="inlineStr">
        <is>
          <t>UND</t>
        </is>
      </c>
      <c r="D85" t="n">
        <v>7</v>
      </c>
      <c r="E85" t="n">
        <v>2196073.66</v>
      </c>
      <c r="F85" t="n">
        <v>15372516</v>
      </c>
    </row>
    <row r="86">
      <c r="A86" t="inlineStr">
        <is>
          <t>12,08</t>
        </is>
      </c>
      <c r="B86" t="inlineStr">
        <is>
          <t>UNIÓN POR MEDIO DE TERMOFUSIÓN PARA TUBERÍA Y ACCESORIOS PEAD DE 110 MM- 90 MM- 63 MM</t>
        </is>
      </c>
      <c r="C86" t="inlineStr">
        <is>
          <t>UND</t>
        </is>
      </c>
      <c r="D86" t="n">
        <v>7</v>
      </c>
      <c r="E86" t="n">
        <v>163519.58</v>
      </c>
      <c r="F86" t="n">
        <v>1144637</v>
      </c>
    </row>
    <row r="87">
      <c r="A87" t="inlineStr">
        <is>
          <t>12,09</t>
        </is>
      </c>
      <c r="B87" t="inlineStr">
        <is>
          <t>SUMINISTRO E INSTALACIÓN TUBERÍA PN 16 DIAMETRO 110 mm (UNION CADA 50 M)</t>
        </is>
      </c>
      <c r="C87" t="inlineStr">
        <is>
          <t>ML</t>
        </is>
      </c>
      <c r="D87" t="n">
        <v>340</v>
      </c>
      <c r="E87" t="n">
        <v>93300.17</v>
      </c>
      <c r="F87" t="n">
        <v>31722058</v>
      </c>
    </row>
    <row r="88">
      <c r="A88" t="inlineStr">
        <is>
          <t>12,11</t>
        </is>
      </c>
      <c r="B88" t="inlineStr">
        <is>
          <t>- 04                          EQUIPO DE BOMBEO DE 70 GPM - 45 MCA</t>
        </is>
      </c>
      <c r="C88" t="inlineStr">
        <is>
          <t>UND</t>
        </is>
      </c>
      <c r="D88" t="n">
        <v>1</v>
      </c>
      <c r="E88" t="n">
        <v>3735492.93</v>
      </c>
      <c r="F88" t="n">
        <v>3735493</v>
      </c>
    </row>
    <row r="89">
      <c r="A89" t="inlineStr"/>
      <c r="B89" t="inlineStr">
        <is>
          <t>Subtotal</t>
        </is>
      </c>
      <c r="C89" t="inlineStr"/>
      <c r="D89" t="inlineStr"/>
      <c r="E89" t="inlineStr"/>
      <c r="F89">
        <f>SUM(F78:F88)</f>
        <v/>
      </c>
    </row>
    <row r="90">
      <c r="A90" t="inlineStr">
        <is>
          <t>CAP. 13</t>
        </is>
      </c>
      <c r="B90" t="inlineStr">
        <is>
          <t>INSTALACIONES ELÉCTRICAS - LUMINARIAS - LÁMPARAS</t>
        </is>
      </c>
    </row>
    <row r="91">
      <c r="A91" t="inlineStr">
        <is>
          <t>13,01</t>
        </is>
      </c>
      <c r="B91" t="inlineStr">
        <is>
          <t>SUMINISTRO E INSTALACIÓN DE SALIDA DE ILUMINACIÓN EXPUESTA EN CALIBRE 12 AWG (F, N, T) EN DUCTO EMT 3/4"</t>
        </is>
      </c>
      <c r="C91" t="inlineStr">
        <is>
          <t>UND</t>
        </is>
      </c>
      <c r="D91" t="n">
        <v>350</v>
      </c>
      <c r="E91" t="n">
        <v>197097.25</v>
      </c>
      <c r="F91" t="n">
        <v>68984038</v>
      </c>
    </row>
    <row r="92">
      <c r="A92" t="inlineStr">
        <is>
          <t>13,1</t>
        </is>
      </c>
      <c r="B92" t="inlineStr">
        <is>
          <t>SUMINISTRO E INSTALACIÓN DE TUBERÍA PVC CONDUIT DE 2". (TIPO PESADO - DB)</t>
        </is>
      </c>
      <c r="C92" t="inlineStr">
        <is>
          <t>ML</t>
        </is>
      </c>
      <c r="D92" t="n">
        <v>131</v>
      </c>
      <c r="E92" t="n">
        <v>21713.04</v>
      </c>
      <c r="F92" t="n">
        <v>2844408</v>
      </c>
    </row>
    <row r="93">
      <c r="A93" t="inlineStr">
        <is>
          <t>13,02</t>
        </is>
      </c>
      <c r="B93" t="inlineStr">
        <is>
          <t>SUMINISTRO E INSTALACIÓN DE SALIDA COMPLETA PARA TOMACORRIENTE BIFÁSICO, EN CALIBRE 10 AWG (2F, T) FREETOX -</t>
        </is>
      </c>
      <c r="C93" t="inlineStr">
        <is>
          <t>UND</t>
        </is>
      </c>
      <c r="D93" t="n">
        <v>44</v>
      </c>
      <c r="E93" t="n">
        <v>177748.99</v>
      </c>
      <c r="F93" t="n">
        <v>7820956</v>
      </c>
    </row>
    <row r="94">
      <c r="A94" t="inlineStr">
        <is>
          <t>13,03</t>
        </is>
      </c>
      <c r="B94" t="inlineStr">
        <is>
          <t>SUMINISTRO E INSTALACIÓN DE LUMINARIA LED TIPO HIGH BAY DE 200 W</t>
        </is>
      </c>
      <c r="C94" t="inlineStr">
        <is>
          <t>UND</t>
        </is>
      </c>
      <c r="D94" t="n">
        <v>305</v>
      </c>
      <c r="E94" t="n">
        <v>833270.08</v>
      </c>
      <c r="F94" t="n">
        <v>254147374</v>
      </c>
    </row>
    <row r="95">
      <c r="A95" t="inlineStr">
        <is>
          <t>13,04</t>
        </is>
      </c>
      <c r="B95" t="inlineStr">
        <is>
          <t>200 W SUMINISTRO E INSTALACIÓN DE REFLECTOR LED DE 20 W</t>
        </is>
      </c>
      <c r="C95" t="inlineStr">
        <is>
          <t>UND</t>
        </is>
      </c>
      <c r="D95" t="n">
        <v>272</v>
      </c>
      <c r="E95" t="n">
        <v>95305.56</v>
      </c>
      <c r="F95" t="n">
        <v>25923112</v>
      </c>
    </row>
    <row r="96">
      <c r="A96" t="inlineStr">
        <is>
          <t>13,05</t>
        </is>
      </c>
      <c r="B96" t="inlineStr">
        <is>
          <t>SUMINISTRO, INSTALACIÓN Y CONEXIONADO DE CABLE CONCENTRICO (ANTIFRAUDE) No. 2 x 8 +8 AWG EN COBRE</t>
        </is>
      </c>
      <c r="C96" t="inlineStr">
        <is>
          <t>ML</t>
        </is>
      </c>
      <c r="D96" t="n">
        <v>42</v>
      </c>
      <c r="E96" t="n">
        <v>44567.82</v>
      </c>
      <c r="F96" t="n">
        <v>1871848</v>
      </c>
    </row>
    <row r="97">
      <c r="A97" t="inlineStr">
        <is>
          <t>13,06</t>
        </is>
      </c>
      <c r="B97" t="inlineStr">
        <is>
          <t>SUMINISTRO E INSTALACIÓN DE TABLERO DE DISTRIBUCIÓN BIFASICO DE 12 CIRCUITOS.</t>
        </is>
      </c>
      <c r="C97" t="inlineStr">
        <is>
          <t>UND</t>
        </is>
      </c>
      <c r="D97" t="n">
        <v>4</v>
      </c>
      <c r="E97" t="n">
        <v>367248.99</v>
      </c>
      <c r="F97" t="n">
        <v>1468996</v>
      </c>
    </row>
    <row r="98">
      <c r="A98" t="inlineStr">
        <is>
          <t>13,07</t>
        </is>
      </c>
      <c r="B98" t="inlineStr">
        <is>
          <t>VARILLA COOPER WELD DE 14 28MM X 2 40 DE COBRE MACIZO, - 05</t>
        </is>
      </c>
      <c r="C98" t="inlineStr">
        <is>
          <t>UND</t>
        </is>
      </c>
      <c r="D98" t="n">
        <v>4</v>
      </c>
      <c r="E98" t="n">
        <v>399610.58</v>
      </c>
      <c r="F98" t="n">
        <v>1598442</v>
      </c>
    </row>
    <row r="99">
      <c r="A99" t="inlineStr">
        <is>
          <t>13,08</t>
        </is>
      </c>
      <c r="B99" t="inlineStr">
        <is>
          <t>CIRCUITO ELÉCTRICO EN 3X12 AWG/THHN, FASE COLOR AZUL, - 06</t>
        </is>
      </c>
      <c r="C99" t="inlineStr">
        <is>
          <t>ML</t>
        </is>
      </c>
      <c r="D99" t="n">
        <v>1250</v>
      </c>
      <c r="E99" t="n">
        <v>36288.33</v>
      </c>
      <c r="F99" t="n">
        <v>45360413</v>
      </c>
    </row>
    <row r="100">
      <c r="A100" t="inlineStr">
        <is>
          <t>13,09</t>
        </is>
      </c>
      <c r="B100" t="inlineStr">
        <is>
          <t>CIRCUITO ELÉCTRICO EN 3X8 AWG/THHN, FASE COLOR AZUL, - 07</t>
        </is>
      </c>
      <c r="C100" t="inlineStr">
        <is>
          <t>UND</t>
        </is>
      </c>
      <c r="D100" t="n">
        <v>250</v>
      </c>
      <c r="E100" t="n">
        <v>30429.23</v>
      </c>
      <c r="F100" t="n">
        <v>7607308</v>
      </c>
    </row>
    <row r="101">
      <c r="A101" t="inlineStr">
        <is>
          <t>13,11</t>
        </is>
      </c>
      <c r="B101" t="inlineStr">
        <is>
          <t>SUMINISTRO E INSTALACIÓN DE TUBERÍA PVC CONDUIT DE 3". (TIPO PESADO - DB).</t>
        </is>
      </c>
      <c r="C101" t="inlineStr">
        <is>
          <t>ML</t>
        </is>
      </c>
      <c r="D101" t="n">
        <v>60</v>
      </c>
      <c r="E101" t="n">
        <v>36445.79</v>
      </c>
      <c r="F101" t="n">
        <v>2186747</v>
      </c>
    </row>
    <row r="102">
      <c r="A102" t="inlineStr">
        <is>
          <t>13,12</t>
        </is>
      </c>
      <c r="B102" t="inlineStr">
        <is>
          <t>SUMINISTRO E INSTALACIÓN DE TUBERÍA PVC CONDUIT DE 3/4". (TIPO PESADO - DB).</t>
        </is>
      </c>
      <c r="C102" t="inlineStr">
        <is>
          <t>ML</t>
        </is>
      </c>
      <c r="D102" t="n">
        <v>120</v>
      </c>
      <c r="E102" t="n">
        <v>9740.530000000001</v>
      </c>
      <c r="F102" t="n">
        <v>1168864</v>
      </c>
    </row>
    <row r="103">
      <c r="A103" t="inlineStr">
        <is>
          <t>13,13</t>
        </is>
      </c>
      <c r="B103" t="inlineStr">
        <is>
          <t>CIRCUITO ELÉCTRICO EN 3X2 AWG/THHN, FASE COLOR AZUL, - 08</t>
        </is>
      </c>
      <c r="C103" t="inlineStr">
        <is>
          <t>UND</t>
        </is>
      </c>
      <c r="D103" t="n">
        <v>131</v>
      </c>
      <c r="E103" t="n">
        <v>69487.73</v>
      </c>
      <c r="F103" t="n">
        <v>9102893</v>
      </c>
    </row>
    <row r="104">
      <c r="A104" t="inlineStr">
        <is>
          <t>13,14</t>
        </is>
      </c>
      <c r="B104" t="inlineStr">
        <is>
          <t>SISTEMA DE COMUNICACIONES INCLUYE RACK DE 3 KVA BIFASICO Y - 09</t>
        </is>
      </c>
      <c r="C104" t="inlineStr">
        <is>
          <t>GLO</t>
        </is>
      </c>
      <c r="D104" t="n">
        <v>1</v>
      </c>
      <c r="E104" t="n">
        <v>35875004.23</v>
      </c>
      <c r="F104" t="n">
        <v>35875004</v>
      </c>
    </row>
    <row r="105">
      <c r="A105" t="inlineStr">
        <is>
          <t>13,15</t>
        </is>
      </c>
      <c r="B105" t="inlineStr">
        <is>
          <t>CABLEADO UTP HASTA 60 METROS - 10                                     TABLERO RPISMA SEGÚN UNIFILAR</t>
        </is>
      </c>
      <c r="C105" t="inlineStr">
        <is>
          <t>GLO</t>
        </is>
      </c>
      <c r="D105" t="n">
        <v>1</v>
      </c>
      <c r="E105" t="n">
        <v>33431004.23</v>
      </c>
      <c r="F105" t="n">
        <v>33431004</v>
      </c>
    </row>
    <row r="106">
      <c r="A106" t="inlineStr">
        <is>
          <t>13,16</t>
        </is>
      </c>
      <c r="B106" t="inlineStr">
        <is>
          <t>- 11                                     TRANSFERENCIA RED NORMAL Y ESCENCIAL</t>
        </is>
      </c>
      <c r="C106" t="inlineStr">
        <is>
          <t>GLO</t>
        </is>
      </c>
      <c r="D106" t="n">
        <v>1</v>
      </c>
      <c r="E106" t="n">
        <v>21081004.23</v>
      </c>
      <c r="F106" t="n">
        <v>21081004</v>
      </c>
    </row>
    <row r="107">
      <c r="A107" t="inlineStr">
        <is>
          <t>13,17</t>
        </is>
      </c>
      <c r="B107" t="inlineStr">
        <is>
          <t>SISTEMA DE DETECCION DE INCENDIOS CABLEADO HASTA 60 - 12</t>
        </is>
      </c>
      <c r="C107" t="inlineStr">
        <is>
          <t>GLO</t>
        </is>
      </c>
      <c r="D107" t="n">
        <v>1</v>
      </c>
      <c r="E107" t="n">
        <v>35875004.24</v>
      </c>
      <c r="F107" t="n">
        <v>35875004</v>
      </c>
    </row>
    <row r="108">
      <c r="A108" t="inlineStr"/>
      <c r="B108" t="inlineStr">
        <is>
          <t>Subtotal</t>
        </is>
      </c>
      <c r="C108" t="inlineStr"/>
      <c r="D108" t="inlineStr"/>
      <c r="E108" t="inlineStr"/>
      <c r="F108">
        <f>SUM(F91:F107)</f>
        <v/>
      </c>
    </row>
    <row r="109">
      <c r="A109" t="inlineStr">
        <is>
          <t>CAP. 14</t>
        </is>
      </c>
      <c r="B109" t="inlineStr">
        <is>
          <t>PINTURA</t>
        </is>
      </c>
    </row>
    <row r="110">
      <c r="A110" t="inlineStr">
        <is>
          <t>14,01</t>
        </is>
      </c>
      <c r="B110" t="inlineStr">
        <is>
          <t>SUMINISTRO E INSTALACIÓN DE ESTUCO ACRÍLICO Y PINTURA DE FACHADAS HASTA 3 METROS</t>
        </is>
      </c>
      <c r="C110" t="inlineStr">
        <is>
          <t>M2</t>
        </is>
      </c>
      <c r="D110" t="n">
        <v>986.73</v>
      </c>
      <c r="E110" t="n">
        <v>41432.5</v>
      </c>
      <c r="F110" t="n">
        <v>40882691</v>
      </c>
    </row>
    <row r="111">
      <c r="A111" t="inlineStr">
        <is>
          <t>14,02</t>
        </is>
      </c>
      <c r="B111" t="inlineStr">
        <is>
          <t>FACHADAS HASTA 3 METROS SUMINISTRO E INSTALACIÓN DE ESMALTE LÁMINA LINEAL 3 MANOS</t>
        </is>
      </c>
      <c r="C111" t="inlineStr">
        <is>
          <t>ML</t>
        </is>
      </c>
      <c r="D111" t="n">
        <v>877.6900000000001</v>
      </c>
      <c r="E111" t="n">
        <v>10801.84</v>
      </c>
      <c r="F111" t="n">
        <v>9480667</v>
      </c>
    </row>
    <row r="112">
      <c r="A112" t="inlineStr">
        <is>
          <t>14,03</t>
        </is>
      </c>
      <c r="B112" t="inlineStr">
        <is>
          <t>SUMINISTRO E INSTALACIÓN DE ESMALTE LÁMINA LLENA 3 MANOS</t>
        </is>
      </c>
      <c r="C112" t="inlineStr">
        <is>
          <t>M2</t>
        </is>
      </c>
      <c r="D112" t="n">
        <v>313.74</v>
      </c>
      <c r="E112" t="n">
        <v>27946.8</v>
      </c>
      <c r="F112" t="n">
        <v>8768029</v>
      </c>
    </row>
    <row r="113">
      <c r="A113" t="inlineStr">
        <is>
          <t>14,04</t>
        </is>
      </c>
      <c r="B113" t="inlineStr">
        <is>
          <t>SUMINISTRO E INSTALACIÓN DE VINILO TIPO II SOBRE PAÑETE O ESTUCO A DOS MANOS EN MUROS</t>
        </is>
      </c>
      <c r="C113" t="inlineStr">
        <is>
          <t>M2</t>
        </is>
      </c>
      <c r="D113" t="n">
        <v>861.84</v>
      </c>
      <c r="E113" t="n">
        <v>13053.33</v>
      </c>
      <c r="F113" t="n">
        <v>11249882</v>
      </c>
    </row>
    <row r="114">
      <c r="A114" t="inlineStr"/>
      <c r="B114" t="inlineStr">
        <is>
          <t>Subtotal</t>
        </is>
      </c>
      <c r="C114" t="inlineStr"/>
      <c r="D114" t="inlineStr"/>
      <c r="E114" t="inlineStr"/>
      <c r="F114">
        <f>SUM(F110:F113)</f>
        <v/>
      </c>
    </row>
    <row r="115">
      <c r="A115" t="inlineStr">
        <is>
          <t>CAP. 15</t>
        </is>
      </c>
      <c r="B115" t="inlineStr">
        <is>
          <t>JARDIN Y ZONA VERDE</t>
        </is>
      </c>
    </row>
    <row r="116">
      <c r="A116" t="inlineStr">
        <is>
          <t>15,01</t>
        </is>
      </c>
      <c r="B116" t="inlineStr">
        <is>
          <t>PISO EN GRAMA NATURAL. (INCLUYE TIERRA NEGRA).</t>
        </is>
      </c>
      <c r="C116" t="inlineStr">
        <is>
          <t>M2</t>
        </is>
      </c>
      <c r="D116" t="n">
        <v>197.84</v>
      </c>
      <c r="E116" t="n">
        <v>78106.08</v>
      </c>
      <c r="F116" t="n">
        <v>15452507</v>
      </c>
    </row>
    <row r="117">
      <c r="A117" t="inlineStr">
        <is>
          <t>15,02</t>
        </is>
      </c>
      <c r="B117" t="inlineStr">
        <is>
          <t>50 MM., RELLENO DE ARENA SÍLICE DE 0.3 A 0.8 MM., GRANO DE CAUCHO SIN IMPUREZAS DE 0.5 A 2.5 MM., PEGANTE BICOMPOENTE,</t>
        </is>
      </c>
      <c r="C117" t="inlineStr">
        <is>
          <t>M2</t>
        </is>
      </c>
      <c r="D117" t="n">
        <v>128.81</v>
      </c>
      <c r="E117" t="n">
        <v>126735.26</v>
      </c>
      <c r="F117" t="n">
        <v>16324769</v>
      </c>
    </row>
    <row r="118">
      <c r="A118" t="inlineStr">
        <is>
          <t>15,03</t>
        </is>
      </c>
      <c r="B118" t="inlineStr">
        <is>
          <t>PLACA MACIZA EN CONCRETO DE 21 MPa - (3000 PSI) E = 0.10 M.</t>
        </is>
      </c>
      <c r="C118" t="inlineStr">
        <is>
          <t>M2</t>
        </is>
      </c>
      <c r="D118" t="n">
        <v>762.42</v>
      </c>
      <c r="E118" t="n">
        <v>213689.28</v>
      </c>
      <c r="F118" t="n">
        <v>162920981</v>
      </c>
    </row>
    <row r="119">
      <c r="A119" t="inlineStr">
        <is>
          <t>15,04</t>
        </is>
      </c>
      <c r="B119" t="inlineStr">
        <is>
          <t>SUMINISTRO E INSTALACIÓN DE MALLA ELECTROSOLDADA</t>
        </is>
      </c>
      <c r="C119" t="inlineStr">
        <is>
          <t>KG</t>
        </is>
      </c>
      <c r="D119" t="n">
        <v>2430.44</v>
      </c>
      <c r="E119" t="n">
        <v>9747.48</v>
      </c>
      <c r="F119" t="n">
        <v>23690665</v>
      </c>
    </row>
    <row r="120">
      <c r="A120" t="inlineStr"/>
      <c r="B120" t="inlineStr">
        <is>
          <t>Subtotal</t>
        </is>
      </c>
      <c r="C120" t="inlineStr"/>
      <c r="D120" t="inlineStr"/>
      <c r="E120" t="inlineStr"/>
      <c r="F120">
        <f>SUM(F116:F119)</f>
        <v/>
      </c>
    </row>
    <row r="121">
      <c r="A121" t="inlineStr">
        <is>
          <t>CAP. 16</t>
        </is>
      </c>
      <c r="B121" t="inlineStr">
        <is>
          <t>GAS</t>
        </is>
      </c>
    </row>
    <row r="122">
      <c r="A122" t="inlineStr">
        <is>
          <t>16,01</t>
        </is>
      </c>
      <c r="B122" t="inlineStr">
        <is>
          <t>SUMINISTRO E INSTALACIÓN DE CENTRO DE REGULACIÓN DE GAS R7 PRIMERA ETAPA</t>
        </is>
      </c>
      <c r="C122" t="inlineStr">
        <is>
          <t>UND</t>
        </is>
      </c>
      <c r="D122" t="n">
        <v>1</v>
      </c>
      <c r="E122" t="n">
        <v>636069.34</v>
      </c>
      <c r="F122" t="n">
        <v>636069</v>
      </c>
    </row>
    <row r="123">
      <c r="A123" t="inlineStr">
        <is>
          <t>16,02</t>
        </is>
      </c>
      <c r="B123" t="inlineStr">
        <is>
          <t>SUMINISTRO E INSTALACIÓN DE TUBERÍA DE COBRE PARA RED DE GAS DE 3/4"</t>
        </is>
      </c>
      <c r="C123" t="inlineStr">
        <is>
          <t>ML</t>
        </is>
      </c>
      <c r="D123" t="n">
        <v>37.77</v>
      </c>
      <c r="E123" t="n">
        <v>62200.55</v>
      </c>
      <c r="F123" t="n">
        <v>2349315</v>
      </c>
    </row>
    <row r="124">
      <c r="A124" t="inlineStr">
        <is>
          <t>16,03</t>
        </is>
      </c>
      <c r="B124" t="inlineStr">
        <is>
          <t>GAS DE 3/4" SUMINISTRO E INSTALACIÓN DE TUBERÍA DE POLIETILENO DE 1``</t>
        </is>
      </c>
      <c r="C124" t="inlineStr">
        <is>
          <t>ML</t>
        </is>
      </c>
      <c r="D124" t="n">
        <v>16.62</v>
      </c>
      <c r="E124" t="n">
        <v>12760.19</v>
      </c>
      <c r="F124" t="n">
        <v>212074</v>
      </c>
    </row>
    <row r="125">
      <c r="A125" t="inlineStr">
        <is>
          <t>16,04</t>
        </is>
      </c>
      <c r="B125" t="inlineStr">
        <is>
          <t>SUMINISTRO E INSTALACIÓN DE CODO EN COBRE DE 3/4"</t>
        </is>
      </c>
      <c r="C125" t="inlineStr">
        <is>
          <t>UND</t>
        </is>
      </c>
      <c r="D125" t="n">
        <v>32</v>
      </c>
      <c r="E125" t="n">
        <v>10605.9</v>
      </c>
      <c r="F125" t="n">
        <v>339389</v>
      </c>
    </row>
    <row r="126">
      <c r="A126" t="inlineStr">
        <is>
          <t>16,05</t>
        </is>
      </c>
      <c r="B126" t="inlineStr">
        <is>
          <t>SUMINISTRO E INSTALACIÓN DE CONJUNTO VÁLVULA - ELEVADOR DE 3/4"</t>
        </is>
      </c>
      <c r="C126" t="inlineStr">
        <is>
          <t>UND</t>
        </is>
      </c>
      <c r="D126" t="n">
        <v>2</v>
      </c>
      <c r="E126" t="n">
        <v>202989.6</v>
      </c>
      <c r="F126" t="n">
        <v>405979</v>
      </c>
    </row>
    <row r="127">
      <c r="A127" t="inlineStr"/>
      <c r="B127" t="inlineStr">
        <is>
          <t>Subtotal</t>
        </is>
      </c>
      <c r="C127" t="inlineStr"/>
      <c r="D127" t="inlineStr"/>
      <c r="E127" t="inlineStr"/>
      <c r="F127">
        <f>SUM(F122:F126)</f>
        <v/>
      </c>
    </row>
    <row r="128">
      <c r="A128" t="inlineStr">
        <is>
          <t>CAP. 17</t>
        </is>
      </c>
      <c r="B128" t="inlineStr">
        <is>
          <t>CERRAMIENTO</t>
        </is>
      </c>
    </row>
    <row r="129">
      <c r="A129" t="inlineStr">
        <is>
          <t>17,01</t>
        </is>
      </c>
      <c r="B129" t="inlineStr">
        <is>
          <t>CONCRETO CICLÓPEO DE 21 MPa (3000 PSI) RELACIÓN 60C/40P</t>
        </is>
      </c>
      <c r="C129" t="inlineStr">
        <is>
          <t>M3</t>
        </is>
      </c>
      <c r="D129" t="n">
        <v>3.38</v>
      </c>
      <c r="E129" t="n">
        <v>773037.5600000001</v>
      </c>
      <c r="F129" t="n">
        <v>2612867</v>
      </c>
    </row>
    <row r="130">
      <c r="A130" t="inlineStr">
        <is>
          <t>17,02</t>
        </is>
      </c>
      <c r="B130" t="inlineStr">
        <is>
          <t>SUMINISTRO E INSTALACIÓN CUBIERTA EN TEJA DE POLICARBONATO ALVEOLAR DE 6 MM</t>
        </is>
      </c>
      <c r="C130" t="inlineStr">
        <is>
          <t>M2</t>
        </is>
      </c>
      <c r="D130" t="n">
        <v>387</v>
      </c>
      <c r="E130" t="n">
        <v>138708.01</v>
      </c>
      <c r="F130" t="n">
        <v>53680000</v>
      </c>
    </row>
    <row r="131">
      <c r="A131" t="inlineStr">
        <is>
          <t>17,03</t>
        </is>
      </c>
      <c r="B131" t="inlineStr">
        <is>
          <t>SUMINISTRO E INSTALACIÓN PERFILERIA METALICA PARA ESTRUCTURA DE CUBIERTA DE EDIFICACIONES. DIMENSIONES Y</t>
        </is>
      </c>
      <c r="C131" t="inlineStr">
        <is>
          <t>KG</t>
        </is>
      </c>
      <c r="D131" t="n">
        <v>6169.5</v>
      </c>
      <c r="E131" t="n">
        <v>28641.24</v>
      </c>
      <c r="F131" t="n">
        <v>176702130</v>
      </c>
    </row>
    <row r="132">
      <c r="A132" t="inlineStr">
        <is>
          <t>17,04</t>
        </is>
      </c>
      <c r="B132" t="inlineStr">
        <is>
          <t>SUMINISTRO E INSTALACIÓN DE ESMALTE SINTÉTICO PARA ESTRUCTURA METALICA. (INCLUYE BASE EN ANTICORROSIVO).</t>
        </is>
      </c>
      <c r="C132" t="inlineStr">
        <is>
          <t>KG</t>
        </is>
      </c>
      <c r="D132" t="n">
        <v>6169.5</v>
      </c>
      <c r="E132" t="n">
        <v>5485.15</v>
      </c>
      <c r="F132" t="n">
        <v>33840633</v>
      </c>
    </row>
    <row r="133">
      <c r="A133" t="inlineStr"/>
      <c r="B133" t="inlineStr">
        <is>
          <t>Subtotal</t>
        </is>
      </c>
      <c r="C133" t="inlineStr"/>
      <c r="D133" t="inlineStr"/>
      <c r="E133" t="inlineStr"/>
      <c r="F133">
        <f>SUM(F129:F132)</f>
        <v/>
      </c>
    </row>
    <row r="134">
      <c r="A134" t="inlineStr">
        <is>
          <t>CAP. 18</t>
        </is>
      </c>
      <c r="B134" t="inlineStr">
        <is>
          <t>RETIE Y RETILAP</t>
        </is>
      </c>
    </row>
    <row r="135">
      <c r="A135" t="inlineStr">
        <is>
          <t>18</t>
        </is>
      </c>
      <c r="B135" t="inlineStr">
        <is>
          <t>RETIE Y RETILAP</t>
        </is>
      </c>
      <c r="C135" t="inlineStr">
        <is>
          <t>GL</t>
        </is>
      </c>
      <c r="D135" t="n">
        <v>1</v>
      </c>
      <c r="E135" t="n">
        <v>6498863</v>
      </c>
      <c r="F135" t="n">
        <v>6498863</v>
      </c>
    </row>
    <row r="137">
      <c r="A137" t="inlineStr"/>
      <c r="B137" t="inlineStr">
        <is>
          <t>VALOR TOTAL PRESUPUESTO OFICIAL (precios con AIU: A 25 %, I 1 %, U 4 %)</t>
        </is>
      </c>
      <c r="C137" t="inlineStr"/>
      <c r="D137" t="inlineStr"/>
      <c r="E137" t="inlineStr"/>
      <c r="F137" t="n">
        <v>4065402558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2026-10-19T16:43:16Z</dcterms:created>
  <dcterms:modified xmlns:dcterms="http://purl.org/dc/terms/" xmlns:xsi="http://www.w3.org/2001/XMLSchema-instance" xsi:type="dcterms:W3CDTF">2026-10-19T16:43:16Z</dcterms:modified>
</cp:coreProperties>
</file>