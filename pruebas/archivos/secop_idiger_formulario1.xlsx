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ara Liliana\Documents\IDIGER\2026\LICITACIONES\INFRAESTRUCTURA\29-07-2026\"/>
    </mc:Choice>
  </mc:AlternateContent>
  <xr:revisionPtr revIDLastSave="0" documentId="8_{32CF22DB-98A7-4BCD-AF66-96F37FC3CB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SUPUESTO OFICIAL (Entidad)" sheetId="1" r:id="rId1"/>
    <sheet name="PROPUESTA ECONOMICA (proponent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ws2/IUCBxroT1EmwyjdnDBMWl5LwYEsb4OGsDavyVrI="/>
    </ext>
  </extLst>
</workbook>
</file>

<file path=xl/calcChain.xml><?xml version="1.0" encoding="utf-8"?>
<calcChain xmlns="http://schemas.openxmlformats.org/spreadsheetml/2006/main">
  <c r="G98" i="4" l="1"/>
  <c r="G102" i="4"/>
  <c r="G103" i="4" s="1"/>
  <c r="G101" i="4"/>
  <c r="G100" i="4"/>
  <c r="G99" i="4"/>
  <c r="G97" i="4"/>
  <c r="F96" i="1"/>
  <c r="F95" i="1"/>
  <c r="F94" i="1"/>
  <c r="F93" i="1"/>
  <c r="F92" i="1"/>
  <c r="F91" i="1"/>
  <c r="F90" i="1"/>
  <c r="F97" i="1" s="1"/>
  <c r="F73" i="1"/>
  <c r="F79" i="1"/>
  <c r="F78" i="1"/>
  <c r="F77" i="1"/>
  <c r="F76" i="1"/>
  <c r="F75" i="1"/>
  <c r="F74" i="1"/>
  <c r="F88" i="1"/>
  <c r="F87" i="1"/>
  <c r="F85" i="1"/>
  <c r="F84" i="1"/>
  <c r="F83" i="1"/>
  <c r="F82" i="1"/>
  <c r="F81" i="1"/>
  <c r="F71" i="1"/>
  <c r="F70" i="1"/>
  <c r="F69" i="1"/>
  <c r="F67" i="1"/>
  <c r="F66" i="1"/>
  <c r="F65" i="1"/>
  <c r="F64" i="1"/>
  <c r="F63" i="1"/>
  <c r="F62" i="1"/>
  <c r="F61" i="1"/>
  <c r="F60" i="1"/>
  <c r="F59" i="1"/>
  <c r="F58" i="1"/>
  <c r="F56" i="1"/>
  <c r="F55" i="1"/>
  <c r="F54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98" i="1" l="1"/>
  <c r="F99" i="1"/>
  <c r="F100" i="1"/>
  <c r="F101" i="1" s="1"/>
  <c r="F102" i="1" l="1"/>
  <c r="F103" i="1" s="1"/>
</calcChain>
</file>

<file path=xl/sharedStrings.xml><?xml version="1.0" encoding="utf-8"?>
<sst xmlns="http://schemas.openxmlformats.org/spreadsheetml/2006/main" count="531" uniqueCount="196">
  <si>
    <t>ÍTEM</t>
  </si>
  <si>
    <t>ANEXO No. 12   PROPUESTA ECONOMICA</t>
  </si>
  <si>
    <t>CONTRATAR LA EJECUCIÓN DE OBRAS CIVILES PARA LA ADECUACIÓN, MEJORAMIENTO, E INSTALACIÓN DE SISTEMAS HIDRÁULICOS, SANITARIOS, ELÉCTRICOS Y DE CUBIERTA EN LAS BODEGAS 7 Y 11 PROPIEDAD DEL IDIGER</t>
  </si>
  <si>
    <t>ID</t>
  </si>
  <si>
    <t>UN</t>
  </si>
  <si>
    <t>CANTIDAD ESTIMADA</t>
  </si>
  <si>
    <t>VR. UNIT ESTUDIO DE MERCADO</t>
  </si>
  <si>
    <t>VR. UNIT OFERTADO</t>
  </si>
  <si>
    <t>VLR TOTAL OFERTADO</t>
  </si>
  <si>
    <t>PRELIMINARES: ADECUACIÓN Y DEMOLICIONES</t>
  </si>
  <si>
    <t>1.1</t>
  </si>
  <si>
    <t>DEMOLICION ANDEN CONCRETO</t>
  </si>
  <si>
    <t>M3</t>
  </si>
  <si>
    <t>1.2</t>
  </si>
  <si>
    <t>DEMOLICIÒN ACABADO DE PARED Y PISO INCLUYE CORTE HORIZONTAL Y VERTICAL  CON PULIDORA</t>
  </si>
  <si>
    <t>M2</t>
  </si>
  <si>
    <t>1.3</t>
  </si>
  <si>
    <t>REGATA SOBRE MAMPOSTERIA PARA CAMBIO DE TUBERIA</t>
  </si>
  <si>
    <t>ML</t>
  </si>
  <si>
    <t>1.4</t>
  </si>
  <si>
    <t>DESMONTE CUBIERTA TEJA ASBESTO CEMENTO</t>
  </si>
  <si>
    <t>1.5</t>
  </si>
  <si>
    <t>DESINSTALACIÒN Y REINSTALACIÒN DE LAVAMANOS Y GRIFERIA</t>
  </si>
  <si>
    <t>1.6</t>
  </si>
  <si>
    <t>DESINSTALACIÒN Y REINSTALACIÒN DE ORINAL</t>
  </si>
  <si>
    <t>1.7</t>
  </si>
  <si>
    <t>DESINSTALACIÒN Y REINSTALACIÒN REDES ELECTRICAS CUBIERTA</t>
  </si>
  <si>
    <t>1.8</t>
  </si>
  <si>
    <t>DESINSTALACIÒN Y REINSTALACIÒN ESPEJO</t>
  </si>
  <si>
    <t>1.9</t>
  </si>
  <si>
    <t>DESINSTALACIÒN Y REINSTALACIÒN SANITARIO</t>
  </si>
  <si>
    <t>1.10</t>
  </si>
  <si>
    <t>DESMONTE DE LUMINARIA EXISTENTE</t>
  </si>
  <si>
    <t>1.11</t>
  </si>
  <si>
    <t>DESMONTE DE TUBERÍA EXISTENTE</t>
  </si>
  <si>
    <t>1.12</t>
  </si>
  <si>
    <t>DESINSTALACIÒN Y REINSTALACIÒN DE CIELO RASO</t>
  </si>
  <si>
    <t>INSTALACIONES HIDROSANITARIAS</t>
  </si>
  <si>
    <t>UTILIDAD</t>
  </si>
  <si>
    <t>2.1</t>
  </si>
  <si>
    <t xml:space="preserve">TUBERÍA PVC PRESIÓN d=1/2" RDE21 INSTALADA </t>
  </si>
  <si>
    <t>2.2</t>
  </si>
  <si>
    <t xml:space="preserve">TUBERÍA PVC PRESIÓN d=3/4" RDE21 INSTALADA </t>
  </si>
  <si>
    <t>2.3</t>
  </si>
  <si>
    <t>TUBERÍA PVC PRESIÓN d=1" RDE21 INSTALADA</t>
  </si>
  <si>
    <t>2.4</t>
  </si>
  <si>
    <t>TUBERÍA PVC PRESIÓN d=1 1/4" RDE21 INSTALADA</t>
  </si>
  <si>
    <t>2.5</t>
  </si>
  <si>
    <t>TUBERÍA PVC PRESIÓN d=1 1/2" RDE21 INSTALADA</t>
  </si>
  <si>
    <t>2.6</t>
  </si>
  <si>
    <t xml:space="preserve">TUBERÍA PVC PRESIÓN d=2" RDE21 INSTALADA </t>
  </si>
  <si>
    <t>2.7</t>
  </si>
  <si>
    <t>TUBERÍA PVC PRESIÓN d=2 1/2" RDE21 INSTALADA</t>
  </si>
  <si>
    <t>2.8</t>
  </si>
  <si>
    <t>TUBERÍA PVC VENTILACIÓN SERIE 20 d=1" INSTALADA</t>
  </si>
  <si>
    <t>2.9</t>
  </si>
  <si>
    <t>TUBERÍA PVC VENTILACIÓN SERIE 20 d=1 1/2" INSTALADA</t>
  </si>
  <si>
    <t>2.10</t>
  </si>
  <si>
    <t>TUBERÍA PVC VENTILACIÓN SERIE 20 d=2" INSTALADA</t>
  </si>
  <si>
    <t>2.11</t>
  </si>
  <si>
    <t>EXTRACTOR DE HUMEDAD Y OLORES 100 CFM BAJO RUIDO COLOR BLANCO</t>
  </si>
  <si>
    <t>2.12</t>
  </si>
  <si>
    <t>VALVULA DE BOLA PVC d=1/2"</t>
  </si>
  <si>
    <t>2.13</t>
  </si>
  <si>
    <t>VALVULA DE BOLA PVC d=3/4"</t>
  </si>
  <si>
    <t>2.14</t>
  </si>
  <si>
    <t>VALVULA DE BOLA PVC d=1 1/2"</t>
  </si>
  <si>
    <t>2.15</t>
  </si>
  <si>
    <t>VALVULA DE BOLA PVC d=1"</t>
  </si>
  <si>
    <t>2.16</t>
  </si>
  <si>
    <t>VALVULA DE BOLA PVC d=2"</t>
  </si>
  <si>
    <t>2.17</t>
  </si>
  <si>
    <t>VALVULA DE BOLA PVC d=2 1/2"</t>
  </si>
  <si>
    <t>2.18</t>
  </si>
  <si>
    <t>REGISTRO DE CORTINA d=2"</t>
  </si>
  <si>
    <t>2.19</t>
  </si>
  <si>
    <t>REGISTRO DE CORTINA d=2 1/2"</t>
  </si>
  <si>
    <t>2.20</t>
  </si>
  <si>
    <t>REDUCCIÒN PVCP 1" x 3/4"</t>
  </si>
  <si>
    <t>2.21</t>
  </si>
  <si>
    <t>REDUCCIÒN PVCP 3/4" x 1/2"</t>
  </si>
  <si>
    <t>2.22</t>
  </si>
  <si>
    <t>REGISTRO DE CORTINA d=1 1/2"</t>
  </si>
  <si>
    <t>2.23</t>
  </si>
  <si>
    <t>REGISTRO DE CORTINA d=1 1/4"</t>
  </si>
  <si>
    <t>2.24</t>
  </si>
  <si>
    <t>REGISTRO DE CORTINA d=3/4"</t>
  </si>
  <si>
    <t>2.25</t>
  </si>
  <si>
    <t>REGISTRO DE CORTINA d=1"</t>
  </si>
  <si>
    <t>2.26</t>
  </si>
  <si>
    <t>REGISTRO DE CORTINA d=1/2"</t>
  </si>
  <si>
    <t>2.27</t>
  </si>
  <si>
    <t>VALVULA INSTITUCIONAL ORINAL ANTIVANDALICA TIPO PUSH</t>
  </si>
  <si>
    <t>2.28</t>
  </si>
  <si>
    <t>VALVULA INSTITUCIONAL LAVAMANOS ANTIVANDALICA TIPO PUSH</t>
  </si>
  <si>
    <t>2.29</t>
  </si>
  <si>
    <t>VALVULA ANTIVANDALICA SANITARIO TIPO PUSH</t>
  </si>
  <si>
    <t>2.30</t>
  </si>
  <si>
    <t>VALVULA BALANCEADORA DE FLUJO 1/2"</t>
  </si>
  <si>
    <t>2.31</t>
  </si>
  <si>
    <t>VALVULA BALANCEADORA DE FLUJO 2"</t>
  </si>
  <si>
    <t>2.32</t>
  </si>
  <si>
    <t>VALVULA BALANCEADORA DE FLUJO 3/4"</t>
  </si>
  <si>
    <t>INSTALACIONES ELECTRICAS</t>
  </si>
  <si>
    <t>3.1</t>
  </si>
  <si>
    <t>ADECUACION DE SALIDA PARA LUMINARIAS, INCLUYE TOMA CORRIENTE</t>
  </si>
  <si>
    <t>3.2</t>
  </si>
  <si>
    <t>CABLE DE COBRE #12 AWG, AISLAMIENTO THHN/THWN-2 PARA 600 V, INSTALADO EN TUBERÍA EMT, INCLUYENDO CONDUCTOR DE FASE, NEUTRO Y TIERRA</t>
  </si>
  <si>
    <t>3.3</t>
  </si>
  <si>
    <t>LAMPARA LED HIGHBAY UFO 100W CW 120° 12000lm 260X140.5 IP65 SAMSUNG CHIP O SIMILAR</t>
  </si>
  <si>
    <t>ACABADOS</t>
  </si>
  <si>
    <t>4.1</t>
  </si>
  <si>
    <t>CIELO RASO SUPERBOARD 6.0mm (INC.PINT.VINILO)</t>
  </si>
  <si>
    <t>4.2</t>
  </si>
  <si>
    <t xml:space="preserve">ENCHAPE EN CERAMICA COLOR BEIGE FORMATO 30x60 </t>
  </si>
  <si>
    <t>4.3</t>
  </si>
  <si>
    <t>ENCHAPE MURO CERAMICA COLOR BEIGE FORMATO 60x33</t>
  </si>
  <si>
    <t>4.4</t>
  </si>
  <si>
    <t>PORCELANATO TIPO PIZARRA 30X60 BEIGE O NEGRO SEGUN REFERENCIA</t>
  </si>
  <si>
    <t>4.5</t>
  </si>
  <si>
    <t>RESANE: PAÑETE, ESTUCO</t>
  </si>
  <si>
    <t>4.6</t>
  </si>
  <si>
    <t>4.7</t>
  </si>
  <si>
    <t xml:space="preserve">RESANE: ESTUCO </t>
  </si>
  <si>
    <t>4.8</t>
  </si>
  <si>
    <t>RESANE REGATAS CON PAÑETE SOBRE MUROS</t>
  </si>
  <si>
    <t>4.9</t>
  </si>
  <si>
    <t>PINTURA VINILO TIPO 2 (CIELORASO 3 MANOS)</t>
  </si>
  <si>
    <t>4.10</t>
  </si>
  <si>
    <t>PINTURA VINILO TIPO 1 (3 MANOS SOBRE ESTUCO)</t>
  </si>
  <si>
    <t>CONCRETO : REFORZAMIENTOS, MEZCLAS Y CORTES</t>
  </si>
  <si>
    <t>5.1</t>
  </si>
  <si>
    <t xml:space="preserve">AFINADO PISO MORTERO IMPERMEAB 1:4 h=2cm </t>
  </si>
  <si>
    <t>5.2</t>
  </si>
  <si>
    <t xml:space="preserve">PROLONGACIÓN DE COLUMNA EN CONCRETO 3000psi  PARA INSTALACIÓN DEL TANQUE (Inc.: formaleta, anclaje y acero de refuerzo) </t>
  </si>
  <si>
    <t>5.3</t>
  </si>
  <si>
    <t>VIGA RECTANGULAR DE 30X35 CONCRETO 3000psi  PARA INSTALACIÓN DEL TANQUE (Inc.: formaleta, anclaje y acero de refuerzo)</t>
  </si>
  <si>
    <t>CUBIERTA</t>
  </si>
  <si>
    <t>6.1</t>
  </si>
  <si>
    <t>PUNTO DE ANCLAJE PARA TRABAJOS EN ALTURAS INCLUYE CERTIFICACIÓN</t>
  </si>
  <si>
    <t>UND</t>
  </si>
  <si>
    <t>6.2</t>
  </si>
  <si>
    <t>SUMINISTRO E INSTALACIÓN DE VIGA PRINCIPALES DE ACERO ESTRUCTURAL PARA CUBIERTA</t>
  </si>
  <si>
    <t>KG</t>
  </si>
  <si>
    <t>6.3</t>
  </si>
  <si>
    <t>SUMINISTRO E INSTALACIÓN DE CORREAS DE ACERO PARA CUBIERTA</t>
  </si>
  <si>
    <t>6.4</t>
  </si>
  <si>
    <t>SUMINISTRO E INSTALACIÓN DE PANELES TIPO SANDWICH PARA CUBIERTA</t>
  </si>
  <si>
    <t>6.5</t>
  </si>
  <si>
    <t>SUMINISTRO E INSTALACIÓN DE CINTA DE NEOPRENO AUTOADHESIVA EN PUNTOS DE APOYO</t>
  </si>
  <si>
    <t>6.6</t>
  </si>
  <si>
    <t>SUMINISTRO E INSTALACIÓN DE REMATES Y TAPAJUNTAS LATERALES PARA CUBIERTA</t>
  </si>
  <si>
    <t>6.7</t>
  </si>
  <si>
    <t>SELLADO DE JUNTAS CON MASILLA DE POLIURETANO PARA CUBIERTA</t>
  </si>
  <si>
    <t>TANQUE ELEVADO PARA ABASTECIMIENTO DE AGUA POTABLE</t>
  </si>
  <si>
    <t>7.1</t>
  </si>
  <si>
    <t>PLATAFORMA CON ESTRUCTURA METALICA TUBULAR Y PISO EN MALLA EXPANDIDA CALIBRE 12 APERTURA DE 1 1/2 INSTALADA</t>
  </si>
  <si>
    <t>7.2</t>
  </si>
  <si>
    <t>BARANDA / PASAMANOS EN TUBO REDONDO 1½" H=1.10m TRAVESAÑO INTERMEDIO Y POSTES CADA 2.0M</t>
  </si>
  <si>
    <t>7.3</t>
  </si>
  <si>
    <t xml:space="preserve"> ESCALERA METÁLICA INCLINABLE CON PASAMANOS (L=2.5 a 3.0m)</t>
  </si>
  <si>
    <t>7.4</t>
  </si>
  <si>
    <t>SUMINISTRO E INSTALACIÒN DE TANQUE 2000L</t>
  </si>
  <si>
    <t>7.5</t>
  </si>
  <si>
    <t>SUMINISTRO E INSTALACIÒN DE SISTEMA DE PRESION PARA LA RED DE DISTRIBUCION HIDRAULICA</t>
  </si>
  <si>
    <t>ACCESIBILIDAD</t>
  </si>
  <si>
    <t>8.1</t>
  </si>
  <si>
    <t xml:space="preserve">VADO PEATONAL EN CONCRETO </t>
  </si>
  <si>
    <t>8.2</t>
  </si>
  <si>
    <t>LOSETA PODOTACTIL EN ACERO INOXIDABLE.  40 x 40 x 0.08 cm</t>
  </si>
  <si>
    <t>COMPONENTE AMBIENTAL</t>
  </si>
  <si>
    <t>ELABORACIÓN DE PLAN DE GESTIÓN AMBIENTAL Y SST</t>
  </si>
  <si>
    <t xml:space="preserve">SEÑALIZACIÓN SISOMA EN POLIESTIRENO 30X20CM FOTOLUMINISCENTE. NORMA NTC-ISO INCLUYE INSTALACIÓN Y MANTENIMIENTO </t>
  </si>
  <si>
    <t>CINTA PARA SEÑALIZACION DE 500MT X 4" PELIGRO CALIBRE 3.5</t>
  </si>
  <si>
    <t>ROLLO</t>
  </si>
  <si>
    <t>ARNES MULTIPROPOSITO CON ESLINGA - 4 ANILLOS - PARA RESTRICCION Y DETENCION DE CAIDAS CON PUNTO FIJO</t>
  </si>
  <si>
    <t>BOTIQUÍN</t>
  </si>
  <si>
    <t>POLISOMBRA 65% (1X7m) R-800 NEGRA. Proteccion Sumideros y árboles</t>
  </si>
  <si>
    <t>SUBTOTAL COSTO DIRECTO</t>
  </si>
  <si>
    <t>ADMINISTRACIÓN</t>
  </si>
  <si>
    <t>IMPREVISTOS</t>
  </si>
  <si>
    <t>IVA SOBRE UTILIDAD</t>
  </si>
  <si>
    <t>SUBTOTAL COSTO INDIRECTO</t>
  </si>
  <si>
    <t>COSTO TOTAL DE OBRA</t>
  </si>
  <si>
    <t>NOTA 1:</t>
  </si>
  <si>
    <t>Los proponentes deben usar el presente anexo para determinar su propuesta económica conforme al Formulario - Presupuesto Oficial publicado por la Entidad</t>
  </si>
  <si>
    <t>NOTA 2:</t>
  </si>
  <si>
    <t>Se debe tener en cuenta que el PRECIO UNITARIO,  NO incluye el valor de A.I.U.</t>
  </si>
  <si>
    <t>NOTA 3:</t>
  </si>
  <si>
    <t xml:space="preserve">Cuando la fracción decimal del peso sea  igual o superior a 5 se aproximara por exceso al número entero siguiente del peso y cuando la fracción decimal del peso sea inferior a 5 se aproximará por defecto al número entero del peso. </t>
  </si>
  <si>
    <t>NOTA 4:</t>
  </si>
  <si>
    <t>NOTA 5:</t>
  </si>
  <si>
    <t>El diligenciamiento del presente formato es bajo responsabilidad del OFERENTE se debera presentar en formato PDF y en Excel.</t>
  </si>
  <si>
    <r>
      <t>El A.I.U y su discriminación deben estar en porcentaje (%).  El valor del A.I.U ofertado no podra ser superior al 100%</t>
    </r>
    <r>
      <rPr>
        <sz val="8"/>
        <color rgb="FFFF0000"/>
        <rFont val="Arial Narrow"/>
      </rPr>
      <t xml:space="preserve"> </t>
    </r>
    <r>
      <rPr>
        <sz val="8"/>
        <color theme="1"/>
        <rFont val="Arial Narrow"/>
      </rPr>
      <t>del A.I.U oficial total . Debera estar expresado con dos decimales.</t>
    </r>
  </si>
  <si>
    <t>Distribución aproximada de insumos  SST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</si>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</sst>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]#,##0"/>
    <numFmt numFmtId="165" formatCode="d\.m\.yyyy"/>
    <numFmt numFmtId="166" formatCode="_-&quot;$&quot;\ * #,##0.00_-;\-&quot;$&quot;\ * #,##0.00_-;_-&quot;$&quot;\ * &quot;-&quot;??_-;_-@"/>
    <numFmt numFmtId="167" formatCode="_(&quot;$&quot;\ * #,##0_);_(&quot;$&quot;\ * \(#,##0\);_(&quot;$&quot;\ * &quot;-&quot;??_);_(@_)"/>
    <numFmt numFmtId="168" formatCode="_ * #,##0.00_ ;_ * \-#,##0.00_ ;_ * &quot;-&quot;_ ;_ @_ "/>
    <numFmt numFmtId="169" formatCode="[$$]#,##0.00"/>
  </numFmts>
  <fonts count="13">
    <font>
      <sz val="11"/>
      <color theme="1"/>
      <name val="Calibri"/>
      <scheme val="minor"/>
    </font>
    <font>
      <sz val="11"/>
      <name val="Calibri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8"/>
      <color theme="1"/>
      <name val="Arial Narrow"/>
    </font>
    <font>
      <sz val="8"/>
      <color theme="1"/>
      <name val="Arial Narrow"/>
    </font>
    <font>
      <sz val="8"/>
      <color rgb="FFFF0000"/>
      <name val="Arial Narrow"/>
    </font>
    <font>
      <sz val="11"/>
      <color theme="1"/>
      <name val="Arial"/>
      <family val="2"/>
    </font>
    <font>
      <sz val="11"/>
      <color theme="1"/>
      <name val="Inter"/>
    </font>
    <font>
      <b/>
      <sz val="11"/>
      <color theme="1"/>
      <name val="Inte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DFCFE"/>
        <bgColor rgb="FFFDFCF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4" fillId="0" borderId="0" xfId="0" applyFont="1"/>
    <xf numFmtId="0" fontId="2" fillId="0" borderId="0" xfId="0" applyFont="1"/>
    <xf numFmtId="2" fontId="3" fillId="0" borderId="26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/>
    </xf>
    <xf numFmtId="2" fontId="3" fillId="2" borderId="27" xfId="0" applyNumberFormat="1" applyFont="1" applyFill="1" applyBorder="1" applyAlignment="1">
      <alignment horizontal="center"/>
    </xf>
    <xf numFmtId="49" fontId="3" fillId="2" borderId="28" xfId="0" applyNumberFormat="1" applyFont="1" applyFill="1" applyBorder="1" applyAlignment="1">
      <alignment vertical="center" wrapText="1"/>
    </xf>
    <xf numFmtId="0" fontId="2" fillId="2" borderId="28" xfId="0" applyFont="1" applyFill="1" applyBorder="1" applyAlignment="1">
      <alignment horizontal="center"/>
    </xf>
    <xf numFmtId="2" fontId="2" fillId="2" borderId="28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165" fontId="2" fillId="3" borderId="30" xfId="0" applyNumberFormat="1" applyFont="1" applyFill="1" applyBorder="1" applyAlignment="1">
      <alignment horizontal="center"/>
    </xf>
    <xf numFmtId="49" fontId="2" fillId="4" borderId="12" xfId="0" applyNumberFormat="1" applyFont="1" applyFill="1" applyBorder="1" applyAlignment="1">
      <alignment vertical="center" wrapText="1"/>
    </xf>
    <xf numFmtId="49" fontId="2" fillId="4" borderId="12" xfId="0" applyNumberFormat="1" applyFont="1" applyFill="1" applyBorder="1" applyAlignment="1">
      <alignment horizontal="center" vertical="center" wrapText="1"/>
    </xf>
    <xf numFmtId="2" fontId="2" fillId="4" borderId="31" xfId="0" applyNumberFormat="1" applyFont="1" applyFill="1" applyBorder="1" applyAlignment="1">
      <alignment horizontal="center" vertical="center"/>
    </xf>
    <xf numFmtId="166" fontId="2" fillId="4" borderId="31" xfId="0" applyNumberFormat="1" applyFont="1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right" vertical="center" wrapText="1"/>
    </xf>
    <xf numFmtId="165" fontId="2" fillId="4" borderId="30" xfId="0" applyNumberFormat="1" applyFont="1" applyFill="1" applyBorder="1" applyAlignment="1">
      <alignment horizontal="center"/>
    </xf>
    <xf numFmtId="165" fontId="2" fillId="3" borderId="26" xfId="0" applyNumberFormat="1" applyFont="1" applyFill="1" applyBorder="1" applyAlignment="1">
      <alignment horizontal="center"/>
    </xf>
    <xf numFmtId="49" fontId="2" fillId="4" borderId="24" xfId="0" applyNumberFormat="1" applyFont="1" applyFill="1" applyBorder="1" applyAlignment="1">
      <alignment vertical="center" wrapText="1"/>
    </xf>
    <xf numFmtId="49" fontId="2" fillId="4" borderId="24" xfId="0" applyNumberFormat="1" applyFont="1" applyFill="1" applyBorder="1" applyAlignment="1">
      <alignment horizontal="center" vertical="center" wrapText="1"/>
    </xf>
    <xf numFmtId="2" fontId="2" fillId="4" borderId="32" xfId="0" applyNumberFormat="1" applyFont="1" applyFill="1" applyBorder="1" applyAlignment="1">
      <alignment horizontal="center" vertical="center"/>
    </xf>
    <xf numFmtId="166" fontId="2" fillId="4" borderId="33" xfId="0" applyNumberFormat="1" applyFont="1" applyFill="1" applyBorder="1" applyAlignment="1">
      <alignment horizontal="center" vertical="center"/>
    </xf>
    <xf numFmtId="166" fontId="2" fillId="2" borderId="2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12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3" fillId="2" borderId="34" xfId="0" applyNumberFormat="1" applyFont="1" applyFill="1" applyBorder="1" applyAlignment="1">
      <alignment horizontal="center"/>
    </xf>
    <xf numFmtId="49" fontId="3" fillId="2" borderId="35" xfId="0" applyNumberFormat="1" applyFont="1" applyFill="1" applyBorder="1" applyAlignment="1">
      <alignment vertical="center" wrapText="1"/>
    </xf>
    <xf numFmtId="0" fontId="2" fillId="2" borderId="35" xfId="0" applyFont="1" applyFill="1" applyBorder="1" applyAlignment="1">
      <alignment horizontal="center"/>
    </xf>
    <xf numFmtId="2" fontId="2" fillId="2" borderId="35" xfId="0" applyNumberFormat="1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65" fontId="2" fillId="4" borderId="36" xfId="0" applyNumberFormat="1" applyFont="1" applyFill="1" applyBorder="1" applyAlignment="1">
      <alignment horizontal="center"/>
    </xf>
    <xf numFmtId="49" fontId="2" fillId="4" borderId="10" xfId="0" applyNumberFormat="1" applyFont="1" applyFill="1" applyBorder="1" applyAlignment="1">
      <alignment vertical="center" wrapText="1"/>
    </xf>
    <xf numFmtId="49" fontId="2" fillId="4" borderId="10" xfId="0" applyNumberFormat="1" applyFont="1" applyFill="1" applyBorder="1" applyAlignment="1">
      <alignment horizontal="center" vertical="center" wrapText="1"/>
    </xf>
    <xf numFmtId="2" fontId="2" fillId="4" borderId="23" xfId="0" applyNumberFormat="1" applyFont="1" applyFill="1" applyBorder="1" applyAlignment="1">
      <alignment horizontal="center" vertical="center"/>
    </xf>
    <xf numFmtId="166" fontId="2" fillId="4" borderId="37" xfId="0" applyNumberFormat="1" applyFont="1" applyFill="1" applyBorder="1" applyAlignment="1">
      <alignment horizontal="center" vertical="center"/>
    </xf>
    <xf numFmtId="0" fontId="5" fillId="0" borderId="0" xfId="0" applyFont="1"/>
    <xf numFmtId="165" fontId="2" fillId="4" borderId="26" xfId="0" applyNumberFormat="1" applyFont="1" applyFill="1" applyBorder="1" applyAlignment="1">
      <alignment horizontal="center"/>
    </xf>
    <xf numFmtId="0" fontId="2" fillId="4" borderId="35" xfId="0" applyFont="1" applyFill="1" applyBorder="1"/>
    <xf numFmtId="166" fontId="2" fillId="4" borderId="32" xfId="0" applyNumberFormat="1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0" borderId="38" xfId="0" applyFont="1" applyBorder="1"/>
    <xf numFmtId="10" fontId="2" fillId="0" borderId="3" xfId="0" applyNumberFormat="1" applyFont="1" applyBorder="1"/>
    <xf numFmtId="0" fontId="2" fillId="0" borderId="3" xfId="0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2" fontId="5" fillId="0" borderId="0" xfId="0" applyNumberFormat="1" applyFont="1"/>
    <xf numFmtId="168" fontId="2" fillId="0" borderId="0" xfId="0" applyNumberFormat="1" applyFont="1"/>
    <xf numFmtId="0" fontId="6" fillId="0" borderId="12" xfId="0" applyFont="1" applyBorder="1" applyAlignment="1">
      <alignment horizontal="center" vertical="center"/>
    </xf>
    <xf numFmtId="167" fontId="2" fillId="0" borderId="0" xfId="0" applyNumberFormat="1" applyFont="1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49" fontId="9" fillId="4" borderId="12" xfId="0" applyNumberFormat="1" applyFont="1" applyFill="1" applyBorder="1" applyAlignment="1">
      <alignment vertical="center" wrapText="1"/>
    </xf>
    <xf numFmtId="169" fontId="3" fillId="0" borderId="24" xfId="0" applyNumberFormat="1" applyFont="1" applyBorder="1" applyAlignment="1">
      <alignment horizontal="center" vertical="center" wrapText="1"/>
    </xf>
    <xf numFmtId="169" fontId="2" fillId="2" borderId="29" xfId="0" applyNumberFormat="1" applyFont="1" applyFill="1" applyBorder="1" applyAlignment="1">
      <alignment horizontal="center"/>
    </xf>
    <xf numFmtId="169" fontId="2" fillId="4" borderId="13" xfId="0" applyNumberFormat="1" applyFont="1" applyFill="1" applyBorder="1" applyAlignment="1">
      <alignment horizontal="right" vertical="center" wrapText="1"/>
    </xf>
    <xf numFmtId="169" fontId="2" fillId="2" borderId="28" xfId="0" applyNumberFormat="1" applyFont="1" applyFill="1" applyBorder="1" applyAlignment="1">
      <alignment horizontal="center" vertical="center"/>
    </xf>
    <xf numFmtId="169" fontId="2" fillId="2" borderId="29" xfId="0" applyNumberFormat="1" applyFont="1" applyFill="1" applyBorder="1" applyAlignment="1">
      <alignment horizontal="center" vertical="center"/>
    </xf>
    <xf numFmtId="169" fontId="0" fillId="0" borderId="0" xfId="0" applyNumberFormat="1"/>
    <xf numFmtId="169" fontId="2" fillId="0" borderId="0" xfId="0" applyNumberFormat="1" applyFont="1"/>
    <xf numFmtId="169" fontId="10" fillId="4" borderId="39" xfId="0" applyNumberFormat="1" applyFont="1" applyFill="1" applyBorder="1" applyAlignment="1">
      <alignment horizontal="right" vertical="center" wrapText="1"/>
    </xf>
    <xf numFmtId="169" fontId="11" fillId="4" borderId="40" xfId="0" applyNumberFormat="1" applyFont="1" applyFill="1" applyBorder="1" applyAlignment="1">
      <alignment horizontal="right" vertical="center" wrapText="1"/>
    </xf>
    <xf numFmtId="169" fontId="9" fillId="0" borderId="41" xfId="0" applyNumberFormat="1" applyFont="1" applyBorder="1" applyAlignment="1">
      <alignment horizontal="right"/>
    </xf>
    <xf numFmtId="169" fontId="12" fillId="0" borderId="41" xfId="0" applyNumberFormat="1" applyFont="1" applyBorder="1" applyAlignment="1">
      <alignment horizontal="right"/>
    </xf>
    <xf numFmtId="169" fontId="12" fillId="0" borderId="42" xfId="0" applyNumberFormat="1" applyFont="1" applyBorder="1" applyAlignment="1">
      <alignment horizontal="right"/>
    </xf>
    <xf numFmtId="166" fontId="2" fillId="0" borderId="31" xfId="0" applyNumberFormat="1" applyFont="1" applyBorder="1" applyAlignment="1">
      <alignment horizontal="center" vertical="center"/>
    </xf>
    <xf numFmtId="10" fontId="2" fillId="0" borderId="12" xfId="0" applyNumberFormat="1" applyFont="1" applyBorder="1"/>
    <xf numFmtId="9" fontId="2" fillId="0" borderId="12" xfId="0" applyNumberFormat="1" applyFont="1" applyBorder="1"/>
    <xf numFmtId="164" fontId="2" fillId="0" borderId="12" xfId="0" applyNumberFormat="1" applyFont="1" applyBorder="1"/>
    <xf numFmtId="0" fontId="2" fillId="0" borderId="47" xfId="0" applyFont="1" applyBorder="1"/>
    <xf numFmtId="10" fontId="2" fillId="0" borderId="48" xfId="0" applyNumberFormat="1" applyFont="1" applyBorder="1"/>
    <xf numFmtId="0" fontId="2" fillId="0" borderId="52" xfId="0" applyFont="1" applyBorder="1"/>
    <xf numFmtId="0" fontId="0" fillId="0" borderId="53" xfId="0" applyBorder="1"/>
    <xf numFmtId="49" fontId="2" fillId="4" borderId="8" xfId="0" applyNumberFormat="1" applyFont="1" applyFill="1" applyBorder="1" applyAlignment="1">
      <alignment vertical="center" wrapText="1"/>
    </xf>
    <xf numFmtId="49" fontId="2" fillId="4" borderId="8" xfId="0" applyNumberFormat="1" applyFont="1" applyFill="1" applyBorder="1" applyAlignment="1">
      <alignment horizontal="center" vertical="center" wrapText="1"/>
    </xf>
    <xf numFmtId="2" fontId="2" fillId="4" borderId="37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right" vertical="center" wrapText="1"/>
    </xf>
    <xf numFmtId="169" fontId="10" fillId="4" borderId="54" xfId="0" applyNumberFormat="1" applyFont="1" applyFill="1" applyBorder="1" applyAlignment="1">
      <alignment horizontal="right" vertical="center" wrapText="1"/>
    </xf>
    <xf numFmtId="2" fontId="3" fillId="2" borderId="55" xfId="0" applyNumberFormat="1" applyFont="1" applyFill="1" applyBorder="1" applyAlignment="1">
      <alignment horizontal="center"/>
    </xf>
    <xf numFmtId="49" fontId="3" fillId="2" borderId="43" xfId="0" applyNumberFormat="1" applyFont="1" applyFill="1" applyBorder="1" applyAlignment="1">
      <alignment vertical="center" wrapText="1"/>
    </xf>
    <xf numFmtId="0" fontId="2" fillId="2" borderId="43" xfId="0" applyFont="1" applyFill="1" applyBorder="1" applyAlignment="1">
      <alignment horizontal="center"/>
    </xf>
    <xf numFmtId="2" fontId="2" fillId="2" borderId="43" xfId="0" applyNumberFormat="1" applyFont="1" applyFill="1" applyBorder="1" applyAlignment="1">
      <alignment horizontal="center" vertical="center"/>
    </xf>
    <xf numFmtId="166" fontId="2" fillId="2" borderId="43" xfId="0" applyNumberFormat="1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169" fontId="2" fillId="2" borderId="56" xfId="0" applyNumberFormat="1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/>
    </xf>
    <xf numFmtId="2" fontId="2" fillId="0" borderId="31" xfId="0" applyNumberFormat="1" applyFont="1" applyBorder="1" applyAlignment="1">
      <alignment horizontal="center" vertical="center"/>
    </xf>
    <xf numFmtId="0" fontId="2" fillId="3" borderId="58" xfId="0" applyFont="1" applyFill="1" applyBorder="1" applyAlignment="1">
      <alignment horizontal="center"/>
    </xf>
    <xf numFmtId="49" fontId="9" fillId="4" borderId="59" xfId="0" applyNumberFormat="1" applyFont="1" applyFill="1" applyBorder="1" applyAlignment="1">
      <alignment vertical="center" wrapText="1"/>
    </xf>
    <xf numFmtId="2" fontId="2" fillId="4" borderId="60" xfId="0" applyNumberFormat="1" applyFont="1" applyFill="1" applyBorder="1" applyAlignment="1">
      <alignment horizontal="center" vertical="center"/>
    </xf>
    <xf numFmtId="166" fontId="2" fillId="4" borderId="60" xfId="0" applyNumberFormat="1" applyFont="1" applyFill="1" applyBorder="1" applyAlignment="1">
      <alignment horizontal="center" vertical="center"/>
    </xf>
    <xf numFmtId="164" fontId="2" fillId="6" borderId="61" xfId="0" applyNumberFormat="1" applyFont="1" applyFill="1" applyBorder="1"/>
    <xf numFmtId="169" fontId="10" fillId="4" borderId="62" xfId="0" applyNumberFormat="1" applyFont="1" applyFill="1" applyBorder="1" applyAlignment="1">
      <alignment horizontal="right" vertical="center" wrapText="1"/>
    </xf>
    <xf numFmtId="165" fontId="2" fillId="3" borderId="57" xfId="0" applyNumberFormat="1" applyFont="1" applyFill="1" applyBorder="1" applyAlignment="1">
      <alignment horizontal="center"/>
    </xf>
    <xf numFmtId="169" fontId="2" fillId="4" borderId="41" xfId="0" applyNumberFormat="1" applyFont="1" applyFill="1" applyBorder="1" applyAlignment="1">
      <alignment horizontal="right" vertical="center" wrapText="1"/>
    </xf>
    <xf numFmtId="165" fontId="2" fillId="3" borderId="58" xfId="0" applyNumberFormat="1" applyFont="1" applyFill="1" applyBorder="1" applyAlignment="1">
      <alignment horizontal="center"/>
    </xf>
    <xf numFmtId="49" fontId="2" fillId="4" borderId="59" xfId="0" applyNumberFormat="1" applyFont="1" applyFill="1" applyBorder="1" applyAlignment="1">
      <alignment vertical="center" wrapText="1"/>
    </xf>
    <xf numFmtId="49" fontId="2" fillId="4" borderId="59" xfId="0" applyNumberFormat="1" applyFont="1" applyFill="1" applyBorder="1" applyAlignment="1">
      <alignment horizontal="center" vertical="center" wrapText="1"/>
    </xf>
    <xf numFmtId="164" fontId="2" fillId="5" borderId="59" xfId="0" applyNumberFormat="1" applyFont="1" applyFill="1" applyBorder="1" applyAlignment="1">
      <alignment horizontal="right" vertical="center" wrapText="1"/>
    </xf>
    <xf numFmtId="169" fontId="2" fillId="4" borderId="42" xfId="0" applyNumberFormat="1" applyFont="1" applyFill="1" applyBorder="1" applyAlignment="1">
      <alignment horizontal="right" vertical="center" wrapText="1"/>
    </xf>
    <xf numFmtId="165" fontId="2" fillId="4" borderId="57" xfId="0" applyNumberFormat="1" applyFont="1" applyFill="1" applyBorder="1" applyAlignment="1">
      <alignment horizontal="center"/>
    </xf>
    <xf numFmtId="165" fontId="2" fillId="4" borderId="58" xfId="0" applyNumberFormat="1" applyFont="1" applyFill="1" applyBorder="1" applyAlignment="1">
      <alignment horizontal="center"/>
    </xf>
    <xf numFmtId="2" fontId="3" fillId="2" borderId="63" xfId="0" applyNumberFormat="1" applyFont="1" applyFill="1" applyBorder="1" applyAlignment="1">
      <alignment horizontal="center"/>
    </xf>
    <xf numFmtId="49" fontId="3" fillId="2" borderId="64" xfId="0" applyNumberFormat="1" applyFont="1" applyFill="1" applyBorder="1" applyAlignment="1">
      <alignment vertical="center" wrapText="1"/>
    </xf>
    <xf numFmtId="0" fontId="2" fillId="2" borderId="64" xfId="0" applyFont="1" applyFill="1" applyBorder="1" applyAlignment="1">
      <alignment horizontal="center"/>
    </xf>
    <xf numFmtId="2" fontId="2" fillId="2" borderId="64" xfId="0" applyNumberFormat="1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169" fontId="2" fillId="2" borderId="40" xfId="0" applyNumberFormat="1" applyFont="1" applyFill="1" applyBorder="1" applyAlignment="1">
      <alignment horizontal="center" vertical="center"/>
    </xf>
    <xf numFmtId="165" fontId="2" fillId="4" borderId="65" xfId="0" applyNumberFormat="1" applyFont="1" applyFill="1" applyBorder="1" applyAlignment="1">
      <alignment horizontal="center"/>
    </xf>
    <xf numFmtId="2" fontId="3" fillId="0" borderId="44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169" fontId="3" fillId="0" borderId="7" xfId="0" applyNumberFormat="1" applyFont="1" applyBorder="1" applyAlignment="1">
      <alignment horizontal="center" vertical="center" wrapText="1"/>
    </xf>
    <xf numFmtId="164" fontId="2" fillId="2" borderId="43" xfId="0" applyNumberFormat="1" applyFont="1" applyFill="1" applyBorder="1"/>
    <xf numFmtId="169" fontId="2" fillId="2" borderId="56" xfId="0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3" fillId="0" borderId="2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11" xfId="0" applyFont="1" applyBorder="1"/>
    <xf numFmtId="0" fontId="0" fillId="0" borderId="0" xfId="0"/>
    <xf numFmtId="0" fontId="1" fillId="0" borderId="14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3" fillId="0" borderId="16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8" xfId="0" applyFont="1" applyBorder="1"/>
    <xf numFmtId="0" fontId="3" fillId="0" borderId="15" xfId="0" applyFont="1" applyBorder="1" applyAlignment="1">
      <alignment horizontal="left" vertical="center" wrapText="1"/>
    </xf>
    <xf numFmtId="0" fontId="1" fillId="0" borderId="6" xfId="0" applyFont="1" applyBorder="1"/>
    <xf numFmtId="0" fontId="1" fillId="0" borderId="38" xfId="0" applyFont="1" applyBorder="1"/>
    <xf numFmtId="0" fontId="2" fillId="0" borderId="49" xfId="0" applyFont="1" applyBorder="1" applyAlignment="1">
      <alignment horizontal="left" vertical="center" wrapText="1"/>
    </xf>
    <xf numFmtId="0" fontId="1" fillId="0" borderId="28" xfId="0" applyFont="1" applyBorder="1"/>
    <xf numFmtId="0" fontId="1" fillId="0" borderId="25" xfId="0" applyFont="1" applyBorder="1"/>
    <xf numFmtId="0" fontId="3" fillId="0" borderId="45" xfId="0" applyFont="1" applyBorder="1" applyAlignment="1">
      <alignment horizontal="left" vertical="center" wrapText="1"/>
    </xf>
    <xf numFmtId="0" fontId="1" fillId="0" borderId="46" xfId="0" applyFont="1" applyBorder="1"/>
    <xf numFmtId="0" fontId="1" fillId="0" borderId="47" xfId="0" applyFont="1" applyBorder="1"/>
    <xf numFmtId="0" fontId="7" fillId="0" borderId="1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1" xfId="0" applyFont="1" applyBorder="1"/>
    <xf numFmtId="0" fontId="1" fillId="0" borderId="5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1028700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1028700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C30B07C3-A57A-4AB2-B579-2C42311F78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66675"/>
          <a:ext cx="1028700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X999"/>
  <sheetViews>
    <sheetView topLeftCell="B1" zoomScaleNormal="100" workbookViewId="0">
      <selection activeCell="E102" sqref="E102"/>
    </sheetView>
  </sheetViews>
  <sheetFormatPr baseColWidth="10" defaultColWidth="14.44140625" defaultRowHeight="15" customHeight="1"/>
  <cols>
    <col min="1" max="1" width="17" customWidth="1"/>
    <col min="2" max="2" width="79.33203125" customWidth="1"/>
    <col min="3" max="3" width="13.109375" customWidth="1"/>
    <col min="4" max="4" width="15.88671875" customWidth="1"/>
    <col min="5" max="5" width="17.88671875" customWidth="1"/>
    <col min="6" max="6" width="23" style="62" customWidth="1"/>
  </cols>
  <sheetData>
    <row r="1" spans="1:24" ht="15" customHeight="1">
      <c r="A1" s="123" t="s">
        <v>1</v>
      </c>
      <c r="B1" s="124"/>
      <c r="C1" s="124"/>
      <c r="D1" s="124"/>
      <c r="E1" s="124"/>
      <c r="F1" s="12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>
      <c r="A2" s="126"/>
      <c r="B2" s="127"/>
      <c r="C2" s="127"/>
      <c r="D2" s="127"/>
      <c r="E2" s="127"/>
      <c r="F2" s="12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customHeight="1">
      <c r="A3" s="126"/>
      <c r="B3" s="127"/>
      <c r="C3" s="127"/>
      <c r="D3" s="127"/>
      <c r="E3" s="127"/>
      <c r="F3" s="12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>
      <c r="A4" s="129"/>
      <c r="B4" s="130"/>
      <c r="C4" s="130"/>
      <c r="D4" s="130"/>
      <c r="E4" s="130"/>
      <c r="F4" s="131"/>
    </row>
    <row r="5" spans="1:24" ht="49.5" customHeight="1">
      <c r="A5" s="132" t="s">
        <v>2</v>
      </c>
      <c r="B5" s="133"/>
      <c r="C5" s="133"/>
      <c r="D5" s="133"/>
      <c r="E5" s="133"/>
      <c r="F5" s="13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4" ht="41.4">
      <c r="A6" s="3" t="s">
        <v>3</v>
      </c>
      <c r="B6" s="4" t="s">
        <v>0</v>
      </c>
      <c r="C6" s="5" t="s">
        <v>4</v>
      </c>
      <c r="D6" s="4" t="s">
        <v>5</v>
      </c>
      <c r="E6" s="4" t="s">
        <v>6</v>
      </c>
      <c r="F6" s="57" t="s">
        <v>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4" ht="14.4">
      <c r="A7" s="6">
        <v>1</v>
      </c>
      <c r="B7" s="7" t="s">
        <v>9</v>
      </c>
      <c r="C7" s="8"/>
      <c r="D7" s="9"/>
      <c r="E7" s="10"/>
      <c r="F7" s="5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4" ht="14.4">
      <c r="A8" s="11" t="s">
        <v>10</v>
      </c>
      <c r="B8" s="12" t="s">
        <v>11</v>
      </c>
      <c r="C8" s="13" t="s">
        <v>12</v>
      </c>
      <c r="D8" s="14">
        <v>2</v>
      </c>
      <c r="E8" s="15">
        <v>115506</v>
      </c>
      <c r="F8" s="59">
        <f t="shared" ref="F8:F19" si="0">E8*D8</f>
        <v>231012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4" ht="27.6">
      <c r="A9" s="11" t="s">
        <v>13</v>
      </c>
      <c r="B9" s="12" t="s">
        <v>14</v>
      </c>
      <c r="C9" s="13" t="s">
        <v>15</v>
      </c>
      <c r="D9" s="14">
        <v>12</v>
      </c>
      <c r="E9" s="15">
        <v>53658</v>
      </c>
      <c r="F9" s="59">
        <f t="shared" si="0"/>
        <v>643896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4.4">
      <c r="A10" s="17" t="s">
        <v>16</v>
      </c>
      <c r="B10" s="12" t="s">
        <v>17</v>
      </c>
      <c r="C10" s="13" t="s">
        <v>18</v>
      </c>
      <c r="D10" s="14">
        <v>24</v>
      </c>
      <c r="E10" s="15">
        <v>26910</v>
      </c>
      <c r="F10" s="59">
        <f t="shared" si="0"/>
        <v>645840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4.4">
      <c r="A11" s="17" t="s">
        <v>19</v>
      </c>
      <c r="B11" s="12" t="s">
        <v>20</v>
      </c>
      <c r="C11" s="13" t="s">
        <v>15</v>
      </c>
      <c r="D11" s="14">
        <v>240</v>
      </c>
      <c r="E11" s="15">
        <v>38308</v>
      </c>
      <c r="F11" s="59">
        <f t="shared" si="0"/>
        <v>9193920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4.4">
      <c r="A12" s="17" t="s">
        <v>21</v>
      </c>
      <c r="B12" s="12" t="s">
        <v>22</v>
      </c>
      <c r="C12" s="13" t="s">
        <v>4</v>
      </c>
      <c r="D12" s="14">
        <v>20</v>
      </c>
      <c r="E12" s="15">
        <v>323100</v>
      </c>
      <c r="F12" s="59">
        <f t="shared" si="0"/>
        <v>6462000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4.4">
      <c r="A13" s="11" t="s">
        <v>23</v>
      </c>
      <c r="B13" s="12" t="s">
        <v>24</v>
      </c>
      <c r="C13" s="13" t="s">
        <v>4</v>
      </c>
      <c r="D13" s="14">
        <v>10</v>
      </c>
      <c r="E13" s="15">
        <v>310250</v>
      </c>
      <c r="F13" s="59">
        <f t="shared" si="0"/>
        <v>3102500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4.4">
      <c r="A14" s="11" t="s">
        <v>25</v>
      </c>
      <c r="B14" s="12" t="s">
        <v>26</v>
      </c>
      <c r="C14" s="13" t="s">
        <v>18</v>
      </c>
      <c r="D14" s="14">
        <v>30</v>
      </c>
      <c r="E14" s="15">
        <v>28332</v>
      </c>
      <c r="F14" s="59">
        <f t="shared" si="0"/>
        <v>849960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4.4">
      <c r="A15" s="11" t="s">
        <v>27</v>
      </c>
      <c r="B15" s="12" t="s">
        <v>28</v>
      </c>
      <c r="C15" s="13" t="s">
        <v>15</v>
      </c>
      <c r="D15" s="14">
        <v>20.79</v>
      </c>
      <c r="E15" s="15">
        <v>53800</v>
      </c>
      <c r="F15" s="59">
        <f t="shared" si="0"/>
        <v>1118502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4.4">
      <c r="A16" s="11" t="s">
        <v>29</v>
      </c>
      <c r="B16" s="12" t="s">
        <v>30</v>
      </c>
      <c r="C16" s="13" t="s">
        <v>4</v>
      </c>
      <c r="D16" s="14">
        <v>20</v>
      </c>
      <c r="E16" s="15">
        <v>262667</v>
      </c>
      <c r="F16" s="59">
        <f t="shared" si="0"/>
        <v>5253340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4.4">
      <c r="A17" s="11" t="s">
        <v>31</v>
      </c>
      <c r="B17" s="12" t="s">
        <v>32</v>
      </c>
      <c r="C17" s="13" t="s">
        <v>4</v>
      </c>
      <c r="D17" s="14">
        <v>18</v>
      </c>
      <c r="E17" s="15">
        <v>32310</v>
      </c>
      <c r="F17" s="59">
        <f t="shared" si="0"/>
        <v>581580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4">
      <c r="A18" s="11" t="s">
        <v>33</v>
      </c>
      <c r="B18" s="12" t="s">
        <v>34</v>
      </c>
      <c r="C18" s="13" t="s">
        <v>18</v>
      </c>
      <c r="D18" s="14">
        <v>50</v>
      </c>
      <c r="E18" s="15">
        <v>20164</v>
      </c>
      <c r="F18" s="59">
        <f t="shared" si="0"/>
        <v>1008200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thickBot="1">
      <c r="A19" s="18" t="s">
        <v>35</v>
      </c>
      <c r="B19" s="19" t="s">
        <v>36</v>
      </c>
      <c r="C19" s="20" t="s">
        <v>18</v>
      </c>
      <c r="D19" s="21">
        <v>50</v>
      </c>
      <c r="E19" s="22">
        <v>58535</v>
      </c>
      <c r="F19" s="59">
        <f t="shared" si="0"/>
        <v>2926750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4">
      <c r="A20" s="6">
        <v>2</v>
      </c>
      <c r="B20" s="7" t="s">
        <v>37</v>
      </c>
      <c r="C20" s="8"/>
      <c r="D20" s="9"/>
      <c r="E20" s="23"/>
      <c r="F20" s="6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>
      <c r="A21" s="11" t="s">
        <v>39</v>
      </c>
      <c r="B21" s="12" t="s">
        <v>40</v>
      </c>
      <c r="C21" s="13" t="s">
        <v>18</v>
      </c>
      <c r="D21" s="14">
        <v>120</v>
      </c>
      <c r="E21" s="15">
        <v>35883</v>
      </c>
      <c r="F21" s="59">
        <f t="shared" ref="F21:F52" si="1">E21*D21</f>
        <v>4305960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>
      <c r="A22" s="11" t="s">
        <v>41</v>
      </c>
      <c r="B22" s="12" t="s">
        <v>42</v>
      </c>
      <c r="C22" s="13" t="s">
        <v>18</v>
      </c>
      <c r="D22" s="14">
        <v>40</v>
      </c>
      <c r="E22" s="15">
        <v>43026</v>
      </c>
      <c r="F22" s="59">
        <f t="shared" si="1"/>
        <v>1721040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>
      <c r="A23" s="11" t="s">
        <v>43</v>
      </c>
      <c r="B23" s="12" t="s">
        <v>44</v>
      </c>
      <c r="C23" s="13" t="s">
        <v>18</v>
      </c>
      <c r="D23" s="14">
        <v>110</v>
      </c>
      <c r="E23" s="15">
        <v>56925</v>
      </c>
      <c r="F23" s="59">
        <f t="shared" si="1"/>
        <v>6261750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>
      <c r="A24" s="11" t="s">
        <v>45</v>
      </c>
      <c r="B24" s="12" t="s">
        <v>46</v>
      </c>
      <c r="C24" s="13" t="s">
        <v>18</v>
      </c>
      <c r="D24" s="14">
        <v>100</v>
      </c>
      <c r="E24" s="15">
        <v>90760</v>
      </c>
      <c r="F24" s="59">
        <f t="shared" si="1"/>
        <v>9076000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>
      <c r="A25" s="11" t="s">
        <v>47</v>
      </c>
      <c r="B25" s="12" t="s">
        <v>48</v>
      </c>
      <c r="C25" s="13" t="s">
        <v>18</v>
      </c>
      <c r="D25" s="14">
        <v>80</v>
      </c>
      <c r="E25" s="15">
        <v>107548</v>
      </c>
      <c r="F25" s="59">
        <f t="shared" si="1"/>
        <v>8603840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>
      <c r="A26" s="11" t="s">
        <v>49</v>
      </c>
      <c r="B26" s="12" t="s">
        <v>50</v>
      </c>
      <c r="C26" s="13" t="s">
        <v>18</v>
      </c>
      <c r="D26" s="14">
        <v>80</v>
      </c>
      <c r="E26" s="15">
        <v>120575</v>
      </c>
      <c r="F26" s="59">
        <f t="shared" si="1"/>
        <v>9646000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>
      <c r="A27" s="11" t="s">
        <v>51</v>
      </c>
      <c r="B27" s="12" t="s">
        <v>52</v>
      </c>
      <c r="C27" s="13" t="s">
        <v>18</v>
      </c>
      <c r="D27" s="14">
        <v>40</v>
      </c>
      <c r="E27" s="15">
        <v>116933</v>
      </c>
      <c r="F27" s="59">
        <f t="shared" si="1"/>
        <v>4677320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>
      <c r="A28" s="11" t="s">
        <v>53</v>
      </c>
      <c r="B28" s="12" t="s">
        <v>54</v>
      </c>
      <c r="C28" s="13" t="s">
        <v>18</v>
      </c>
      <c r="D28" s="14">
        <v>120</v>
      </c>
      <c r="E28" s="15">
        <v>35439</v>
      </c>
      <c r="F28" s="59">
        <f t="shared" si="1"/>
        <v>4252680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32.25" customHeight="1">
      <c r="A29" s="11" t="s">
        <v>55</v>
      </c>
      <c r="B29" s="12" t="s">
        <v>56</v>
      </c>
      <c r="C29" s="13" t="s">
        <v>18</v>
      </c>
      <c r="D29" s="14">
        <v>60</v>
      </c>
      <c r="E29" s="15">
        <v>44194</v>
      </c>
      <c r="F29" s="59">
        <f t="shared" si="1"/>
        <v>2651640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>
      <c r="A30" s="11" t="s">
        <v>57</v>
      </c>
      <c r="B30" s="12" t="s">
        <v>58</v>
      </c>
      <c r="C30" s="13" t="s">
        <v>18</v>
      </c>
      <c r="D30" s="14">
        <v>40</v>
      </c>
      <c r="E30" s="15">
        <v>53263</v>
      </c>
      <c r="F30" s="59">
        <f t="shared" si="1"/>
        <v>2130520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>
      <c r="A31" s="11" t="s">
        <v>59</v>
      </c>
      <c r="B31" s="12" t="s">
        <v>60</v>
      </c>
      <c r="C31" s="13" t="s">
        <v>4</v>
      </c>
      <c r="D31" s="14">
        <v>6</v>
      </c>
      <c r="E31" s="15">
        <v>635054</v>
      </c>
      <c r="F31" s="59">
        <f t="shared" si="1"/>
        <v>3810324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>
      <c r="A32" s="11" t="s">
        <v>61</v>
      </c>
      <c r="B32" s="12" t="s">
        <v>62</v>
      </c>
      <c r="C32" s="13" t="s">
        <v>4</v>
      </c>
      <c r="D32" s="14">
        <v>6</v>
      </c>
      <c r="E32" s="15">
        <v>56809</v>
      </c>
      <c r="F32" s="59">
        <f t="shared" si="1"/>
        <v>340854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>
      <c r="A33" s="11" t="s">
        <v>63</v>
      </c>
      <c r="B33" s="12" t="s">
        <v>64</v>
      </c>
      <c r="C33" s="13" t="s">
        <v>4</v>
      </c>
      <c r="D33" s="14">
        <v>6</v>
      </c>
      <c r="E33" s="15">
        <v>64128</v>
      </c>
      <c r="F33" s="59">
        <f t="shared" si="1"/>
        <v>384768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>
      <c r="A34" s="11" t="s">
        <v>65</v>
      </c>
      <c r="B34" s="12" t="s">
        <v>66</v>
      </c>
      <c r="C34" s="13" t="s">
        <v>4</v>
      </c>
      <c r="D34" s="14">
        <v>6</v>
      </c>
      <c r="E34" s="15">
        <v>157152</v>
      </c>
      <c r="F34" s="59">
        <f t="shared" si="1"/>
        <v>942912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>
      <c r="A35" s="11" t="s">
        <v>67</v>
      </c>
      <c r="B35" s="12" t="s">
        <v>68</v>
      </c>
      <c r="C35" s="13" t="s">
        <v>4</v>
      </c>
      <c r="D35" s="14">
        <v>6</v>
      </c>
      <c r="E35" s="15">
        <v>96245</v>
      </c>
      <c r="F35" s="59">
        <f t="shared" si="1"/>
        <v>577470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>
      <c r="A36" s="11" t="s">
        <v>69</v>
      </c>
      <c r="B36" s="12" t="s">
        <v>70</v>
      </c>
      <c r="C36" s="13" t="s">
        <v>4</v>
      </c>
      <c r="D36" s="14">
        <v>6</v>
      </c>
      <c r="E36" s="15">
        <v>233515</v>
      </c>
      <c r="F36" s="59">
        <f t="shared" si="1"/>
        <v>1401090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>
      <c r="A37" s="11" t="s">
        <v>71</v>
      </c>
      <c r="B37" s="12" t="s">
        <v>72</v>
      </c>
      <c r="C37" s="13" t="s">
        <v>4</v>
      </c>
      <c r="D37" s="14">
        <v>6</v>
      </c>
      <c r="E37" s="15">
        <v>388378</v>
      </c>
      <c r="F37" s="59">
        <f t="shared" si="1"/>
        <v>2330268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>
      <c r="A38" s="11" t="s">
        <v>73</v>
      </c>
      <c r="B38" s="12" t="s">
        <v>74</v>
      </c>
      <c r="C38" s="13" t="s">
        <v>4</v>
      </c>
      <c r="D38" s="14">
        <v>6</v>
      </c>
      <c r="E38" s="15">
        <v>261260</v>
      </c>
      <c r="F38" s="59">
        <f t="shared" si="1"/>
        <v>1567560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>
      <c r="A39" s="11" t="s">
        <v>75</v>
      </c>
      <c r="B39" s="12" t="s">
        <v>76</v>
      </c>
      <c r="C39" s="13" t="s">
        <v>4</v>
      </c>
      <c r="D39" s="14">
        <v>6</v>
      </c>
      <c r="E39" s="15">
        <v>366109</v>
      </c>
      <c r="F39" s="59">
        <f t="shared" si="1"/>
        <v>2196654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>
      <c r="A40" s="11" t="s">
        <v>77</v>
      </c>
      <c r="B40" s="12" t="s">
        <v>78</v>
      </c>
      <c r="C40" s="13" t="s">
        <v>4</v>
      </c>
      <c r="D40" s="14">
        <v>10</v>
      </c>
      <c r="E40" s="15">
        <v>27361</v>
      </c>
      <c r="F40" s="59">
        <f t="shared" si="1"/>
        <v>273610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>
      <c r="A41" s="11" t="s">
        <v>79</v>
      </c>
      <c r="B41" s="12" t="s">
        <v>80</v>
      </c>
      <c r="C41" s="13" t="s">
        <v>4</v>
      </c>
      <c r="D41" s="14">
        <v>10</v>
      </c>
      <c r="E41" s="15">
        <v>43325</v>
      </c>
      <c r="F41" s="59">
        <f t="shared" si="1"/>
        <v>433250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>
      <c r="A42" s="11" t="s">
        <v>81</v>
      </c>
      <c r="B42" s="12" t="s">
        <v>82</v>
      </c>
      <c r="C42" s="13" t="s">
        <v>4</v>
      </c>
      <c r="D42" s="14">
        <v>6</v>
      </c>
      <c r="E42" s="15">
        <v>116095</v>
      </c>
      <c r="F42" s="59">
        <f t="shared" si="1"/>
        <v>696570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>
      <c r="A43" s="11" t="s">
        <v>83</v>
      </c>
      <c r="B43" s="12" t="s">
        <v>84</v>
      </c>
      <c r="C43" s="13" t="s">
        <v>4</v>
      </c>
      <c r="D43" s="14">
        <v>6</v>
      </c>
      <c r="E43" s="15">
        <v>59473</v>
      </c>
      <c r="F43" s="59">
        <f t="shared" si="1"/>
        <v>356838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>
      <c r="A44" s="11" t="s">
        <v>85</v>
      </c>
      <c r="B44" s="12" t="s">
        <v>86</v>
      </c>
      <c r="C44" s="13" t="s">
        <v>4</v>
      </c>
      <c r="D44" s="14">
        <v>6</v>
      </c>
      <c r="E44" s="15">
        <v>101718</v>
      </c>
      <c r="F44" s="59">
        <f t="shared" si="1"/>
        <v>610308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>
      <c r="A45" s="11" t="s">
        <v>87</v>
      </c>
      <c r="B45" s="12" t="s">
        <v>88</v>
      </c>
      <c r="C45" s="13" t="s">
        <v>4</v>
      </c>
      <c r="D45" s="14">
        <v>6</v>
      </c>
      <c r="E45" s="15">
        <v>60389</v>
      </c>
      <c r="F45" s="59">
        <f t="shared" si="1"/>
        <v>362334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>
      <c r="A46" s="11" t="s">
        <v>89</v>
      </c>
      <c r="B46" s="12" t="s">
        <v>90</v>
      </c>
      <c r="C46" s="13" t="s">
        <v>4</v>
      </c>
      <c r="D46" s="14">
        <v>6</v>
      </c>
      <c r="E46" s="15">
        <v>113750</v>
      </c>
      <c r="F46" s="59">
        <f t="shared" si="1"/>
        <v>682500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>
      <c r="A47" s="11" t="s">
        <v>91</v>
      </c>
      <c r="B47" s="12" t="s">
        <v>92</v>
      </c>
      <c r="C47" s="13" t="s">
        <v>4</v>
      </c>
      <c r="D47" s="14">
        <v>1</v>
      </c>
      <c r="E47" s="15">
        <v>687120</v>
      </c>
      <c r="F47" s="59">
        <f t="shared" si="1"/>
        <v>687120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>
      <c r="A48" s="11" t="s">
        <v>93</v>
      </c>
      <c r="B48" s="12" t="s">
        <v>94</v>
      </c>
      <c r="C48" s="13" t="s">
        <v>4</v>
      </c>
      <c r="D48" s="14">
        <v>1</v>
      </c>
      <c r="E48" s="15">
        <v>1593750</v>
      </c>
      <c r="F48" s="59">
        <f t="shared" si="1"/>
        <v>1593750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>
      <c r="A49" s="11" t="s">
        <v>95</v>
      </c>
      <c r="B49" s="12" t="s">
        <v>96</v>
      </c>
      <c r="C49" s="13" t="s">
        <v>4</v>
      </c>
      <c r="D49" s="14">
        <v>1</v>
      </c>
      <c r="E49" s="15">
        <v>808400</v>
      </c>
      <c r="F49" s="59">
        <f t="shared" si="1"/>
        <v>808400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>
      <c r="A50" s="11" t="s">
        <v>97</v>
      </c>
      <c r="B50" s="12" t="s">
        <v>98</v>
      </c>
      <c r="C50" s="13" t="s">
        <v>4</v>
      </c>
      <c r="D50" s="14">
        <v>6</v>
      </c>
      <c r="E50" s="15">
        <v>268660</v>
      </c>
      <c r="F50" s="59">
        <f t="shared" si="1"/>
        <v>1611960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>
      <c r="A51" s="11" t="s">
        <v>99</v>
      </c>
      <c r="B51" s="12" t="s">
        <v>100</v>
      </c>
      <c r="C51" s="13" t="s">
        <v>4</v>
      </c>
      <c r="D51" s="14">
        <v>6</v>
      </c>
      <c r="E51" s="15">
        <v>370795</v>
      </c>
      <c r="F51" s="59">
        <f t="shared" si="1"/>
        <v>2224770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thickBot="1">
      <c r="A52" s="18" t="s">
        <v>101</v>
      </c>
      <c r="B52" s="19" t="s">
        <v>102</v>
      </c>
      <c r="C52" s="20" t="s">
        <v>4</v>
      </c>
      <c r="D52" s="21">
        <v>6</v>
      </c>
      <c r="E52" s="22">
        <v>156695</v>
      </c>
      <c r="F52" s="59">
        <f t="shared" si="1"/>
        <v>940170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20.25" customHeight="1">
      <c r="A53" s="6">
        <v>3</v>
      </c>
      <c r="B53" s="7" t="s">
        <v>103</v>
      </c>
      <c r="C53" s="8"/>
      <c r="D53" s="9"/>
      <c r="E53" s="23"/>
      <c r="F53" s="6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20.25" customHeight="1">
      <c r="A54" s="11" t="s">
        <v>104</v>
      </c>
      <c r="B54" s="12" t="s">
        <v>105</v>
      </c>
      <c r="C54" s="13" t="s">
        <v>4</v>
      </c>
      <c r="D54" s="14">
        <v>18</v>
      </c>
      <c r="E54" s="15">
        <v>237840</v>
      </c>
      <c r="F54" s="59">
        <f t="shared" ref="F54:F56" si="2">E54*D54</f>
        <v>4281120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55.5" customHeight="1">
      <c r="A55" s="11" t="s">
        <v>106</v>
      </c>
      <c r="B55" s="12" t="s">
        <v>107</v>
      </c>
      <c r="C55" s="13" t="s">
        <v>18</v>
      </c>
      <c r="D55" s="14">
        <v>100</v>
      </c>
      <c r="E55" s="15">
        <v>23593</v>
      </c>
      <c r="F55" s="59">
        <f t="shared" si="2"/>
        <v>2359300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spans="1:22" ht="34.5" customHeight="1" thickBot="1">
      <c r="A56" s="18" t="s">
        <v>108</v>
      </c>
      <c r="B56" s="19" t="s">
        <v>109</v>
      </c>
      <c r="C56" s="20" t="s">
        <v>4</v>
      </c>
      <c r="D56" s="21">
        <v>18</v>
      </c>
      <c r="E56" s="22">
        <v>637973</v>
      </c>
      <c r="F56" s="59">
        <f t="shared" si="2"/>
        <v>11483514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9.5" customHeight="1">
      <c r="A57" s="6">
        <v>4</v>
      </c>
      <c r="B57" s="7" t="s">
        <v>110</v>
      </c>
      <c r="C57" s="8"/>
      <c r="D57" s="9"/>
      <c r="E57" s="23"/>
      <c r="F57" s="6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9.5" customHeight="1">
      <c r="A58" s="11" t="s">
        <v>111</v>
      </c>
      <c r="B58" s="12" t="s">
        <v>112</v>
      </c>
      <c r="C58" s="13" t="s">
        <v>18</v>
      </c>
      <c r="D58" s="14">
        <v>5</v>
      </c>
      <c r="E58" s="15">
        <v>125956</v>
      </c>
      <c r="F58" s="59">
        <f t="shared" ref="F58:F67" si="3">E58*D58</f>
        <v>629780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9.5" customHeight="1">
      <c r="A59" s="11" t="s">
        <v>113</v>
      </c>
      <c r="B59" s="12" t="s">
        <v>114</v>
      </c>
      <c r="C59" s="13" t="s">
        <v>15</v>
      </c>
      <c r="D59" s="14">
        <v>10</v>
      </c>
      <c r="E59" s="15">
        <v>130845</v>
      </c>
      <c r="F59" s="59">
        <f t="shared" si="3"/>
        <v>1308450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9.5" customHeight="1">
      <c r="A60" s="11" t="s">
        <v>115</v>
      </c>
      <c r="B60" s="25" t="s">
        <v>116</v>
      </c>
      <c r="C60" s="26" t="s">
        <v>15</v>
      </c>
      <c r="D60" s="27">
        <v>10</v>
      </c>
      <c r="E60" s="28">
        <v>139338</v>
      </c>
      <c r="F60" s="59">
        <f t="shared" si="3"/>
        <v>1393380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9.5" customHeight="1">
      <c r="A61" s="11" t="s">
        <v>117</v>
      </c>
      <c r="B61" s="12" t="s">
        <v>118</v>
      </c>
      <c r="C61" s="13" t="s">
        <v>15</v>
      </c>
      <c r="D61" s="14">
        <v>10</v>
      </c>
      <c r="E61" s="15">
        <v>214166</v>
      </c>
      <c r="F61" s="59">
        <f t="shared" si="3"/>
        <v>2141660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9.5" customHeight="1">
      <c r="A62" s="11" t="s">
        <v>119</v>
      </c>
      <c r="B62" s="12" t="s">
        <v>120</v>
      </c>
      <c r="C62" s="13" t="s">
        <v>15</v>
      </c>
      <c r="D62" s="14">
        <v>5</v>
      </c>
      <c r="E62" s="15">
        <v>52388</v>
      </c>
      <c r="F62" s="59">
        <f t="shared" si="3"/>
        <v>261940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9.5" customHeight="1">
      <c r="A63" s="11" t="s">
        <v>121</v>
      </c>
      <c r="B63" s="12" t="s">
        <v>120</v>
      </c>
      <c r="C63" s="13" t="s">
        <v>18</v>
      </c>
      <c r="D63" s="14">
        <v>5</v>
      </c>
      <c r="E63" s="15">
        <v>22583</v>
      </c>
      <c r="F63" s="59">
        <f t="shared" si="3"/>
        <v>112915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9.5" customHeight="1">
      <c r="A64" s="11" t="s">
        <v>122</v>
      </c>
      <c r="B64" s="12" t="s">
        <v>123</v>
      </c>
      <c r="C64" s="13" t="s">
        <v>18</v>
      </c>
      <c r="D64" s="14">
        <v>20</v>
      </c>
      <c r="E64" s="15">
        <v>20974</v>
      </c>
      <c r="F64" s="59">
        <f t="shared" si="3"/>
        <v>419480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9.5" customHeight="1">
      <c r="A65" s="11" t="s">
        <v>124</v>
      </c>
      <c r="B65" s="12" t="s">
        <v>125</v>
      </c>
      <c r="C65" s="13" t="s">
        <v>18</v>
      </c>
      <c r="D65" s="14">
        <v>10</v>
      </c>
      <c r="E65" s="15">
        <v>21104</v>
      </c>
      <c r="F65" s="59">
        <f t="shared" si="3"/>
        <v>211040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>
      <c r="A66" s="11" t="s">
        <v>126</v>
      </c>
      <c r="B66" s="12" t="s">
        <v>127</v>
      </c>
      <c r="C66" s="13" t="s">
        <v>15</v>
      </c>
      <c r="D66" s="14">
        <v>10</v>
      </c>
      <c r="E66" s="15">
        <v>25816</v>
      </c>
      <c r="F66" s="59">
        <f t="shared" si="3"/>
        <v>258160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21.75" customHeight="1" thickBot="1">
      <c r="A67" s="18" t="s">
        <v>128</v>
      </c>
      <c r="B67" s="19" t="s">
        <v>129</v>
      </c>
      <c r="C67" s="20" t="s">
        <v>15</v>
      </c>
      <c r="D67" s="21">
        <v>10</v>
      </c>
      <c r="E67" s="22">
        <v>32264</v>
      </c>
      <c r="F67" s="59">
        <f t="shared" si="3"/>
        <v>322640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21.75" customHeight="1">
      <c r="A68" s="6">
        <v>5</v>
      </c>
      <c r="B68" s="7" t="s">
        <v>130</v>
      </c>
      <c r="C68" s="8"/>
      <c r="D68" s="9"/>
      <c r="E68" s="23"/>
      <c r="F68" s="6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32.25" customHeight="1">
      <c r="A69" s="11" t="s">
        <v>131</v>
      </c>
      <c r="B69" s="12" t="s">
        <v>132</v>
      </c>
      <c r="C69" s="13" t="s">
        <v>15</v>
      </c>
      <c r="D69" s="14">
        <v>3</v>
      </c>
      <c r="E69" s="15">
        <v>74120</v>
      </c>
      <c r="F69" s="59">
        <f t="shared" ref="F69:F71" si="4">E69*D69</f>
        <v>222360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44.25" customHeight="1">
      <c r="A70" s="11" t="s">
        <v>133</v>
      </c>
      <c r="B70" s="12" t="s">
        <v>134</v>
      </c>
      <c r="C70" s="13" t="s">
        <v>12</v>
      </c>
      <c r="D70" s="14">
        <v>0.5</v>
      </c>
      <c r="E70" s="15">
        <v>2466230</v>
      </c>
      <c r="F70" s="59">
        <f t="shared" si="4"/>
        <v>1233115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44.25" customHeight="1" thickBot="1">
      <c r="A71" s="18" t="s">
        <v>135</v>
      </c>
      <c r="B71" s="19" t="s">
        <v>136</v>
      </c>
      <c r="C71" s="20" t="s">
        <v>12</v>
      </c>
      <c r="D71" s="21">
        <v>1</v>
      </c>
      <c r="E71" s="22">
        <v>2516187</v>
      </c>
      <c r="F71" s="59">
        <f t="shared" si="4"/>
        <v>2516187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21.75" customHeight="1" thickBot="1">
      <c r="A72" s="29">
        <v>6</v>
      </c>
      <c r="B72" s="30" t="s">
        <v>137</v>
      </c>
      <c r="C72" s="31"/>
      <c r="D72" s="32"/>
      <c r="E72" s="33"/>
      <c r="F72" s="6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29.25" customHeight="1">
      <c r="A73" s="34" t="s">
        <v>138</v>
      </c>
      <c r="B73" s="35" t="s">
        <v>139</v>
      </c>
      <c r="C73" s="36" t="s">
        <v>140</v>
      </c>
      <c r="D73" s="37">
        <v>33</v>
      </c>
      <c r="E73" s="38">
        <v>595480</v>
      </c>
      <c r="F73" s="64">
        <f>+ROUND(D73*E73,0)</f>
        <v>19650840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46.5" customHeight="1">
      <c r="A74" s="17" t="s">
        <v>141</v>
      </c>
      <c r="B74" s="12" t="s">
        <v>142</v>
      </c>
      <c r="C74" s="13" t="s">
        <v>143</v>
      </c>
      <c r="D74" s="14">
        <v>2175.86</v>
      </c>
      <c r="E74" s="15">
        <v>21676</v>
      </c>
      <c r="F74" s="64">
        <f t="shared" ref="F74:F79" si="5">+ROUND(D74*E74,0)</f>
        <v>47163941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24.75" customHeight="1">
      <c r="A75" s="17" t="s">
        <v>144</v>
      </c>
      <c r="B75" s="12" t="s">
        <v>145</v>
      </c>
      <c r="C75" s="13" t="s">
        <v>143</v>
      </c>
      <c r="D75" s="14">
        <v>2786.88</v>
      </c>
      <c r="E75" s="15">
        <v>20823</v>
      </c>
      <c r="F75" s="64">
        <f t="shared" si="5"/>
        <v>58031202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38.25" customHeight="1">
      <c r="A76" s="17" t="s">
        <v>146</v>
      </c>
      <c r="B76" s="12" t="s">
        <v>147</v>
      </c>
      <c r="C76" s="13" t="s">
        <v>15</v>
      </c>
      <c r="D76" s="14">
        <v>360</v>
      </c>
      <c r="E76" s="15">
        <v>373840</v>
      </c>
      <c r="F76" s="64">
        <f t="shared" si="5"/>
        <v>134582400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38.25" customHeight="1">
      <c r="A77" s="17" t="s">
        <v>148</v>
      </c>
      <c r="B77" s="12" t="s">
        <v>149</v>
      </c>
      <c r="C77" s="13" t="s">
        <v>18</v>
      </c>
      <c r="D77" s="14">
        <v>720</v>
      </c>
      <c r="E77" s="15">
        <v>9988</v>
      </c>
      <c r="F77" s="64">
        <f t="shared" si="5"/>
        <v>7191360</v>
      </c>
      <c r="G77" s="3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38.25" customHeight="1">
      <c r="A78" s="17" t="s">
        <v>150</v>
      </c>
      <c r="B78" s="12" t="s">
        <v>151</v>
      </c>
      <c r="C78" s="13" t="s">
        <v>18</v>
      </c>
      <c r="D78" s="14">
        <v>60</v>
      </c>
      <c r="E78" s="15">
        <v>69350</v>
      </c>
      <c r="F78" s="64">
        <f t="shared" si="5"/>
        <v>4161000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38.25" customHeight="1" thickBot="1">
      <c r="A79" s="40" t="s">
        <v>152</v>
      </c>
      <c r="B79" s="19" t="s">
        <v>153</v>
      </c>
      <c r="C79" s="20" t="s">
        <v>18</v>
      </c>
      <c r="D79" s="21">
        <v>265</v>
      </c>
      <c r="E79" s="22">
        <v>21287</v>
      </c>
      <c r="F79" s="64">
        <f t="shared" si="5"/>
        <v>5641055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38.25" customHeight="1">
      <c r="A80" s="6">
        <v>7</v>
      </c>
      <c r="B80" s="7" t="s">
        <v>154</v>
      </c>
      <c r="C80" s="8"/>
      <c r="D80" s="9"/>
      <c r="E80" s="23"/>
      <c r="F80" s="6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38.25" customHeight="1">
      <c r="A81" s="17" t="s">
        <v>155</v>
      </c>
      <c r="B81" s="12" t="s">
        <v>156</v>
      </c>
      <c r="C81" s="13" t="s">
        <v>143</v>
      </c>
      <c r="D81" s="14">
        <v>650</v>
      </c>
      <c r="E81" s="15">
        <v>27882</v>
      </c>
      <c r="F81" s="59">
        <f t="shared" ref="F81:F85" si="6">E81*D81</f>
        <v>18123300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38.25" customHeight="1">
      <c r="A82" s="17" t="s">
        <v>157</v>
      </c>
      <c r="B82" s="12" t="s">
        <v>158</v>
      </c>
      <c r="C82" s="13" t="s">
        <v>143</v>
      </c>
      <c r="D82" s="14">
        <v>504</v>
      </c>
      <c r="E82" s="15">
        <v>26775</v>
      </c>
      <c r="F82" s="59">
        <f t="shared" si="6"/>
        <v>13494600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24.75" customHeight="1">
      <c r="A83" s="17" t="s">
        <v>159</v>
      </c>
      <c r="B83" s="12" t="s">
        <v>160</v>
      </c>
      <c r="C83" s="13" t="s">
        <v>143</v>
      </c>
      <c r="D83" s="14">
        <v>65</v>
      </c>
      <c r="E83" s="15">
        <v>28587</v>
      </c>
      <c r="F83" s="59">
        <f t="shared" si="6"/>
        <v>1858155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>
      <c r="A84" s="17" t="s">
        <v>161</v>
      </c>
      <c r="B84" s="12" t="s">
        <v>162</v>
      </c>
      <c r="C84" s="13" t="s">
        <v>4</v>
      </c>
      <c r="D84" s="14">
        <v>2</v>
      </c>
      <c r="E84" s="15">
        <v>3061750</v>
      </c>
      <c r="F84" s="59">
        <f t="shared" si="6"/>
        <v>6123500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36" customHeight="1" thickBot="1">
      <c r="A85" s="40" t="s">
        <v>163</v>
      </c>
      <c r="B85" s="19" t="s">
        <v>164</v>
      </c>
      <c r="C85" s="20" t="s">
        <v>4</v>
      </c>
      <c r="D85" s="21">
        <v>1</v>
      </c>
      <c r="E85" s="22">
        <v>11338725</v>
      </c>
      <c r="F85" s="59">
        <f t="shared" si="6"/>
        <v>11338725</v>
      </c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spans="1:22" ht="21.75" customHeight="1">
      <c r="A86" s="6">
        <v>8</v>
      </c>
      <c r="B86" s="7" t="s">
        <v>165</v>
      </c>
      <c r="C86" s="8"/>
      <c r="D86" s="9"/>
      <c r="E86" s="23"/>
      <c r="F86" s="6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spans="1:22" ht="25.5" customHeight="1">
      <c r="A87" s="11" t="s">
        <v>166</v>
      </c>
      <c r="B87" s="12" t="s">
        <v>167</v>
      </c>
      <c r="C87" s="13" t="s">
        <v>15</v>
      </c>
      <c r="D87" s="14">
        <v>2</v>
      </c>
      <c r="E87" s="15">
        <v>307510</v>
      </c>
      <c r="F87" s="59">
        <f t="shared" ref="F87:F88" si="7">E87*D87</f>
        <v>615020</v>
      </c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spans="1:22" ht="21.75" customHeight="1" thickBot="1">
      <c r="A88" s="18" t="s">
        <v>168</v>
      </c>
      <c r="B88" s="19" t="s">
        <v>169</v>
      </c>
      <c r="C88" s="20" t="s">
        <v>18</v>
      </c>
      <c r="D88" s="21">
        <v>50</v>
      </c>
      <c r="E88" s="42">
        <v>229615</v>
      </c>
      <c r="F88" s="59">
        <f t="shared" si="7"/>
        <v>11480750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9.5" customHeight="1">
      <c r="A89" s="6">
        <v>9</v>
      </c>
      <c r="B89" s="7" t="s">
        <v>170</v>
      </c>
      <c r="C89" s="8"/>
      <c r="D89" s="9"/>
      <c r="E89" s="23"/>
      <c r="F89" s="6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4">
      <c r="A90" s="43">
        <v>9.1</v>
      </c>
      <c r="B90" s="12" t="s">
        <v>171</v>
      </c>
      <c r="C90" s="14" t="s">
        <v>140</v>
      </c>
      <c r="D90" s="14">
        <v>1</v>
      </c>
      <c r="E90" s="15">
        <v>264000</v>
      </c>
      <c r="F90" s="64">
        <f t="shared" ref="F90:F96" si="8">+ROUND(D90*E90,0)</f>
        <v>264000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27.6">
      <c r="A91" s="43">
        <v>9.1999999999999993</v>
      </c>
      <c r="B91" s="12" t="s">
        <v>172</v>
      </c>
      <c r="C91" s="14" t="s">
        <v>140</v>
      </c>
      <c r="D91" s="14">
        <v>6</v>
      </c>
      <c r="E91" s="15">
        <v>74374</v>
      </c>
      <c r="F91" s="64">
        <f t="shared" si="8"/>
        <v>446244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4">
      <c r="A92" s="43">
        <v>9.3000000000000007</v>
      </c>
      <c r="B92" s="25" t="s">
        <v>173</v>
      </c>
      <c r="C92" s="27" t="s">
        <v>174</v>
      </c>
      <c r="D92" s="27">
        <v>1</v>
      </c>
      <c r="E92" s="28">
        <v>27335</v>
      </c>
      <c r="F92" s="64">
        <f t="shared" si="8"/>
        <v>27335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7.6">
      <c r="A93" s="43">
        <v>9.4</v>
      </c>
      <c r="B93" s="12" t="s">
        <v>175</v>
      </c>
      <c r="C93" s="14" t="s">
        <v>140</v>
      </c>
      <c r="D93" s="14">
        <v>4</v>
      </c>
      <c r="E93" s="15">
        <v>191900</v>
      </c>
      <c r="F93" s="64">
        <f t="shared" si="8"/>
        <v>767600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4">
      <c r="A94" s="43">
        <v>9.5</v>
      </c>
      <c r="B94" s="12" t="s">
        <v>176</v>
      </c>
      <c r="C94" s="14" t="s">
        <v>140</v>
      </c>
      <c r="D94" s="14">
        <v>1</v>
      </c>
      <c r="E94" s="15">
        <v>407683</v>
      </c>
      <c r="F94" s="64">
        <f t="shared" si="8"/>
        <v>407683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4">
      <c r="A95" s="43">
        <v>9.6</v>
      </c>
      <c r="B95" s="12" t="s">
        <v>177</v>
      </c>
      <c r="C95" s="14" t="s">
        <v>140</v>
      </c>
      <c r="D95" s="14">
        <v>1</v>
      </c>
      <c r="E95" s="15">
        <v>3413</v>
      </c>
      <c r="F95" s="64">
        <f t="shared" si="8"/>
        <v>3413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thickBot="1">
      <c r="A96" s="43">
        <v>9.6999999999999993</v>
      </c>
      <c r="B96" s="56" t="s">
        <v>194</v>
      </c>
      <c r="C96" s="14" t="s">
        <v>195</v>
      </c>
      <c r="D96" s="14">
        <v>3</v>
      </c>
      <c r="E96" s="15">
        <v>373425</v>
      </c>
      <c r="F96" s="64">
        <f t="shared" si="8"/>
        <v>1120275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21.75" customHeight="1">
      <c r="A97" s="135" t="s">
        <v>178</v>
      </c>
      <c r="B97" s="136"/>
      <c r="C97" s="136"/>
      <c r="D97" s="137"/>
      <c r="E97" s="44"/>
      <c r="F97" s="65">
        <f>SUM(F8:F96)</f>
        <v>481825169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21.75" customHeight="1">
      <c r="A98" s="119" t="s">
        <v>179</v>
      </c>
      <c r="B98" s="120"/>
      <c r="C98" s="120"/>
      <c r="D98" s="121"/>
      <c r="E98" s="45">
        <v>0.25929999999999997</v>
      </c>
      <c r="F98" s="66">
        <f>+ROUND(F97*E98,0)</f>
        <v>124937266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21.75" customHeight="1">
      <c r="A99" s="119" t="s">
        <v>180</v>
      </c>
      <c r="B99" s="120"/>
      <c r="C99" s="120"/>
      <c r="D99" s="121"/>
      <c r="E99" s="45">
        <v>0.01</v>
      </c>
      <c r="F99" s="66">
        <f>+ROUND(F97*E99,0)</f>
        <v>4818252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21.75" customHeight="1">
      <c r="A100" s="119" t="s">
        <v>38</v>
      </c>
      <c r="B100" s="120"/>
      <c r="C100" s="120"/>
      <c r="D100" s="121"/>
      <c r="E100" s="45">
        <v>0.04</v>
      </c>
      <c r="F100" s="66">
        <f>+ROUND(F97*E100,0)</f>
        <v>19273007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21.75" customHeight="1">
      <c r="A101" s="119" t="s">
        <v>181</v>
      </c>
      <c r="B101" s="120"/>
      <c r="C101" s="120"/>
      <c r="D101" s="121"/>
      <c r="E101" s="45">
        <v>0.19</v>
      </c>
      <c r="F101" s="66">
        <f>+ROUND(F100*E101,0)</f>
        <v>3661871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21.75" customHeight="1">
      <c r="A102" s="122" t="s">
        <v>182</v>
      </c>
      <c r="B102" s="120"/>
      <c r="C102" s="120"/>
      <c r="D102" s="121"/>
      <c r="E102" s="46"/>
      <c r="F102" s="67">
        <f>SUM(F98:F101)</f>
        <v>152690396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21.75" customHeight="1" thickBot="1">
      <c r="A103" s="122" t="s">
        <v>183</v>
      </c>
      <c r="B103" s="120"/>
      <c r="C103" s="120"/>
      <c r="D103" s="121"/>
      <c r="E103" s="46"/>
      <c r="F103" s="68">
        <f>+F97+F102</f>
        <v>634515565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>
      <c r="A104" s="2"/>
      <c r="B104" s="47"/>
      <c r="C104" s="48"/>
      <c r="D104" s="49"/>
      <c r="G104" s="5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>
      <c r="A105" s="2"/>
      <c r="B105" s="47"/>
      <c r="C105" s="48"/>
      <c r="D105" s="4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>
      <c r="A106" s="2"/>
      <c r="B106" s="47"/>
      <c r="C106" s="48"/>
      <c r="D106" s="53"/>
      <c r="E106" s="54"/>
      <c r="F106" s="6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>
      <c r="A107" s="2"/>
      <c r="B107" s="47"/>
      <c r="C107" s="48"/>
      <c r="D107" s="53"/>
      <c r="E107" s="54"/>
      <c r="F107" s="6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>
      <c r="A108" s="2"/>
      <c r="B108" s="47"/>
      <c r="C108" s="48"/>
      <c r="D108" s="53"/>
      <c r="E108" s="54"/>
      <c r="F108" s="6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>
      <c r="A109" s="2"/>
      <c r="B109" s="47"/>
      <c r="C109" s="48"/>
      <c r="D109" s="53"/>
      <c r="E109" s="54"/>
      <c r="F109" s="6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>
      <c r="A110" s="2"/>
      <c r="B110" s="47"/>
      <c r="C110" s="48"/>
      <c r="D110" s="53"/>
      <c r="E110" s="54"/>
      <c r="F110" s="6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>
      <c r="A111" s="2"/>
      <c r="B111" s="47"/>
      <c r="C111" s="48"/>
      <c r="D111" s="53"/>
      <c r="E111" s="54"/>
      <c r="F111" s="6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>
      <c r="A112" s="2"/>
      <c r="B112" s="47"/>
      <c r="C112" s="48"/>
      <c r="D112" s="53"/>
      <c r="E112" s="54"/>
      <c r="F112" s="6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>
      <c r="A113" s="2"/>
      <c r="B113" s="47"/>
      <c r="C113" s="48"/>
      <c r="D113" s="53"/>
      <c r="E113" s="54"/>
      <c r="F113" s="6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>
      <c r="A114" s="2"/>
      <c r="B114" s="47"/>
      <c r="C114" s="48"/>
      <c r="D114" s="53"/>
      <c r="E114" s="54"/>
      <c r="F114" s="6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>
      <c r="A115" s="2"/>
      <c r="B115" s="47"/>
      <c r="C115" s="48"/>
      <c r="D115" s="53"/>
      <c r="E115" s="54"/>
      <c r="F115" s="6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>
      <c r="A116" s="2"/>
      <c r="B116" s="47"/>
      <c r="C116" s="48"/>
      <c r="D116" s="53"/>
      <c r="E116" s="54"/>
      <c r="F116" s="6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>
      <c r="A117" s="2"/>
      <c r="B117" s="47"/>
      <c r="C117" s="48"/>
      <c r="D117" s="53"/>
      <c r="E117" s="54"/>
      <c r="F117" s="6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>
      <c r="A118" s="2"/>
      <c r="B118" s="47"/>
      <c r="C118" s="48"/>
      <c r="D118" s="53"/>
      <c r="E118" s="54"/>
      <c r="F118" s="6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>
      <c r="A119" s="2"/>
      <c r="B119" s="47"/>
      <c r="C119" s="48"/>
      <c r="D119" s="53"/>
      <c r="E119" s="54"/>
      <c r="F119" s="6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>
      <c r="A120" s="2"/>
      <c r="B120" s="47"/>
      <c r="C120" s="48"/>
      <c r="D120" s="53"/>
      <c r="E120" s="54"/>
      <c r="F120" s="6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>
      <c r="A121" s="2"/>
      <c r="B121" s="47"/>
      <c r="C121" s="48"/>
      <c r="D121" s="53"/>
      <c r="E121" s="54"/>
      <c r="F121" s="6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>
      <c r="A122" s="2"/>
      <c r="B122" s="47"/>
      <c r="C122" s="48"/>
      <c r="D122" s="53"/>
      <c r="E122" s="54"/>
      <c r="F122" s="6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>
      <c r="A123" s="2"/>
      <c r="B123" s="47"/>
      <c r="C123" s="48"/>
      <c r="D123" s="53"/>
      <c r="E123" s="54"/>
      <c r="F123" s="6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>
      <c r="A124" s="2"/>
      <c r="B124" s="47"/>
      <c r="C124" s="48"/>
      <c r="D124" s="53"/>
      <c r="E124" s="54"/>
      <c r="F124" s="6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>
      <c r="A125" s="2"/>
      <c r="B125" s="47"/>
      <c r="C125" s="48"/>
      <c r="D125" s="53"/>
      <c r="E125" s="54"/>
      <c r="F125" s="6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>
      <c r="A126" s="2"/>
      <c r="B126" s="47"/>
      <c r="C126" s="48"/>
      <c r="D126" s="53"/>
      <c r="E126" s="54"/>
      <c r="F126" s="6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>
      <c r="A127" s="2"/>
      <c r="B127" s="47"/>
      <c r="C127" s="48"/>
      <c r="D127" s="53"/>
      <c r="E127" s="54"/>
      <c r="F127" s="6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>
      <c r="A128" s="2"/>
      <c r="B128" s="47"/>
      <c r="C128" s="48"/>
      <c r="D128" s="53"/>
      <c r="E128" s="54"/>
      <c r="F128" s="6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>
      <c r="A129" s="2"/>
      <c r="B129" s="47"/>
      <c r="C129" s="48"/>
      <c r="D129" s="53"/>
      <c r="E129" s="54"/>
      <c r="F129" s="6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>
      <c r="A130" s="2"/>
      <c r="B130" s="47"/>
      <c r="C130" s="48"/>
      <c r="D130" s="53"/>
      <c r="E130" s="54"/>
      <c r="F130" s="6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>
      <c r="A131" s="2"/>
      <c r="B131" s="47"/>
      <c r="C131" s="48"/>
      <c r="D131" s="53"/>
      <c r="E131" s="54"/>
      <c r="F131" s="6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>
      <c r="A132" s="2"/>
      <c r="B132" s="47"/>
      <c r="C132" s="48"/>
      <c r="D132" s="53"/>
      <c r="E132" s="54"/>
      <c r="F132" s="6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>
      <c r="A133" s="2"/>
      <c r="B133" s="47"/>
      <c r="C133" s="48"/>
      <c r="D133" s="53"/>
      <c r="E133" s="54"/>
      <c r="F133" s="6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>
      <c r="A134" s="2"/>
      <c r="B134" s="47"/>
      <c r="C134" s="48"/>
      <c r="D134" s="53"/>
      <c r="E134" s="54"/>
      <c r="F134" s="6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>
      <c r="A135" s="2"/>
      <c r="B135" s="47"/>
      <c r="C135" s="48"/>
      <c r="D135" s="53"/>
      <c r="E135" s="54"/>
      <c r="F135" s="6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>
      <c r="A136" s="2"/>
      <c r="B136" s="47"/>
      <c r="C136" s="48"/>
      <c r="D136" s="53"/>
      <c r="E136" s="54"/>
      <c r="F136" s="6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>
      <c r="A137" s="2"/>
      <c r="B137" s="47"/>
      <c r="C137" s="48"/>
      <c r="D137" s="53"/>
      <c r="E137" s="54"/>
      <c r="F137" s="6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>
      <c r="A138" s="2"/>
      <c r="B138" s="47"/>
      <c r="C138" s="48"/>
      <c r="D138" s="53"/>
      <c r="E138" s="54"/>
      <c r="F138" s="6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>
      <c r="A139" s="2"/>
      <c r="B139" s="47"/>
      <c r="C139" s="48"/>
      <c r="D139" s="53"/>
      <c r="E139" s="54"/>
      <c r="F139" s="6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>
      <c r="A140" s="2"/>
      <c r="B140" s="47"/>
      <c r="C140" s="48"/>
      <c r="D140" s="53"/>
      <c r="E140" s="54"/>
      <c r="F140" s="6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>
      <c r="A141" s="2"/>
      <c r="B141" s="47"/>
      <c r="C141" s="48"/>
      <c r="D141" s="53"/>
      <c r="E141" s="54"/>
      <c r="F141" s="6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>
      <c r="A142" s="2"/>
      <c r="B142" s="47"/>
      <c r="C142" s="48"/>
      <c r="D142" s="53"/>
      <c r="E142" s="54"/>
      <c r="F142" s="6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>
      <c r="A143" s="2"/>
      <c r="B143" s="47"/>
      <c r="C143" s="48"/>
      <c r="D143" s="53"/>
      <c r="E143" s="54"/>
      <c r="F143" s="6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>
      <c r="A144" s="2"/>
      <c r="B144" s="47"/>
      <c r="C144" s="48"/>
      <c r="D144" s="53"/>
      <c r="E144" s="54"/>
      <c r="F144" s="6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>
      <c r="A145" s="2"/>
      <c r="B145" s="47"/>
      <c r="C145" s="48"/>
      <c r="D145" s="53"/>
      <c r="E145" s="54"/>
      <c r="F145" s="6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>
      <c r="A146" s="2"/>
      <c r="B146" s="47"/>
      <c r="C146" s="48"/>
      <c r="D146" s="53"/>
      <c r="E146" s="54"/>
      <c r="F146" s="6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>
      <c r="A147" s="2"/>
      <c r="B147" s="47"/>
      <c r="C147" s="48"/>
      <c r="D147" s="53"/>
      <c r="E147" s="54"/>
      <c r="F147" s="6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>
      <c r="A148" s="2"/>
      <c r="B148" s="47"/>
      <c r="C148" s="48"/>
      <c r="D148" s="53"/>
      <c r="E148" s="54"/>
      <c r="F148" s="6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>
      <c r="A149" s="2"/>
      <c r="B149" s="47"/>
      <c r="C149" s="48"/>
      <c r="D149" s="53"/>
      <c r="E149" s="54"/>
      <c r="F149" s="6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>
      <c r="A150" s="2"/>
      <c r="B150" s="47"/>
      <c r="C150" s="48"/>
      <c r="D150" s="53"/>
      <c r="E150" s="54"/>
      <c r="F150" s="6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>
      <c r="A151" s="2"/>
      <c r="B151" s="47"/>
      <c r="C151" s="48"/>
      <c r="D151" s="53"/>
      <c r="E151" s="54"/>
      <c r="F151" s="6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>
      <c r="A152" s="2"/>
      <c r="B152" s="47"/>
      <c r="C152" s="48"/>
      <c r="D152" s="53"/>
      <c r="E152" s="54"/>
      <c r="F152" s="6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>
      <c r="A153" s="2"/>
      <c r="B153" s="47"/>
      <c r="C153" s="48"/>
      <c r="D153" s="53"/>
      <c r="E153" s="54"/>
      <c r="F153" s="6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>
      <c r="A154" s="2"/>
      <c r="B154" s="47"/>
      <c r="C154" s="48"/>
      <c r="D154" s="53"/>
      <c r="E154" s="54"/>
      <c r="F154" s="6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>
      <c r="A155" s="2"/>
      <c r="B155" s="47"/>
      <c r="C155" s="48"/>
      <c r="D155" s="53"/>
      <c r="E155" s="54"/>
      <c r="F155" s="6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>
      <c r="A156" s="2"/>
      <c r="B156" s="47"/>
      <c r="C156" s="48"/>
      <c r="D156" s="53"/>
      <c r="E156" s="54"/>
      <c r="F156" s="6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>
      <c r="A157" s="2"/>
      <c r="B157" s="47"/>
      <c r="C157" s="48"/>
      <c r="D157" s="53"/>
      <c r="E157" s="54"/>
      <c r="F157" s="6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>
      <c r="A158" s="2"/>
      <c r="B158" s="47"/>
      <c r="C158" s="48"/>
      <c r="D158" s="53"/>
      <c r="E158" s="54"/>
      <c r="F158" s="6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>
      <c r="A159" s="2"/>
      <c r="B159" s="47"/>
      <c r="C159" s="48"/>
      <c r="D159" s="53"/>
      <c r="E159" s="54"/>
      <c r="F159" s="6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>
      <c r="A160" s="2"/>
      <c r="B160" s="47"/>
      <c r="C160" s="48"/>
      <c r="D160" s="53"/>
      <c r="E160" s="54"/>
      <c r="F160" s="6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>
      <c r="A161" s="2"/>
      <c r="B161" s="47"/>
      <c r="C161" s="48"/>
      <c r="D161" s="53"/>
      <c r="E161" s="54"/>
      <c r="F161" s="6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>
      <c r="A162" s="2"/>
      <c r="B162" s="47"/>
      <c r="C162" s="48"/>
      <c r="D162" s="53"/>
      <c r="E162" s="54"/>
      <c r="F162" s="6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>
      <c r="A163" s="2"/>
      <c r="B163" s="47"/>
      <c r="C163" s="48"/>
      <c r="D163" s="53"/>
      <c r="E163" s="54"/>
      <c r="F163" s="6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>
      <c r="A164" s="2"/>
      <c r="B164" s="47"/>
      <c r="C164" s="48"/>
      <c r="D164" s="53"/>
      <c r="E164" s="54"/>
      <c r="F164" s="6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>
      <c r="A165" s="2"/>
      <c r="B165" s="47"/>
      <c r="C165" s="48"/>
      <c r="D165" s="53"/>
      <c r="E165" s="54"/>
      <c r="F165" s="6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>
      <c r="A166" s="2"/>
      <c r="B166" s="47"/>
      <c r="C166" s="48"/>
      <c r="D166" s="53"/>
      <c r="E166" s="54"/>
      <c r="F166" s="6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>
      <c r="A167" s="2"/>
      <c r="B167" s="47"/>
      <c r="C167" s="48"/>
      <c r="D167" s="53"/>
      <c r="E167" s="54"/>
      <c r="F167" s="6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>
      <c r="A168" s="2"/>
      <c r="B168" s="47"/>
      <c r="C168" s="48"/>
      <c r="D168" s="53"/>
      <c r="E168" s="54"/>
      <c r="F168" s="6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>
      <c r="A169" s="2"/>
      <c r="B169" s="47"/>
      <c r="C169" s="48"/>
      <c r="D169" s="53"/>
      <c r="E169" s="54"/>
      <c r="F169" s="6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>
      <c r="A170" s="2"/>
      <c r="B170" s="47"/>
      <c r="C170" s="48"/>
      <c r="D170" s="53"/>
      <c r="E170" s="54"/>
      <c r="F170" s="6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>
      <c r="A171" s="2"/>
      <c r="B171" s="47"/>
      <c r="C171" s="48"/>
      <c r="D171" s="53"/>
      <c r="E171" s="54"/>
      <c r="F171" s="6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>
      <c r="A172" s="2"/>
      <c r="B172" s="47"/>
      <c r="C172" s="48"/>
      <c r="D172" s="53"/>
      <c r="E172" s="54"/>
      <c r="F172" s="6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>
      <c r="A173" s="2"/>
      <c r="B173" s="47"/>
      <c r="C173" s="48"/>
      <c r="D173" s="53"/>
      <c r="E173" s="54"/>
      <c r="F173" s="6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>
      <c r="A174" s="2"/>
      <c r="B174" s="47"/>
      <c r="C174" s="48"/>
      <c r="D174" s="53"/>
      <c r="E174" s="54"/>
      <c r="F174" s="6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>
      <c r="A175" s="2"/>
      <c r="B175" s="47"/>
      <c r="C175" s="48"/>
      <c r="D175" s="53"/>
      <c r="E175" s="54"/>
      <c r="F175" s="6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>
      <c r="A176" s="2"/>
      <c r="B176" s="47"/>
      <c r="C176" s="48"/>
      <c r="D176" s="53"/>
      <c r="E176" s="54"/>
      <c r="F176" s="6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>
      <c r="A177" s="2"/>
      <c r="B177" s="47"/>
      <c r="C177" s="48"/>
      <c r="D177" s="53"/>
      <c r="E177" s="54"/>
      <c r="F177" s="6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>
      <c r="A178" s="2"/>
      <c r="B178" s="47"/>
      <c r="C178" s="48"/>
      <c r="D178" s="53"/>
      <c r="E178" s="54"/>
      <c r="F178" s="6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>
      <c r="A179" s="2"/>
      <c r="B179" s="47"/>
      <c r="C179" s="48"/>
      <c r="D179" s="53"/>
      <c r="E179" s="54"/>
      <c r="F179" s="6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>
      <c r="A180" s="2"/>
      <c r="B180" s="47"/>
      <c r="C180" s="48"/>
      <c r="D180" s="53"/>
      <c r="E180" s="54"/>
      <c r="F180" s="6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>
      <c r="A181" s="2"/>
      <c r="B181" s="47"/>
      <c r="C181" s="48"/>
      <c r="D181" s="53"/>
      <c r="E181" s="54"/>
      <c r="F181" s="6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>
      <c r="A182" s="2"/>
      <c r="B182" s="47"/>
      <c r="C182" s="48"/>
      <c r="D182" s="53"/>
      <c r="E182" s="54"/>
      <c r="F182" s="6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>
      <c r="A183" s="2"/>
      <c r="B183" s="47"/>
      <c r="C183" s="48"/>
      <c r="D183" s="53"/>
      <c r="E183" s="54"/>
      <c r="F183" s="6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>
      <c r="A184" s="2"/>
      <c r="B184" s="47"/>
      <c r="C184" s="48"/>
      <c r="D184" s="53"/>
      <c r="E184" s="54"/>
      <c r="F184" s="6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>
      <c r="A185" s="2"/>
      <c r="B185" s="47"/>
      <c r="C185" s="48"/>
      <c r="D185" s="53"/>
      <c r="E185" s="54"/>
      <c r="F185" s="6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>
      <c r="A186" s="2"/>
      <c r="B186" s="47"/>
      <c r="C186" s="48"/>
      <c r="D186" s="53"/>
      <c r="E186" s="54"/>
      <c r="F186" s="6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>
      <c r="A187" s="2"/>
      <c r="B187" s="47"/>
      <c r="C187" s="48"/>
      <c r="D187" s="53"/>
      <c r="E187" s="54"/>
      <c r="F187" s="6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>
      <c r="A188" s="2"/>
      <c r="B188" s="47"/>
      <c r="C188" s="48"/>
      <c r="D188" s="53"/>
      <c r="E188" s="54"/>
      <c r="F188" s="6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>
      <c r="A189" s="2"/>
      <c r="B189" s="47"/>
      <c r="C189" s="48"/>
      <c r="D189" s="53"/>
      <c r="E189" s="54"/>
      <c r="F189" s="6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>
      <c r="A190" s="2"/>
      <c r="B190" s="47"/>
      <c r="C190" s="48"/>
      <c r="D190" s="53"/>
      <c r="E190" s="54"/>
      <c r="F190" s="6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>
      <c r="A191" s="2"/>
      <c r="B191" s="47"/>
      <c r="C191" s="48"/>
      <c r="D191" s="53"/>
      <c r="E191" s="54"/>
      <c r="F191" s="6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>
      <c r="A192" s="2"/>
      <c r="B192" s="47"/>
      <c r="C192" s="48"/>
      <c r="D192" s="53"/>
      <c r="E192" s="54"/>
      <c r="F192" s="6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>
      <c r="A193" s="2"/>
      <c r="B193" s="47"/>
      <c r="C193" s="48"/>
      <c r="D193" s="53"/>
      <c r="E193" s="54"/>
      <c r="F193" s="6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>
      <c r="A194" s="2"/>
      <c r="B194" s="47"/>
      <c r="C194" s="48"/>
      <c r="D194" s="53"/>
      <c r="E194" s="54"/>
      <c r="F194" s="6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>
      <c r="A195" s="2"/>
      <c r="B195" s="47"/>
      <c r="C195" s="48"/>
      <c r="D195" s="53"/>
      <c r="E195" s="54"/>
      <c r="F195" s="6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>
      <c r="A196" s="2"/>
      <c r="B196" s="47"/>
      <c r="C196" s="48"/>
      <c r="D196" s="53"/>
      <c r="E196" s="54"/>
      <c r="F196" s="6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>
      <c r="A197" s="2"/>
      <c r="B197" s="47"/>
      <c r="C197" s="48"/>
      <c r="D197" s="53"/>
      <c r="E197" s="54"/>
      <c r="F197" s="6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>
      <c r="A198" s="2"/>
      <c r="B198" s="47"/>
      <c r="C198" s="48"/>
      <c r="D198" s="53"/>
      <c r="E198" s="54"/>
      <c r="F198" s="6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>
      <c r="A199" s="2"/>
      <c r="B199" s="47"/>
      <c r="C199" s="48"/>
      <c r="D199" s="53"/>
      <c r="E199" s="54"/>
      <c r="F199" s="6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>
      <c r="A200" s="2"/>
      <c r="B200" s="47"/>
      <c r="C200" s="48"/>
      <c r="D200" s="53"/>
      <c r="E200" s="54"/>
      <c r="F200" s="6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>
      <c r="A201" s="2"/>
      <c r="B201" s="47"/>
      <c r="C201" s="48"/>
      <c r="D201" s="53"/>
      <c r="E201" s="54"/>
      <c r="F201" s="6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>
      <c r="A202" s="2"/>
      <c r="B202" s="47"/>
      <c r="C202" s="48"/>
      <c r="D202" s="53"/>
      <c r="E202" s="54"/>
      <c r="F202" s="6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>
      <c r="A203" s="2"/>
      <c r="B203" s="47"/>
      <c r="C203" s="48"/>
      <c r="D203" s="53"/>
      <c r="E203" s="54"/>
      <c r="F203" s="6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>
      <c r="A204" s="2"/>
      <c r="B204" s="47"/>
      <c r="C204" s="48"/>
      <c r="D204" s="53"/>
      <c r="E204" s="54"/>
      <c r="F204" s="6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>
      <c r="A205" s="2"/>
      <c r="B205" s="47"/>
      <c r="C205" s="48"/>
      <c r="D205" s="53"/>
      <c r="E205" s="54"/>
      <c r="F205" s="6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>
      <c r="A206" s="2"/>
      <c r="B206" s="47"/>
      <c r="C206" s="48"/>
      <c r="D206" s="53"/>
      <c r="E206" s="54"/>
      <c r="F206" s="6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>
      <c r="A207" s="2"/>
      <c r="B207" s="47"/>
      <c r="C207" s="48"/>
      <c r="D207" s="53"/>
      <c r="E207" s="54"/>
      <c r="F207" s="6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>
      <c r="A208" s="2"/>
      <c r="B208" s="47"/>
      <c r="C208" s="48"/>
      <c r="D208" s="53"/>
      <c r="E208" s="54"/>
      <c r="F208" s="6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>
      <c r="A209" s="2"/>
      <c r="B209" s="47"/>
      <c r="C209" s="48"/>
      <c r="D209" s="53"/>
      <c r="E209" s="54"/>
      <c r="F209" s="6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>
      <c r="A210" s="2"/>
      <c r="B210" s="47"/>
      <c r="C210" s="48"/>
      <c r="D210" s="53"/>
      <c r="E210" s="54"/>
      <c r="F210" s="6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>
      <c r="A211" s="2"/>
      <c r="B211" s="47"/>
      <c r="C211" s="48"/>
      <c r="D211" s="53"/>
      <c r="E211" s="54"/>
      <c r="F211" s="6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>
      <c r="A212" s="2"/>
      <c r="B212" s="47"/>
      <c r="C212" s="48"/>
      <c r="D212" s="53"/>
      <c r="E212" s="54"/>
      <c r="F212" s="6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>
      <c r="A213" s="2"/>
      <c r="B213" s="47"/>
      <c r="C213" s="48"/>
      <c r="D213" s="53"/>
      <c r="E213" s="54"/>
      <c r="F213" s="6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>
      <c r="A214" s="2"/>
      <c r="B214" s="47"/>
      <c r="C214" s="48"/>
      <c r="D214" s="53"/>
      <c r="E214" s="54"/>
      <c r="F214" s="6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>
      <c r="A215" s="2"/>
      <c r="B215" s="47"/>
      <c r="C215" s="48"/>
      <c r="D215" s="53"/>
      <c r="E215" s="54"/>
      <c r="F215" s="6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>
      <c r="A216" s="2"/>
      <c r="B216" s="47"/>
      <c r="C216" s="48"/>
      <c r="D216" s="53"/>
      <c r="E216" s="54"/>
      <c r="F216" s="6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>
      <c r="A217" s="2"/>
      <c r="B217" s="47"/>
      <c r="C217" s="48"/>
      <c r="D217" s="53"/>
      <c r="E217" s="54"/>
      <c r="F217" s="6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>
      <c r="A218" s="2"/>
      <c r="B218" s="47"/>
      <c r="C218" s="48"/>
      <c r="D218" s="53"/>
      <c r="E218" s="54"/>
      <c r="F218" s="6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>
      <c r="A219" s="2"/>
      <c r="B219" s="47"/>
      <c r="C219" s="48"/>
      <c r="D219" s="53"/>
      <c r="E219" s="54"/>
      <c r="F219" s="6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>
      <c r="A220" s="2"/>
      <c r="B220" s="47"/>
      <c r="C220" s="48"/>
      <c r="D220" s="53"/>
      <c r="E220" s="54"/>
      <c r="F220" s="6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>
      <c r="A221" s="2"/>
      <c r="B221" s="47"/>
      <c r="C221" s="48"/>
      <c r="D221" s="53"/>
      <c r="E221" s="54"/>
      <c r="F221" s="6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>
      <c r="A222" s="2"/>
      <c r="B222" s="47"/>
      <c r="C222" s="48"/>
      <c r="D222" s="53"/>
      <c r="E222" s="54"/>
      <c r="F222" s="6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>
      <c r="A223" s="2"/>
      <c r="B223" s="47"/>
      <c r="C223" s="48"/>
      <c r="D223" s="53"/>
      <c r="E223" s="54"/>
      <c r="F223" s="6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>
      <c r="A224" s="2"/>
      <c r="B224" s="47"/>
      <c r="C224" s="48"/>
      <c r="D224" s="53"/>
      <c r="E224" s="54"/>
      <c r="F224" s="6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>
      <c r="A225" s="2"/>
      <c r="B225" s="47"/>
      <c r="C225" s="48"/>
      <c r="D225" s="53"/>
      <c r="E225" s="54"/>
      <c r="F225" s="6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>
      <c r="A226" s="2"/>
      <c r="B226" s="47"/>
      <c r="C226" s="48"/>
      <c r="D226" s="53"/>
      <c r="E226" s="54"/>
      <c r="F226" s="6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>
      <c r="A227" s="2"/>
      <c r="B227" s="47"/>
      <c r="C227" s="48"/>
      <c r="D227" s="53"/>
      <c r="E227" s="54"/>
      <c r="F227" s="6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>
      <c r="A228" s="2"/>
      <c r="B228" s="47"/>
      <c r="C228" s="48"/>
      <c r="D228" s="53"/>
      <c r="E228" s="54"/>
      <c r="F228" s="6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>
      <c r="A229" s="2"/>
      <c r="B229" s="47"/>
      <c r="C229" s="48"/>
      <c r="D229" s="53"/>
      <c r="E229" s="54"/>
      <c r="F229" s="6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>
      <c r="A230" s="2"/>
      <c r="B230" s="47"/>
      <c r="C230" s="48"/>
      <c r="D230" s="53"/>
      <c r="E230" s="54"/>
      <c r="F230" s="6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>
      <c r="A231" s="2"/>
      <c r="B231" s="47"/>
      <c r="C231" s="48"/>
      <c r="D231" s="53"/>
      <c r="E231" s="54"/>
      <c r="F231" s="6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>
      <c r="A232" s="2"/>
      <c r="B232" s="47"/>
      <c r="C232" s="48"/>
      <c r="D232" s="53"/>
      <c r="E232" s="54"/>
      <c r="F232" s="6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>
      <c r="A233" s="2"/>
      <c r="B233" s="47"/>
      <c r="C233" s="48"/>
      <c r="D233" s="53"/>
      <c r="E233" s="54"/>
      <c r="F233" s="6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>
      <c r="A234" s="2"/>
      <c r="B234" s="47"/>
      <c r="C234" s="48"/>
      <c r="D234" s="53"/>
      <c r="E234" s="54"/>
      <c r="F234" s="6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>
      <c r="A235" s="2"/>
      <c r="B235" s="47"/>
      <c r="C235" s="48"/>
      <c r="D235" s="53"/>
      <c r="E235" s="54"/>
      <c r="F235" s="6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>
      <c r="A236" s="2"/>
      <c r="B236" s="47"/>
      <c r="C236" s="48"/>
      <c r="D236" s="53"/>
      <c r="E236" s="54"/>
      <c r="F236" s="6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>
      <c r="A237" s="2"/>
      <c r="B237" s="47"/>
      <c r="C237" s="48"/>
      <c r="D237" s="53"/>
      <c r="E237" s="54"/>
      <c r="F237" s="6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>
      <c r="A238" s="2"/>
      <c r="B238" s="47"/>
      <c r="C238" s="48"/>
      <c r="D238" s="53"/>
      <c r="E238" s="54"/>
      <c r="F238" s="6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>
      <c r="A239" s="2"/>
      <c r="B239" s="47"/>
      <c r="C239" s="48"/>
      <c r="D239" s="53"/>
      <c r="E239" s="54"/>
      <c r="F239" s="6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>
      <c r="A240" s="2"/>
      <c r="B240" s="47"/>
      <c r="C240" s="48"/>
      <c r="D240" s="53"/>
      <c r="E240" s="54"/>
      <c r="F240" s="6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>
      <c r="A241" s="2"/>
      <c r="B241" s="47"/>
      <c r="C241" s="48"/>
      <c r="D241" s="53"/>
      <c r="E241" s="54"/>
      <c r="F241" s="6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>
      <c r="A242" s="2"/>
      <c r="B242" s="47"/>
      <c r="C242" s="48"/>
      <c r="D242" s="53"/>
      <c r="E242" s="54"/>
      <c r="F242" s="6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>
      <c r="A243" s="2"/>
      <c r="B243" s="47"/>
      <c r="C243" s="48"/>
      <c r="D243" s="53"/>
      <c r="E243" s="54"/>
      <c r="F243" s="6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>
      <c r="A244" s="2"/>
      <c r="B244" s="47"/>
      <c r="C244" s="48"/>
      <c r="D244" s="53"/>
      <c r="E244" s="54"/>
      <c r="F244" s="6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>
      <c r="A245" s="2"/>
      <c r="B245" s="47"/>
      <c r="C245" s="48"/>
      <c r="D245" s="53"/>
      <c r="E245" s="54"/>
      <c r="F245" s="6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>
      <c r="A246" s="2"/>
      <c r="B246" s="47"/>
      <c r="C246" s="48"/>
      <c r="D246" s="53"/>
      <c r="E246" s="54"/>
      <c r="F246" s="6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>
      <c r="A247" s="2"/>
      <c r="B247" s="47"/>
      <c r="C247" s="48"/>
      <c r="D247" s="53"/>
      <c r="E247" s="54"/>
      <c r="F247" s="6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>
      <c r="A248" s="2"/>
      <c r="B248" s="47"/>
      <c r="C248" s="48"/>
      <c r="D248" s="53"/>
      <c r="E248" s="54"/>
      <c r="F248" s="6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>
      <c r="A249" s="2"/>
      <c r="B249" s="47"/>
      <c r="C249" s="48"/>
      <c r="D249" s="53"/>
      <c r="E249" s="54"/>
      <c r="F249" s="6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>
      <c r="A250" s="2"/>
      <c r="B250" s="47"/>
      <c r="C250" s="48"/>
      <c r="D250" s="53"/>
      <c r="E250" s="54"/>
      <c r="F250" s="6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>
      <c r="A251" s="2"/>
      <c r="B251" s="47"/>
      <c r="C251" s="48"/>
      <c r="D251" s="53"/>
      <c r="E251" s="54"/>
      <c r="F251" s="6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>
      <c r="A252" s="2"/>
      <c r="B252" s="47"/>
      <c r="C252" s="48"/>
      <c r="D252" s="53"/>
      <c r="E252" s="54"/>
      <c r="F252" s="6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>
      <c r="A253" s="2"/>
      <c r="B253" s="47"/>
      <c r="C253" s="48"/>
      <c r="D253" s="53"/>
      <c r="E253" s="54"/>
      <c r="F253" s="6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>
      <c r="A254" s="2"/>
      <c r="B254" s="47"/>
      <c r="C254" s="48"/>
      <c r="D254" s="53"/>
      <c r="E254" s="54"/>
      <c r="F254" s="6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>
      <c r="A255" s="2"/>
      <c r="B255" s="47"/>
      <c r="C255" s="48"/>
      <c r="D255" s="53"/>
      <c r="E255" s="54"/>
      <c r="F255" s="6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>
      <c r="A256" s="2"/>
      <c r="B256" s="47"/>
      <c r="C256" s="48"/>
      <c r="D256" s="53"/>
      <c r="E256" s="54"/>
      <c r="F256" s="6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>
      <c r="A257" s="2"/>
      <c r="B257" s="47"/>
      <c r="C257" s="48"/>
      <c r="D257" s="53"/>
      <c r="E257" s="54"/>
      <c r="F257" s="6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>
      <c r="A258" s="2"/>
      <c r="B258" s="47"/>
      <c r="C258" s="48"/>
      <c r="D258" s="53"/>
      <c r="E258" s="54"/>
      <c r="F258" s="6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>
      <c r="A259" s="2"/>
      <c r="B259" s="47"/>
      <c r="C259" s="48"/>
      <c r="D259" s="53"/>
      <c r="E259" s="54"/>
      <c r="F259" s="6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>
      <c r="A260" s="2"/>
      <c r="B260" s="47"/>
      <c r="C260" s="48"/>
      <c r="D260" s="53"/>
      <c r="E260" s="54"/>
      <c r="F260" s="6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>
      <c r="A261" s="2"/>
      <c r="B261" s="47"/>
      <c r="C261" s="48"/>
      <c r="D261" s="53"/>
      <c r="E261" s="54"/>
      <c r="F261" s="6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>
      <c r="A262" s="2"/>
      <c r="B262" s="47"/>
      <c r="C262" s="48"/>
      <c r="D262" s="53"/>
      <c r="E262" s="54"/>
      <c r="F262" s="6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>
      <c r="A263" s="2"/>
      <c r="B263" s="47"/>
      <c r="C263" s="48"/>
      <c r="D263" s="53"/>
      <c r="E263" s="54"/>
      <c r="F263" s="6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>
      <c r="A264" s="2"/>
      <c r="B264" s="47"/>
      <c r="C264" s="48"/>
      <c r="D264" s="53"/>
      <c r="E264" s="54"/>
      <c r="F264" s="6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>
      <c r="A265" s="2"/>
      <c r="B265" s="47"/>
      <c r="C265" s="48"/>
      <c r="D265" s="53"/>
      <c r="E265" s="54"/>
      <c r="F265" s="6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>
      <c r="A266" s="2"/>
      <c r="B266" s="47"/>
      <c r="C266" s="48"/>
      <c r="D266" s="53"/>
      <c r="E266" s="54"/>
      <c r="F266" s="6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>
      <c r="A267" s="2"/>
      <c r="B267" s="47"/>
      <c r="C267" s="48"/>
      <c r="D267" s="53"/>
      <c r="E267" s="54"/>
      <c r="F267" s="6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>
      <c r="A268" s="2"/>
      <c r="B268" s="47"/>
      <c r="C268" s="48"/>
      <c r="D268" s="53"/>
      <c r="E268" s="54"/>
      <c r="F268" s="6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>
      <c r="A269" s="2"/>
      <c r="B269" s="47"/>
      <c r="C269" s="48"/>
      <c r="D269" s="53"/>
      <c r="E269" s="54"/>
      <c r="F269" s="6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>
      <c r="A270" s="2"/>
      <c r="B270" s="47"/>
      <c r="C270" s="48"/>
      <c r="D270" s="53"/>
      <c r="E270" s="54"/>
      <c r="F270" s="6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>
      <c r="A271" s="2"/>
      <c r="B271" s="47"/>
      <c r="C271" s="48"/>
      <c r="D271" s="53"/>
      <c r="E271" s="54"/>
      <c r="F271" s="6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>
      <c r="A272" s="2"/>
      <c r="B272" s="47"/>
      <c r="C272" s="48"/>
      <c r="D272" s="53"/>
      <c r="E272" s="54"/>
      <c r="F272" s="6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>
      <c r="A273" s="2"/>
      <c r="B273" s="47"/>
      <c r="C273" s="48"/>
      <c r="D273" s="53"/>
      <c r="E273" s="54"/>
      <c r="F273" s="6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>
      <c r="A274" s="2"/>
      <c r="B274" s="47"/>
      <c r="C274" s="48"/>
      <c r="D274" s="53"/>
      <c r="E274" s="54"/>
      <c r="F274" s="6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>
      <c r="A275" s="2"/>
      <c r="B275" s="47"/>
      <c r="C275" s="48"/>
      <c r="D275" s="53"/>
      <c r="E275" s="54"/>
      <c r="F275" s="6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>
      <c r="A276" s="2"/>
      <c r="B276" s="47"/>
      <c r="C276" s="48"/>
      <c r="D276" s="53"/>
      <c r="E276" s="54"/>
      <c r="F276" s="6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>
      <c r="A277" s="2"/>
      <c r="B277" s="47"/>
      <c r="C277" s="48"/>
      <c r="D277" s="53"/>
      <c r="E277" s="54"/>
      <c r="F277" s="6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>
      <c r="A278" s="2"/>
      <c r="B278" s="47"/>
      <c r="C278" s="48"/>
      <c r="D278" s="53"/>
      <c r="E278" s="54"/>
      <c r="F278" s="6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>
      <c r="A279" s="2"/>
      <c r="B279" s="47"/>
      <c r="C279" s="48"/>
      <c r="D279" s="53"/>
      <c r="E279" s="54"/>
      <c r="F279" s="6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>
      <c r="A280" s="2"/>
      <c r="B280" s="47"/>
      <c r="C280" s="48"/>
      <c r="D280" s="53"/>
      <c r="E280" s="54"/>
      <c r="F280" s="6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>
      <c r="A281" s="2"/>
      <c r="B281" s="47"/>
      <c r="C281" s="48"/>
      <c r="D281" s="53"/>
      <c r="E281" s="54"/>
      <c r="F281" s="6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>
      <c r="A282" s="2"/>
      <c r="B282" s="47"/>
      <c r="C282" s="48"/>
      <c r="D282" s="53"/>
      <c r="E282" s="54"/>
      <c r="F282" s="6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>
      <c r="A283" s="2"/>
      <c r="B283" s="47"/>
      <c r="C283" s="48"/>
      <c r="D283" s="53"/>
      <c r="E283" s="54"/>
      <c r="F283" s="6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>
      <c r="A284" s="2"/>
      <c r="B284" s="47"/>
      <c r="C284" s="48"/>
      <c r="D284" s="53"/>
      <c r="E284" s="54"/>
      <c r="F284" s="6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>
      <c r="A285" s="2"/>
      <c r="B285" s="47"/>
      <c r="C285" s="48"/>
      <c r="D285" s="53"/>
      <c r="E285" s="54"/>
      <c r="F285" s="6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>
      <c r="A286" s="2"/>
      <c r="B286" s="47"/>
      <c r="C286" s="48"/>
      <c r="D286" s="53"/>
      <c r="E286" s="54"/>
      <c r="F286" s="6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>
      <c r="A287" s="2"/>
      <c r="B287" s="47"/>
      <c r="C287" s="48"/>
      <c r="D287" s="53"/>
      <c r="E287" s="54"/>
      <c r="F287" s="6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>
      <c r="A288" s="2"/>
      <c r="B288" s="47"/>
      <c r="C288" s="48"/>
      <c r="D288" s="53"/>
      <c r="E288" s="54"/>
      <c r="F288" s="6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>
      <c r="A289" s="2"/>
      <c r="B289" s="47"/>
      <c r="C289" s="48"/>
      <c r="D289" s="53"/>
      <c r="E289" s="54"/>
      <c r="F289" s="6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>
      <c r="A290" s="2"/>
      <c r="B290" s="47"/>
      <c r="C290" s="48"/>
      <c r="D290" s="53"/>
      <c r="E290" s="54"/>
      <c r="F290" s="6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>
      <c r="A291" s="2"/>
      <c r="B291" s="47"/>
      <c r="C291" s="48"/>
      <c r="D291" s="53"/>
      <c r="E291" s="54"/>
      <c r="F291" s="6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>
      <c r="A292" s="2"/>
      <c r="B292" s="47"/>
      <c r="C292" s="48"/>
      <c r="D292" s="53"/>
      <c r="E292" s="54"/>
      <c r="F292" s="6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>
      <c r="A293" s="2"/>
      <c r="B293" s="47"/>
      <c r="C293" s="48"/>
      <c r="D293" s="53"/>
      <c r="E293" s="54"/>
      <c r="F293" s="6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>
      <c r="A294" s="2"/>
      <c r="B294" s="47"/>
      <c r="C294" s="48"/>
      <c r="D294" s="53"/>
      <c r="E294" s="54"/>
      <c r="F294" s="6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>
      <c r="A295" s="2"/>
      <c r="B295" s="47"/>
      <c r="C295" s="48"/>
      <c r="D295" s="53"/>
      <c r="E295" s="54"/>
      <c r="F295" s="6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>
      <c r="A296" s="2"/>
      <c r="B296" s="47"/>
      <c r="C296" s="48"/>
      <c r="D296" s="53"/>
      <c r="E296" s="54"/>
      <c r="F296" s="6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>
      <c r="A297" s="2"/>
      <c r="B297" s="47"/>
      <c r="C297" s="48"/>
      <c r="D297" s="53"/>
      <c r="E297" s="54"/>
      <c r="F297" s="6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>
      <c r="A298" s="2"/>
      <c r="B298" s="47"/>
      <c r="C298" s="48"/>
      <c r="D298" s="53"/>
      <c r="E298" s="54"/>
      <c r="F298" s="6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>
      <c r="A299" s="2"/>
      <c r="B299" s="47"/>
      <c r="C299" s="48"/>
      <c r="D299" s="53"/>
      <c r="E299" s="54"/>
      <c r="F299" s="6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>
      <c r="A300" s="2"/>
      <c r="B300" s="47"/>
      <c r="C300" s="48"/>
      <c r="D300" s="53"/>
      <c r="E300" s="54"/>
      <c r="F300" s="6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>
      <c r="A301" s="2"/>
      <c r="B301" s="47"/>
      <c r="C301" s="48"/>
      <c r="D301" s="53"/>
      <c r="E301" s="54"/>
      <c r="F301" s="6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>
      <c r="D302" s="49"/>
    </row>
    <row r="303" spans="1:22" ht="15.75" customHeight="1">
      <c r="D303" s="49"/>
    </row>
    <row r="304" spans="1:22" ht="15.75" customHeight="1">
      <c r="D304" s="49"/>
    </row>
    <row r="305" spans="4:4" ht="15.75" customHeight="1">
      <c r="D305" s="49"/>
    </row>
    <row r="306" spans="4:4" ht="15.75" customHeight="1">
      <c r="D306" s="49"/>
    </row>
    <row r="307" spans="4:4" ht="15.75" customHeight="1">
      <c r="D307" s="49"/>
    </row>
    <row r="308" spans="4:4" ht="15.75" customHeight="1">
      <c r="D308" s="49"/>
    </row>
    <row r="309" spans="4:4" ht="15.75" customHeight="1">
      <c r="D309" s="49"/>
    </row>
    <row r="310" spans="4:4" ht="15.75" customHeight="1">
      <c r="D310" s="49"/>
    </row>
    <row r="311" spans="4:4" ht="15.75" customHeight="1">
      <c r="D311" s="49"/>
    </row>
    <row r="312" spans="4:4" ht="15.75" customHeight="1">
      <c r="D312" s="49"/>
    </row>
    <row r="313" spans="4:4" ht="15.75" customHeight="1">
      <c r="D313" s="49"/>
    </row>
    <row r="314" spans="4:4" ht="15.75" customHeight="1">
      <c r="D314" s="49"/>
    </row>
    <row r="315" spans="4:4" ht="15.75" customHeight="1">
      <c r="D315" s="49"/>
    </row>
    <row r="316" spans="4:4" ht="15.75" customHeight="1">
      <c r="D316" s="49"/>
    </row>
    <row r="317" spans="4:4" ht="15.75" customHeight="1">
      <c r="D317" s="49"/>
    </row>
    <row r="318" spans="4:4" ht="15.75" customHeight="1">
      <c r="D318" s="49"/>
    </row>
    <row r="319" spans="4:4" ht="15.75" customHeight="1">
      <c r="D319" s="49"/>
    </row>
    <row r="320" spans="4:4" ht="15.75" customHeight="1">
      <c r="D320" s="49"/>
    </row>
    <row r="321" spans="4:4" ht="15.75" customHeight="1">
      <c r="D321" s="49"/>
    </row>
    <row r="322" spans="4:4" ht="15.75" customHeight="1">
      <c r="D322" s="49"/>
    </row>
    <row r="323" spans="4:4" ht="15.75" customHeight="1">
      <c r="D323" s="49"/>
    </row>
    <row r="324" spans="4:4" ht="15.75" customHeight="1">
      <c r="D324" s="49"/>
    </row>
    <row r="325" spans="4:4" ht="15.75" customHeight="1">
      <c r="D325" s="49"/>
    </row>
    <row r="326" spans="4:4" ht="15.75" customHeight="1">
      <c r="D326" s="49"/>
    </row>
    <row r="327" spans="4:4" ht="15.75" customHeight="1">
      <c r="D327" s="49"/>
    </row>
    <row r="328" spans="4:4" ht="15.75" customHeight="1">
      <c r="D328" s="49"/>
    </row>
    <row r="329" spans="4:4" ht="15.75" customHeight="1">
      <c r="D329" s="49"/>
    </row>
    <row r="330" spans="4:4" ht="15.75" customHeight="1">
      <c r="D330" s="49"/>
    </row>
    <row r="331" spans="4:4" ht="15.75" customHeight="1">
      <c r="D331" s="49"/>
    </row>
    <row r="332" spans="4:4" ht="15.75" customHeight="1">
      <c r="D332" s="49"/>
    </row>
    <row r="333" spans="4:4" ht="15.75" customHeight="1">
      <c r="D333" s="49"/>
    </row>
    <row r="334" spans="4:4" ht="15.75" customHeight="1">
      <c r="D334" s="49"/>
    </row>
    <row r="335" spans="4:4" ht="15.75" customHeight="1">
      <c r="D335" s="49"/>
    </row>
    <row r="336" spans="4:4" ht="15.75" customHeight="1">
      <c r="D336" s="49"/>
    </row>
    <row r="337" spans="4:4" ht="15.75" customHeight="1">
      <c r="D337" s="49"/>
    </row>
    <row r="338" spans="4:4" ht="15.75" customHeight="1">
      <c r="D338" s="49"/>
    </row>
    <row r="339" spans="4:4" ht="15.75" customHeight="1">
      <c r="D339" s="49"/>
    </row>
    <row r="340" spans="4:4" ht="15.75" customHeight="1">
      <c r="D340" s="49"/>
    </row>
    <row r="341" spans="4:4" ht="15.75" customHeight="1">
      <c r="D341" s="49"/>
    </row>
    <row r="342" spans="4:4" ht="15.75" customHeight="1">
      <c r="D342" s="49"/>
    </row>
    <row r="343" spans="4:4" ht="15.75" customHeight="1">
      <c r="D343" s="49"/>
    </row>
    <row r="344" spans="4:4" ht="15.75" customHeight="1">
      <c r="D344" s="49"/>
    </row>
    <row r="345" spans="4:4" ht="15.75" customHeight="1">
      <c r="D345" s="49"/>
    </row>
    <row r="346" spans="4:4" ht="15.75" customHeight="1">
      <c r="D346" s="49"/>
    </row>
    <row r="347" spans="4:4" ht="15.75" customHeight="1">
      <c r="D347" s="49"/>
    </row>
    <row r="348" spans="4:4" ht="15.75" customHeight="1">
      <c r="D348" s="49"/>
    </row>
    <row r="349" spans="4:4" ht="15.75" customHeight="1">
      <c r="D349" s="49"/>
    </row>
    <row r="350" spans="4:4" ht="15.75" customHeight="1">
      <c r="D350" s="49"/>
    </row>
    <row r="351" spans="4:4" ht="15.75" customHeight="1">
      <c r="D351" s="49"/>
    </row>
    <row r="352" spans="4:4" ht="15.75" customHeight="1">
      <c r="D352" s="49"/>
    </row>
    <row r="353" spans="4:4" ht="15.75" customHeight="1">
      <c r="D353" s="49"/>
    </row>
    <row r="354" spans="4:4" ht="15.75" customHeight="1">
      <c r="D354" s="49"/>
    </row>
    <row r="355" spans="4:4" ht="15.75" customHeight="1">
      <c r="D355" s="49"/>
    </row>
    <row r="356" spans="4:4" ht="15.75" customHeight="1">
      <c r="D356" s="49"/>
    </row>
    <row r="357" spans="4:4" ht="15.75" customHeight="1">
      <c r="D357" s="49"/>
    </row>
    <row r="358" spans="4:4" ht="15.75" customHeight="1">
      <c r="D358" s="49"/>
    </row>
    <row r="359" spans="4:4" ht="15.75" customHeight="1">
      <c r="D359" s="49"/>
    </row>
    <row r="360" spans="4:4" ht="15.75" customHeight="1">
      <c r="D360" s="49"/>
    </row>
    <row r="361" spans="4:4" ht="15.75" customHeight="1">
      <c r="D361" s="49"/>
    </row>
    <row r="362" spans="4:4" ht="15.75" customHeight="1">
      <c r="D362" s="49"/>
    </row>
    <row r="363" spans="4:4" ht="15.75" customHeight="1">
      <c r="D363" s="49"/>
    </row>
    <row r="364" spans="4:4" ht="15.75" customHeight="1">
      <c r="D364" s="49"/>
    </row>
    <row r="365" spans="4:4" ht="15.75" customHeight="1">
      <c r="D365" s="49"/>
    </row>
    <row r="366" spans="4:4" ht="15.75" customHeight="1">
      <c r="D366" s="49"/>
    </row>
    <row r="367" spans="4:4" ht="15.75" customHeight="1">
      <c r="D367" s="49"/>
    </row>
    <row r="368" spans="4:4" ht="15.75" customHeight="1">
      <c r="D368" s="49"/>
    </row>
    <row r="369" spans="4:4" ht="15.75" customHeight="1">
      <c r="D369" s="49"/>
    </row>
    <row r="370" spans="4:4" ht="15.75" customHeight="1">
      <c r="D370" s="49"/>
    </row>
    <row r="371" spans="4:4" ht="15.75" customHeight="1">
      <c r="D371" s="49"/>
    </row>
    <row r="372" spans="4:4" ht="15.75" customHeight="1">
      <c r="D372" s="49"/>
    </row>
    <row r="373" spans="4:4" ht="15.75" customHeight="1">
      <c r="D373" s="49"/>
    </row>
    <row r="374" spans="4:4" ht="15.75" customHeight="1">
      <c r="D374" s="49"/>
    </row>
    <row r="375" spans="4:4" ht="15.75" customHeight="1">
      <c r="D375" s="49"/>
    </row>
    <row r="376" spans="4:4" ht="15.75" customHeight="1">
      <c r="D376" s="49"/>
    </row>
    <row r="377" spans="4:4" ht="15.75" customHeight="1">
      <c r="D377" s="49"/>
    </row>
    <row r="378" spans="4:4" ht="15.75" customHeight="1">
      <c r="D378" s="49"/>
    </row>
    <row r="379" spans="4:4" ht="15.75" customHeight="1">
      <c r="D379" s="49"/>
    </row>
    <row r="380" spans="4:4" ht="15.75" customHeight="1">
      <c r="D380" s="49"/>
    </row>
    <row r="381" spans="4:4" ht="15.75" customHeight="1">
      <c r="D381" s="49"/>
    </row>
    <row r="382" spans="4:4" ht="15.75" customHeight="1">
      <c r="D382" s="49"/>
    </row>
    <row r="383" spans="4:4" ht="15.75" customHeight="1">
      <c r="D383" s="49"/>
    </row>
    <row r="384" spans="4:4" ht="15.75" customHeight="1">
      <c r="D384" s="49"/>
    </row>
    <row r="385" spans="4:4" ht="15.75" customHeight="1">
      <c r="D385" s="49"/>
    </row>
    <row r="386" spans="4:4" ht="15.75" customHeight="1">
      <c r="D386" s="49"/>
    </row>
    <row r="387" spans="4:4" ht="15.75" customHeight="1">
      <c r="D387" s="49"/>
    </row>
    <row r="388" spans="4:4" ht="15.75" customHeight="1">
      <c r="D388" s="49"/>
    </row>
    <row r="389" spans="4:4" ht="15.75" customHeight="1">
      <c r="D389" s="49"/>
    </row>
    <row r="390" spans="4:4" ht="15.75" customHeight="1">
      <c r="D390" s="49"/>
    </row>
    <row r="391" spans="4:4" ht="15.75" customHeight="1">
      <c r="D391" s="49"/>
    </row>
    <row r="392" spans="4:4" ht="15.75" customHeight="1">
      <c r="D392" s="49"/>
    </row>
    <row r="393" spans="4:4" ht="15.75" customHeight="1">
      <c r="D393" s="49"/>
    </row>
    <row r="394" spans="4:4" ht="15.75" customHeight="1">
      <c r="D394" s="49"/>
    </row>
    <row r="395" spans="4:4" ht="15.75" customHeight="1">
      <c r="D395" s="49"/>
    </row>
    <row r="396" spans="4:4" ht="15.75" customHeight="1">
      <c r="D396" s="49"/>
    </row>
    <row r="397" spans="4:4" ht="15.75" customHeight="1">
      <c r="D397" s="49"/>
    </row>
    <row r="398" spans="4:4" ht="15.75" customHeight="1">
      <c r="D398" s="49"/>
    </row>
    <row r="399" spans="4:4" ht="15.75" customHeight="1">
      <c r="D399" s="49"/>
    </row>
    <row r="400" spans="4:4" ht="15.75" customHeight="1">
      <c r="D400" s="49"/>
    </row>
    <row r="401" spans="4:4" ht="15.75" customHeight="1">
      <c r="D401" s="49"/>
    </row>
    <row r="402" spans="4:4" ht="15.75" customHeight="1">
      <c r="D402" s="49"/>
    </row>
    <row r="403" spans="4:4" ht="15.75" customHeight="1">
      <c r="D403" s="49"/>
    </row>
    <row r="404" spans="4:4" ht="15.75" customHeight="1">
      <c r="D404" s="49"/>
    </row>
    <row r="405" spans="4:4" ht="15.75" customHeight="1">
      <c r="D405" s="49"/>
    </row>
    <row r="406" spans="4:4" ht="15.75" customHeight="1">
      <c r="D406" s="49"/>
    </row>
    <row r="407" spans="4:4" ht="15.75" customHeight="1">
      <c r="D407" s="49"/>
    </row>
    <row r="408" spans="4:4" ht="15.75" customHeight="1">
      <c r="D408" s="49"/>
    </row>
    <row r="409" spans="4:4" ht="15.75" customHeight="1">
      <c r="D409" s="49"/>
    </row>
    <row r="410" spans="4:4" ht="15.75" customHeight="1">
      <c r="D410" s="49"/>
    </row>
    <row r="411" spans="4:4" ht="15.75" customHeight="1">
      <c r="D411" s="49"/>
    </row>
    <row r="412" spans="4:4" ht="15.75" customHeight="1">
      <c r="D412" s="49"/>
    </row>
    <row r="413" spans="4:4" ht="15.75" customHeight="1">
      <c r="D413" s="49"/>
    </row>
    <row r="414" spans="4:4" ht="15.75" customHeight="1">
      <c r="D414" s="49"/>
    </row>
    <row r="415" spans="4:4" ht="15.75" customHeight="1">
      <c r="D415" s="49"/>
    </row>
    <row r="416" spans="4:4" ht="15.75" customHeight="1">
      <c r="D416" s="49"/>
    </row>
    <row r="417" spans="4:4" ht="15.75" customHeight="1">
      <c r="D417" s="49"/>
    </row>
    <row r="418" spans="4:4" ht="15.75" customHeight="1">
      <c r="D418" s="49"/>
    </row>
    <row r="419" spans="4:4" ht="15.75" customHeight="1">
      <c r="D419" s="49"/>
    </row>
    <row r="420" spans="4:4" ht="15.75" customHeight="1">
      <c r="D420" s="49"/>
    </row>
    <row r="421" spans="4:4" ht="15.75" customHeight="1">
      <c r="D421" s="49"/>
    </row>
    <row r="422" spans="4:4" ht="15.75" customHeight="1">
      <c r="D422" s="49"/>
    </row>
    <row r="423" spans="4:4" ht="15.75" customHeight="1">
      <c r="D423" s="49"/>
    </row>
    <row r="424" spans="4:4" ht="15.75" customHeight="1">
      <c r="D424" s="49"/>
    </row>
    <row r="425" spans="4:4" ht="15.75" customHeight="1">
      <c r="D425" s="49"/>
    </row>
    <row r="426" spans="4:4" ht="15.75" customHeight="1">
      <c r="D426" s="49"/>
    </row>
    <row r="427" spans="4:4" ht="15.75" customHeight="1">
      <c r="D427" s="49"/>
    </row>
    <row r="428" spans="4:4" ht="15.75" customHeight="1">
      <c r="D428" s="49"/>
    </row>
    <row r="429" spans="4:4" ht="15.75" customHeight="1">
      <c r="D429" s="49"/>
    </row>
    <row r="430" spans="4:4" ht="15.75" customHeight="1">
      <c r="D430" s="49"/>
    </row>
    <row r="431" spans="4:4" ht="15.75" customHeight="1">
      <c r="D431" s="49"/>
    </row>
    <row r="432" spans="4:4" ht="15.75" customHeight="1">
      <c r="D432" s="49"/>
    </row>
    <row r="433" spans="4:4" ht="15.75" customHeight="1">
      <c r="D433" s="49"/>
    </row>
    <row r="434" spans="4:4" ht="15.75" customHeight="1">
      <c r="D434" s="49"/>
    </row>
    <row r="435" spans="4:4" ht="15.75" customHeight="1">
      <c r="D435" s="49"/>
    </row>
    <row r="436" spans="4:4" ht="15.75" customHeight="1">
      <c r="D436" s="49"/>
    </row>
    <row r="437" spans="4:4" ht="15.75" customHeight="1">
      <c r="D437" s="49"/>
    </row>
    <row r="438" spans="4:4" ht="15.75" customHeight="1">
      <c r="D438" s="49"/>
    </row>
    <row r="439" spans="4:4" ht="15.75" customHeight="1">
      <c r="D439" s="49"/>
    </row>
    <row r="440" spans="4:4" ht="15.75" customHeight="1">
      <c r="D440" s="49"/>
    </row>
    <row r="441" spans="4:4" ht="15.75" customHeight="1">
      <c r="D441" s="49"/>
    </row>
    <row r="442" spans="4:4" ht="15.75" customHeight="1">
      <c r="D442" s="49"/>
    </row>
    <row r="443" spans="4:4" ht="15.75" customHeight="1">
      <c r="D443" s="49"/>
    </row>
    <row r="444" spans="4:4" ht="15.75" customHeight="1">
      <c r="D444" s="49"/>
    </row>
    <row r="445" spans="4:4" ht="15.75" customHeight="1">
      <c r="D445" s="49"/>
    </row>
    <row r="446" spans="4:4" ht="15.75" customHeight="1">
      <c r="D446" s="49"/>
    </row>
    <row r="447" spans="4:4" ht="15.75" customHeight="1">
      <c r="D447" s="49"/>
    </row>
    <row r="448" spans="4:4" ht="15.75" customHeight="1">
      <c r="D448" s="49"/>
    </row>
    <row r="449" spans="4:4" ht="15.75" customHeight="1">
      <c r="D449" s="49"/>
    </row>
    <row r="450" spans="4:4" ht="15.75" customHeight="1">
      <c r="D450" s="49"/>
    </row>
    <row r="451" spans="4:4" ht="15.75" customHeight="1">
      <c r="D451" s="49"/>
    </row>
    <row r="452" spans="4:4" ht="15.75" customHeight="1">
      <c r="D452" s="49"/>
    </row>
    <row r="453" spans="4:4" ht="15.75" customHeight="1">
      <c r="D453" s="49"/>
    </row>
    <row r="454" spans="4:4" ht="15.75" customHeight="1">
      <c r="D454" s="49"/>
    </row>
    <row r="455" spans="4:4" ht="15.75" customHeight="1">
      <c r="D455" s="49"/>
    </row>
    <row r="456" spans="4:4" ht="15.75" customHeight="1">
      <c r="D456" s="49"/>
    </row>
    <row r="457" spans="4:4" ht="15.75" customHeight="1">
      <c r="D457" s="49"/>
    </row>
    <row r="458" spans="4:4" ht="15.75" customHeight="1">
      <c r="D458" s="49"/>
    </row>
    <row r="459" spans="4:4" ht="15.75" customHeight="1">
      <c r="D459" s="49"/>
    </row>
    <row r="460" spans="4:4" ht="15.75" customHeight="1">
      <c r="D460" s="49"/>
    </row>
    <row r="461" spans="4:4" ht="15.75" customHeight="1">
      <c r="D461" s="49"/>
    </row>
    <row r="462" spans="4:4" ht="15.75" customHeight="1">
      <c r="D462" s="49"/>
    </row>
    <row r="463" spans="4:4" ht="15.75" customHeight="1">
      <c r="D463" s="49"/>
    </row>
    <row r="464" spans="4:4" ht="15.75" customHeight="1">
      <c r="D464" s="49"/>
    </row>
    <row r="465" spans="4:4" ht="15.75" customHeight="1">
      <c r="D465" s="49"/>
    </row>
    <row r="466" spans="4:4" ht="15.75" customHeight="1">
      <c r="D466" s="49"/>
    </row>
    <row r="467" spans="4:4" ht="15.75" customHeight="1">
      <c r="D467" s="49"/>
    </row>
    <row r="468" spans="4:4" ht="15.75" customHeight="1">
      <c r="D468" s="49"/>
    </row>
    <row r="469" spans="4:4" ht="15.75" customHeight="1">
      <c r="D469" s="49"/>
    </row>
    <row r="470" spans="4:4" ht="15.75" customHeight="1">
      <c r="D470" s="49"/>
    </row>
    <row r="471" spans="4:4" ht="15.75" customHeight="1">
      <c r="D471" s="49"/>
    </row>
    <row r="472" spans="4:4" ht="15.75" customHeight="1">
      <c r="D472" s="49"/>
    </row>
    <row r="473" spans="4:4" ht="15.75" customHeight="1">
      <c r="D473" s="49"/>
    </row>
    <row r="474" spans="4:4" ht="15.75" customHeight="1">
      <c r="D474" s="49"/>
    </row>
    <row r="475" spans="4:4" ht="15.75" customHeight="1">
      <c r="D475" s="49"/>
    </row>
    <row r="476" spans="4:4" ht="15.75" customHeight="1">
      <c r="D476" s="49"/>
    </row>
    <row r="477" spans="4:4" ht="15.75" customHeight="1">
      <c r="D477" s="49"/>
    </row>
    <row r="478" spans="4:4" ht="15.75" customHeight="1">
      <c r="D478" s="49"/>
    </row>
    <row r="479" spans="4:4" ht="15.75" customHeight="1">
      <c r="D479" s="49"/>
    </row>
    <row r="480" spans="4:4" ht="15.75" customHeight="1">
      <c r="D480" s="49"/>
    </row>
    <row r="481" spans="4:4" ht="15.75" customHeight="1">
      <c r="D481" s="49"/>
    </row>
    <row r="482" spans="4:4" ht="15.75" customHeight="1">
      <c r="D482" s="49"/>
    </row>
    <row r="483" spans="4:4" ht="15.75" customHeight="1">
      <c r="D483" s="49"/>
    </row>
    <row r="484" spans="4:4" ht="15.75" customHeight="1">
      <c r="D484" s="49"/>
    </row>
    <row r="485" spans="4:4" ht="15.75" customHeight="1">
      <c r="D485" s="49"/>
    </row>
    <row r="486" spans="4:4" ht="15.75" customHeight="1">
      <c r="D486" s="49"/>
    </row>
    <row r="487" spans="4:4" ht="15.75" customHeight="1">
      <c r="D487" s="49"/>
    </row>
    <row r="488" spans="4:4" ht="15.75" customHeight="1">
      <c r="D488" s="49"/>
    </row>
    <row r="489" spans="4:4" ht="15.75" customHeight="1">
      <c r="D489" s="49"/>
    </row>
    <row r="490" spans="4:4" ht="15.75" customHeight="1">
      <c r="D490" s="49"/>
    </row>
    <row r="491" spans="4:4" ht="15.75" customHeight="1">
      <c r="D491" s="49"/>
    </row>
    <row r="492" spans="4:4" ht="15.75" customHeight="1">
      <c r="D492" s="49"/>
    </row>
    <row r="493" spans="4:4" ht="15.75" customHeight="1">
      <c r="D493" s="49"/>
    </row>
    <row r="494" spans="4:4" ht="15.75" customHeight="1">
      <c r="D494" s="49"/>
    </row>
    <row r="495" spans="4:4" ht="15.75" customHeight="1">
      <c r="D495" s="49"/>
    </row>
    <row r="496" spans="4:4" ht="15.75" customHeight="1">
      <c r="D496" s="49"/>
    </row>
    <row r="497" spans="4:4" ht="15.75" customHeight="1">
      <c r="D497" s="49"/>
    </row>
    <row r="498" spans="4:4" ht="15.75" customHeight="1">
      <c r="D498" s="49"/>
    </row>
    <row r="499" spans="4:4" ht="15.75" customHeight="1">
      <c r="D499" s="49"/>
    </row>
    <row r="500" spans="4:4" ht="15.75" customHeight="1">
      <c r="D500" s="49"/>
    </row>
    <row r="501" spans="4:4" ht="15.75" customHeight="1">
      <c r="D501" s="49"/>
    </row>
    <row r="502" spans="4:4" ht="15.75" customHeight="1">
      <c r="D502" s="49"/>
    </row>
    <row r="503" spans="4:4" ht="15.75" customHeight="1">
      <c r="D503" s="49"/>
    </row>
    <row r="504" spans="4:4" ht="15.75" customHeight="1">
      <c r="D504" s="49"/>
    </row>
    <row r="505" spans="4:4" ht="15.75" customHeight="1">
      <c r="D505" s="49"/>
    </row>
    <row r="506" spans="4:4" ht="15.75" customHeight="1">
      <c r="D506" s="49"/>
    </row>
    <row r="507" spans="4:4" ht="15.75" customHeight="1">
      <c r="D507" s="49"/>
    </row>
    <row r="508" spans="4:4" ht="15.75" customHeight="1">
      <c r="D508" s="49"/>
    </row>
    <row r="509" spans="4:4" ht="15.75" customHeight="1">
      <c r="D509" s="49"/>
    </row>
    <row r="510" spans="4:4" ht="15.75" customHeight="1">
      <c r="D510" s="49"/>
    </row>
    <row r="511" spans="4:4" ht="15.75" customHeight="1">
      <c r="D511" s="49"/>
    </row>
    <row r="512" spans="4:4" ht="15.75" customHeight="1">
      <c r="D512" s="49"/>
    </row>
    <row r="513" spans="4:4" ht="15.75" customHeight="1">
      <c r="D513" s="49"/>
    </row>
    <row r="514" spans="4:4" ht="15.75" customHeight="1">
      <c r="D514" s="49"/>
    </row>
    <row r="515" spans="4:4" ht="15.75" customHeight="1">
      <c r="D515" s="49"/>
    </row>
    <row r="516" spans="4:4" ht="15.75" customHeight="1">
      <c r="D516" s="49"/>
    </row>
    <row r="517" spans="4:4" ht="15.75" customHeight="1">
      <c r="D517" s="49"/>
    </row>
    <row r="518" spans="4:4" ht="15.75" customHeight="1">
      <c r="D518" s="49"/>
    </row>
    <row r="519" spans="4:4" ht="15.75" customHeight="1">
      <c r="D519" s="49"/>
    </row>
    <row r="520" spans="4:4" ht="15.75" customHeight="1">
      <c r="D520" s="49"/>
    </row>
    <row r="521" spans="4:4" ht="15.75" customHeight="1">
      <c r="D521" s="49"/>
    </row>
    <row r="522" spans="4:4" ht="15.75" customHeight="1">
      <c r="D522" s="49"/>
    </row>
    <row r="523" spans="4:4" ht="15.75" customHeight="1">
      <c r="D523" s="49"/>
    </row>
    <row r="524" spans="4:4" ht="15.75" customHeight="1">
      <c r="D524" s="49"/>
    </row>
    <row r="525" spans="4:4" ht="15.75" customHeight="1">
      <c r="D525" s="49"/>
    </row>
    <row r="526" spans="4:4" ht="15.75" customHeight="1">
      <c r="D526" s="49"/>
    </row>
    <row r="527" spans="4:4" ht="15.75" customHeight="1">
      <c r="D527" s="49"/>
    </row>
    <row r="528" spans="4:4" ht="15.75" customHeight="1">
      <c r="D528" s="49"/>
    </row>
    <row r="529" spans="4:4" ht="15.75" customHeight="1">
      <c r="D529" s="49"/>
    </row>
    <row r="530" spans="4:4" ht="15.75" customHeight="1">
      <c r="D530" s="49"/>
    </row>
    <row r="531" spans="4:4" ht="15.75" customHeight="1">
      <c r="D531" s="49"/>
    </row>
    <row r="532" spans="4:4" ht="15.75" customHeight="1">
      <c r="D532" s="49"/>
    </row>
    <row r="533" spans="4:4" ht="15.75" customHeight="1">
      <c r="D533" s="49"/>
    </row>
    <row r="534" spans="4:4" ht="15.75" customHeight="1">
      <c r="D534" s="49"/>
    </row>
    <row r="535" spans="4:4" ht="15.75" customHeight="1">
      <c r="D535" s="49"/>
    </row>
    <row r="536" spans="4:4" ht="15.75" customHeight="1">
      <c r="D536" s="49"/>
    </row>
    <row r="537" spans="4:4" ht="15.75" customHeight="1">
      <c r="D537" s="49"/>
    </row>
    <row r="538" spans="4:4" ht="15.75" customHeight="1">
      <c r="D538" s="49"/>
    </row>
    <row r="539" spans="4:4" ht="15.75" customHeight="1">
      <c r="D539" s="49"/>
    </row>
    <row r="540" spans="4:4" ht="15.75" customHeight="1">
      <c r="D540" s="49"/>
    </row>
    <row r="541" spans="4:4" ht="15.75" customHeight="1">
      <c r="D541" s="49"/>
    </row>
    <row r="542" spans="4:4" ht="15.75" customHeight="1">
      <c r="D542" s="49"/>
    </row>
    <row r="543" spans="4:4" ht="15.75" customHeight="1">
      <c r="D543" s="49"/>
    </row>
    <row r="544" spans="4:4" ht="15.75" customHeight="1">
      <c r="D544" s="49"/>
    </row>
    <row r="545" spans="4:4" ht="15.75" customHeight="1">
      <c r="D545" s="49"/>
    </row>
    <row r="546" spans="4:4" ht="15.75" customHeight="1">
      <c r="D546" s="49"/>
    </row>
    <row r="547" spans="4:4" ht="15.75" customHeight="1">
      <c r="D547" s="49"/>
    </row>
    <row r="548" spans="4:4" ht="15.75" customHeight="1">
      <c r="D548" s="49"/>
    </row>
    <row r="549" spans="4:4" ht="15.75" customHeight="1">
      <c r="D549" s="49"/>
    </row>
    <row r="550" spans="4:4" ht="15.75" customHeight="1">
      <c r="D550" s="49"/>
    </row>
    <row r="551" spans="4:4" ht="15.75" customHeight="1">
      <c r="D551" s="49"/>
    </row>
    <row r="552" spans="4:4" ht="15.75" customHeight="1">
      <c r="D552" s="49"/>
    </row>
    <row r="553" spans="4:4" ht="15.75" customHeight="1">
      <c r="D553" s="49"/>
    </row>
    <row r="554" spans="4:4" ht="15.75" customHeight="1">
      <c r="D554" s="49"/>
    </row>
    <row r="555" spans="4:4" ht="15.75" customHeight="1">
      <c r="D555" s="49"/>
    </row>
    <row r="556" spans="4:4" ht="15.75" customHeight="1">
      <c r="D556" s="49"/>
    </row>
    <row r="557" spans="4:4" ht="15.75" customHeight="1">
      <c r="D557" s="49"/>
    </row>
    <row r="558" spans="4:4" ht="15.75" customHeight="1">
      <c r="D558" s="49"/>
    </row>
    <row r="559" spans="4:4" ht="15.75" customHeight="1">
      <c r="D559" s="49"/>
    </row>
    <row r="560" spans="4:4" ht="15.75" customHeight="1">
      <c r="D560" s="49"/>
    </row>
    <row r="561" spans="4:4" ht="15.75" customHeight="1">
      <c r="D561" s="49"/>
    </row>
    <row r="562" spans="4:4" ht="15.75" customHeight="1">
      <c r="D562" s="49"/>
    </row>
    <row r="563" spans="4:4" ht="15.75" customHeight="1">
      <c r="D563" s="49"/>
    </row>
    <row r="564" spans="4:4" ht="15.75" customHeight="1">
      <c r="D564" s="49"/>
    </row>
    <row r="565" spans="4:4" ht="15.75" customHeight="1">
      <c r="D565" s="49"/>
    </row>
    <row r="566" spans="4:4" ht="15.75" customHeight="1">
      <c r="D566" s="49"/>
    </row>
    <row r="567" spans="4:4" ht="15.75" customHeight="1">
      <c r="D567" s="49"/>
    </row>
    <row r="568" spans="4:4" ht="15.75" customHeight="1">
      <c r="D568" s="49"/>
    </row>
    <row r="569" spans="4:4" ht="15.75" customHeight="1">
      <c r="D569" s="49"/>
    </row>
    <row r="570" spans="4:4" ht="15.75" customHeight="1">
      <c r="D570" s="49"/>
    </row>
    <row r="571" spans="4:4" ht="15.75" customHeight="1">
      <c r="D571" s="49"/>
    </row>
    <row r="572" spans="4:4" ht="15.75" customHeight="1">
      <c r="D572" s="49"/>
    </row>
    <row r="573" spans="4:4" ht="15.75" customHeight="1">
      <c r="D573" s="49"/>
    </row>
    <row r="574" spans="4:4" ht="15.75" customHeight="1">
      <c r="D574" s="49"/>
    </row>
    <row r="575" spans="4:4" ht="15.75" customHeight="1">
      <c r="D575" s="49"/>
    </row>
    <row r="576" spans="4:4" ht="15.75" customHeight="1">
      <c r="D576" s="49"/>
    </row>
    <row r="577" spans="4:4" ht="15.75" customHeight="1">
      <c r="D577" s="49"/>
    </row>
    <row r="578" spans="4:4" ht="15.75" customHeight="1">
      <c r="D578" s="49"/>
    </row>
    <row r="579" spans="4:4" ht="15.75" customHeight="1">
      <c r="D579" s="49"/>
    </row>
    <row r="580" spans="4:4" ht="15.75" customHeight="1">
      <c r="D580" s="49"/>
    </row>
    <row r="581" spans="4:4" ht="15.75" customHeight="1">
      <c r="D581" s="49"/>
    </row>
    <row r="582" spans="4:4" ht="15.75" customHeight="1">
      <c r="D582" s="49"/>
    </row>
    <row r="583" spans="4:4" ht="15.75" customHeight="1">
      <c r="D583" s="49"/>
    </row>
    <row r="584" spans="4:4" ht="15.75" customHeight="1">
      <c r="D584" s="49"/>
    </row>
    <row r="585" spans="4:4" ht="15.75" customHeight="1">
      <c r="D585" s="49"/>
    </row>
    <row r="586" spans="4:4" ht="15.75" customHeight="1">
      <c r="D586" s="49"/>
    </row>
    <row r="587" spans="4:4" ht="15.75" customHeight="1">
      <c r="D587" s="49"/>
    </row>
    <row r="588" spans="4:4" ht="15.75" customHeight="1">
      <c r="D588" s="49"/>
    </row>
    <row r="589" spans="4:4" ht="15.75" customHeight="1">
      <c r="D589" s="49"/>
    </row>
    <row r="590" spans="4:4" ht="15.75" customHeight="1">
      <c r="D590" s="49"/>
    </row>
    <row r="591" spans="4:4" ht="15.75" customHeight="1">
      <c r="D591" s="49"/>
    </row>
    <row r="592" spans="4:4" ht="15.75" customHeight="1">
      <c r="D592" s="49"/>
    </row>
    <row r="593" spans="4:4" ht="15.75" customHeight="1">
      <c r="D593" s="49"/>
    </row>
    <row r="594" spans="4:4" ht="15.75" customHeight="1">
      <c r="D594" s="49"/>
    </row>
    <row r="595" spans="4:4" ht="15.75" customHeight="1">
      <c r="D595" s="49"/>
    </row>
    <row r="596" spans="4:4" ht="15.75" customHeight="1">
      <c r="D596" s="49"/>
    </row>
    <row r="597" spans="4:4" ht="15.75" customHeight="1">
      <c r="D597" s="49"/>
    </row>
    <row r="598" spans="4:4" ht="15.75" customHeight="1">
      <c r="D598" s="49"/>
    </row>
    <row r="599" spans="4:4" ht="15.75" customHeight="1">
      <c r="D599" s="49"/>
    </row>
    <row r="600" spans="4:4" ht="15.75" customHeight="1">
      <c r="D600" s="49"/>
    </row>
    <row r="601" spans="4:4" ht="15.75" customHeight="1">
      <c r="D601" s="49"/>
    </row>
    <row r="602" spans="4:4" ht="15.75" customHeight="1">
      <c r="D602" s="49"/>
    </row>
    <row r="603" spans="4:4" ht="15.75" customHeight="1">
      <c r="D603" s="49"/>
    </row>
    <row r="604" spans="4:4" ht="15.75" customHeight="1">
      <c r="D604" s="49"/>
    </row>
    <row r="605" spans="4:4" ht="15.75" customHeight="1">
      <c r="D605" s="49"/>
    </row>
    <row r="606" spans="4:4" ht="15.75" customHeight="1">
      <c r="D606" s="49"/>
    </row>
    <row r="607" spans="4:4" ht="15.75" customHeight="1">
      <c r="D607" s="49"/>
    </row>
    <row r="608" spans="4:4" ht="15.75" customHeight="1">
      <c r="D608" s="49"/>
    </row>
    <row r="609" spans="4:4" ht="15.75" customHeight="1">
      <c r="D609" s="49"/>
    </row>
    <row r="610" spans="4:4" ht="15.75" customHeight="1">
      <c r="D610" s="49"/>
    </row>
    <row r="611" spans="4:4" ht="15.75" customHeight="1">
      <c r="D611" s="49"/>
    </row>
    <row r="612" spans="4:4" ht="15.75" customHeight="1">
      <c r="D612" s="49"/>
    </row>
    <row r="613" spans="4:4" ht="15.75" customHeight="1">
      <c r="D613" s="49"/>
    </row>
    <row r="614" spans="4:4" ht="15.75" customHeight="1">
      <c r="D614" s="49"/>
    </row>
    <row r="615" spans="4:4" ht="15.75" customHeight="1">
      <c r="D615" s="49"/>
    </row>
    <row r="616" spans="4:4" ht="15.75" customHeight="1">
      <c r="D616" s="49"/>
    </row>
    <row r="617" spans="4:4" ht="15.75" customHeight="1">
      <c r="D617" s="49"/>
    </row>
    <row r="618" spans="4:4" ht="15.75" customHeight="1">
      <c r="D618" s="49"/>
    </row>
    <row r="619" spans="4:4" ht="15.75" customHeight="1">
      <c r="D619" s="49"/>
    </row>
    <row r="620" spans="4:4" ht="15.75" customHeight="1">
      <c r="D620" s="49"/>
    </row>
    <row r="621" spans="4:4" ht="15.75" customHeight="1">
      <c r="D621" s="49"/>
    </row>
    <row r="622" spans="4:4" ht="15.75" customHeight="1">
      <c r="D622" s="49"/>
    </row>
    <row r="623" spans="4:4" ht="15.75" customHeight="1">
      <c r="D623" s="49"/>
    </row>
    <row r="624" spans="4:4" ht="15.75" customHeight="1">
      <c r="D624" s="49"/>
    </row>
    <row r="625" spans="4:4" ht="15.75" customHeight="1">
      <c r="D625" s="49"/>
    </row>
    <row r="626" spans="4:4" ht="15.75" customHeight="1">
      <c r="D626" s="49"/>
    </row>
    <row r="627" spans="4:4" ht="15.75" customHeight="1">
      <c r="D627" s="49"/>
    </row>
    <row r="628" spans="4:4" ht="15.75" customHeight="1">
      <c r="D628" s="49"/>
    </row>
    <row r="629" spans="4:4" ht="15.75" customHeight="1">
      <c r="D629" s="49"/>
    </row>
    <row r="630" spans="4:4" ht="15.75" customHeight="1">
      <c r="D630" s="49"/>
    </row>
    <row r="631" spans="4:4" ht="15.75" customHeight="1">
      <c r="D631" s="49"/>
    </row>
    <row r="632" spans="4:4" ht="15.75" customHeight="1">
      <c r="D632" s="49"/>
    </row>
    <row r="633" spans="4:4" ht="15.75" customHeight="1">
      <c r="D633" s="49"/>
    </row>
    <row r="634" spans="4:4" ht="15.75" customHeight="1">
      <c r="D634" s="49"/>
    </row>
    <row r="635" spans="4:4" ht="15.75" customHeight="1">
      <c r="D635" s="49"/>
    </row>
    <row r="636" spans="4:4" ht="15.75" customHeight="1">
      <c r="D636" s="49"/>
    </row>
    <row r="637" spans="4:4" ht="15.75" customHeight="1">
      <c r="D637" s="49"/>
    </row>
    <row r="638" spans="4:4" ht="15.75" customHeight="1">
      <c r="D638" s="49"/>
    </row>
    <row r="639" spans="4:4" ht="15.75" customHeight="1">
      <c r="D639" s="49"/>
    </row>
    <row r="640" spans="4:4" ht="15.75" customHeight="1">
      <c r="D640" s="49"/>
    </row>
    <row r="641" spans="4:4" ht="15.75" customHeight="1">
      <c r="D641" s="49"/>
    </row>
    <row r="642" spans="4:4" ht="15.75" customHeight="1">
      <c r="D642" s="49"/>
    </row>
    <row r="643" spans="4:4" ht="15.75" customHeight="1">
      <c r="D643" s="49"/>
    </row>
    <row r="644" spans="4:4" ht="15.75" customHeight="1">
      <c r="D644" s="49"/>
    </row>
    <row r="645" spans="4:4" ht="15.75" customHeight="1">
      <c r="D645" s="49"/>
    </row>
    <row r="646" spans="4:4" ht="15.75" customHeight="1">
      <c r="D646" s="49"/>
    </row>
    <row r="647" spans="4:4" ht="15.75" customHeight="1">
      <c r="D647" s="49"/>
    </row>
    <row r="648" spans="4:4" ht="15.75" customHeight="1">
      <c r="D648" s="49"/>
    </row>
    <row r="649" spans="4:4" ht="15.75" customHeight="1">
      <c r="D649" s="49"/>
    </row>
    <row r="650" spans="4:4" ht="15.75" customHeight="1">
      <c r="D650" s="49"/>
    </row>
    <row r="651" spans="4:4" ht="15.75" customHeight="1">
      <c r="D651" s="49"/>
    </row>
    <row r="652" spans="4:4" ht="15.75" customHeight="1">
      <c r="D652" s="49"/>
    </row>
    <row r="653" spans="4:4" ht="15.75" customHeight="1">
      <c r="D653" s="49"/>
    </row>
    <row r="654" spans="4:4" ht="15.75" customHeight="1">
      <c r="D654" s="49"/>
    </row>
    <row r="655" spans="4:4" ht="15.75" customHeight="1">
      <c r="D655" s="49"/>
    </row>
    <row r="656" spans="4:4" ht="15.75" customHeight="1">
      <c r="D656" s="49"/>
    </row>
    <row r="657" spans="4:4" ht="15.75" customHeight="1">
      <c r="D657" s="49"/>
    </row>
    <row r="658" spans="4:4" ht="15.75" customHeight="1">
      <c r="D658" s="49"/>
    </row>
    <row r="659" spans="4:4" ht="15.75" customHeight="1">
      <c r="D659" s="49"/>
    </row>
    <row r="660" spans="4:4" ht="15.75" customHeight="1">
      <c r="D660" s="49"/>
    </row>
    <row r="661" spans="4:4" ht="15.75" customHeight="1">
      <c r="D661" s="49"/>
    </row>
    <row r="662" spans="4:4" ht="15.75" customHeight="1">
      <c r="D662" s="49"/>
    </row>
    <row r="663" spans="4:4" ht="15.75" customHeight="1">
      <c r="D663" s="49"/>
    </row>
    <row r="664" spans="4:4" ht="15.75" customHeight="1">
      <c r="D664" s="49"/>
    </row>
    <row r="665" spans="4:4" ht="15.75" customHeight="1">
      <c r="D665" s="49"/>
    </row>
    <row r="666" spans="4:4" ht="15.75" customHeight="1">
      <c r="D666" s="49"/>
    </row>
    <row r="667" spans="4:4" ht="15.75" customHeight="1">
      <c r="D667" s="49"/>
    </row>
    <row r="668" spans="4:4" ht="15.75" customHeight="1">
      <c r="D668" s="49"/>
    </row>
    <row r="669" spans="4:4" ht="15.75" customHeight="1">
      <c r="D669" s="49"/>
    </row>
    <row r="670" spans="4:4" ht="15.75" customHeight="1">
      <c r="D670" s="49"/>
    </row>
    <row r="671" spans="4:4" ht="15.75" customHeight="1">
      <c r="D671" s="49"/>
    </row>
    <row r="672" spans="4:4" ht="15.75" customHeight="1">
      <c r="D672" s="49"/>
    </row>
    <row r="673" spans="4:4" ht="15.75" customHeight="1">
      <c r="D673" s="49"/>
    </row>
    <row r="674" spans="4:4" ht="15.75" customHeight="1">
      <c r="D674" s="49"/>
    </row>
    <row r="675" spans="4:4" ht="15.75" customHeight="1">
      <c r="D675" s="49"/>
    </row>
    <row r="676" spans="4:4" ht="15.75" customHeight="1">
      <c r="D676" s="49"/>
    </row>
    <row r="677" spans="4:4" ht="15.75" customHeight="1">
      <c r="D677" s="49"/>
    </row>
    <row r="678" spans="4:4" ht="15.75" customHeight="1">
      <c r="D678" s="49"/>
    </row>
    <row r="679" spans="4:4" ht="15.75" customHeight="1">
      <c r="D679" s="49"/>
    </row>
    <row r="680" spans="4:4" ht="15.75" customHeight="1">
      <c r="D680" s="49"/>
    </row>
    <row r="681" spans="4:4" ht="15.75" customHeight="1">
      <c r="D681" s="49"/>
    </row>
    <row r="682" spans="4:4" ht="15.75" customHeight="1">
      <c r="D682" s="49"/>
    </row>
    <row r="683" spans="4:4" ht="15.75" customHeight="1">
      <c r="D683" s="49"/>
    </row>
    <row r="684" spans="4:4" ht="15.75" customHeight="1">
      <c r="D684" s="49"/>
    </row>
    <row r="685" spans="4:4" ht="15.75" customHeight="1">
      <c r="D685" s="49"/>
    </row>
    <row r="686" spans="4:4" ht="15.75" customHeight="1">
      <c r="D686" s="49"/>
    </row>
    <row r="687" spans="4:4" ht="15.75" customHeight="1">
      <c r="D687" s="49"/>
    </row>
    <row r="688" spans="4:4" ht="15.75" customHeight="1">
      <c r="D688" s="49"/>
    </row>
    <row r="689" spans="4:4" ht="15.75" customHeight="1">
      <c r="D689" s="49"/>
    </row>
    <row r="690" spans="4:4" ht="15.75" customHeight="1">
      <c r="D690" s="49"/>
    </row>
    <row r="691" spans="4:4" ht="15.75" customHeight="1">
      <c r="D691" s="49"/>
    </row>
    <row r="692" spans="4:4" ht="15.75" customHeight="1">
      <c r="D692" s="49"/>
    </row>
    <row r="693" spans="4:4" ht="15.75" customHeight="1">
      <c r="D693" s="49"/>
    </row>
    <row r="694" spans="4:4" ht="15.75" customHeight="1">
      <c r="D694" s="49"/>
    </row>
    <row r="695" spans="4:4" ht="15.75" customHeight="1">
      <c r="D695" s="49"/>
    </row>
    <row r="696" spans="4:4" ht="15.75" customHeight="1">
      <c r="D696" s="49"/>
    </row>
    <row r="697" spans="4:4" ht="15.75" customHeight="1">
      <c r="D697" s="49"/>
    </row>
    <row r="698" spans="4:4" ht="15.75" customHeight="1">
      <c r="D698" s="49"/>
    </row>
    <row r="699" spans="4:4" ht="15.75" customHeight="1">
      <c r="D699" s="49"/>
    </row>
    <row r="700" spans="4:4" ht="15.75" customHeight="1">
      <c r="D700" s="49"/>
    </row>
    <row r="701" spans="4:4" ht="15.75" customHeight="1">
      <c r="D701" s="49"/>
    </row>
    <row r="702" spans="4:4" ht="15.75" customHeight="1">
      <c r="D702" s="49"/>
    </row>
    <row r="703" spans="4:4" ht="15.75" customHeight="1">
      <c r="D703" s="49"/>
    </row>
    <row r="704" spans="4:4" ht="15.75" customHeight="1">
      <c r="D704" s="49"/>
    </row>
    <row r="705" spans="4:4" ht="15.75" customHeight="1">
      <c r="D705" s="49"/>
    </row>
    <row r="706" spans="4:4" ht="15.75" customHeight="1">
      <c r="D706" s="49"/>
    </row>
    <row r="707" spans="4:4" ht="15.75" customHeight="1">
      <c r="D707" s="49"/>
    </row>
    <row r="708" spans="4:4" ht="15.75" customHeight="1">
      <c r="D708" s="49"/>
    </row>
    <row r="709" spans="4:4" ht="15.75" customHeight="1">
      <c r="D709" s="49"/>
    </row>
    <row r="710" spans="4:4" ht="15.75" customHeight="1">
      <c r="D710" s="49"/>
    </row>
    <row r="711" spans="4:4" ht="15.75" customHeight="1">
      <c r="D711" s="49"/>
    </row>
    <row r="712" spans="4:4" ht="15.75" customHeight="1">
      <c r="D712" s="49"/>
    </row>
    <row r="713" spans="4:4" ht="15.75" customHeight="1">
      <c r="D713" s="49"/>
    </row>
    <row r="714" spans="4:4" ht="15.75" customHeight="1">
      <c r="D714" s="49"/>
    </row>
    <row r="715" spans="4:4" ht="15.75" customHeight="1">
      <c r="D715" s="49"/>
    </row>
    <row r="716" spans="4:4" ht="15.75" customHeight="1">
      <c r="D716" s="49"/>
    </row>
    <row r="717" spans="4:4" ht="15.75" customHeight="1">
      <c r="D717" s="49"/>
    </row>
    <row r="718" spans="4:4" ht="15.75" customHeight="1">
      <c r="D718" s="49"/>
    </row>
    <row r="719" spans="4:4" ht="15.75" customHeight="1">
      <c r="D719" s="49"/>
    </row>
    <row r="720" spans="4:4" ht="15.75" customHeight="1">
      <c r="D720" s="49"/>
    </row>
    <row r="721" spans="4:4" ht="15.75" customHeight="1">
      <c r="D721" s="49"/>
    </row>
    <row r="722" spans="4:4" ht="15.75" customHeight="1">
      <c r="D722" s="49"/>
    </row>
    <row r="723" spans="4:4" ht="15.75" customHeight="1">
      <c r="D723" s="49"/>
    </row>
    <row r="724" spans="4:4" ht="15.75" customHeight="1">
      <c r="D724" s="49"/>
    </row>
    <row r="725" spans="4:4" ht="15.75" customHeight="1">
      <c r="D725" s="49"/>
    </row>
    <row r="726" spans="4:4" ht="15.75" customHeight="1">
      <c r="D726" s="49"/>
    </row>
    <row r="727" spans="4:4" ht="15.75" customHeight="1">
      <c r="D727" s="49"/>
    </row>
    <row r="728" spans="4:4" ht="15.75" customHeight="1">
      <c r="D728" s="49"/>
    </row>
    <row r="729" spans="4:4" ht="15.75" customHeight="1">
      <c r="D729" s="49"/>
    </row>
    <row r="730" spans="4:4" ht="15.75" customHeight="1">
      <c r="D730" s="49"/>
    </row>
    <row r="731" spans="4:4" ht="15.75" customHeight="1">
      <c r="D731" s="49"/>
    </row>
    <row r="732" spans="4:4" ht="15.75" customHeight="1">
      <c r="D732" s="49"/>
    </row>
    <row r="733" spans="4:4" ht="15.75" customHeight="1">
      <c r="D733" s="49"/>
    </row>
    <row r="734" spans="4:4" ht="15.75" customHeight="1">
      <c r="D734" s="49"/>
    </row>
    <row r="735" spans="4:4" ht="15.75" customHeight="1">
      <c r="D735" s="49"/>
    </row>
    <row r="736" spans="4:4" ht="15.75" customHeight="1">
      <c r="D736" s="49"/>
    </row>
    <row r="737" spans="4:4" ht="15.75" customHeight="1">
      <c r="D737" s="49"/>
    </row>
    <row r="738" spans="4:4" ht="15.75" customHeight="1">
      <c r="D738" s="49"/>
    </row>
    <row r="739" spans="4:4" ht="15.75" customHeight="1">
      <c r="D739" s="49"/>
    </row>
    <row r="740" spans="4:4" ht="15.75" customHeight="1">
      <c r="D740" s="49"/>
    </row>
    <row r="741" spans="4:4" ht="15.75" customHeight="1">
      <c r="D741" s="49"/>
    </row>
    <row r="742" spans="4:4" ht="15.75" customHeight="1">
      <c r="D742" s="49"/>
    </row>
    <row r="743" spans="4:4" ht="15.75" customHeight="1">
      <c r="D743" s="49"/>
    </row>
    <row r="744" spans="4:4" ht="15.75" customHeight="1">
      <c r="D744" s="49"/>
    </row>
    <row r="745" spans="4:4" ht="15.75" customHeight="1">
      <c r="D745" s="49"/>
    </row>
    <row r="746" spans="4:4" ht="15.75" customHeight="1">
      <c r="D746" s="49"/>
    </row>
    <row r="747" spans="4:4" ht="15.75" customHeight="1">
      <c r="D747" s="49"/>
    </row>
    <row r="748" spans="4:4" ht="15.75" customHeight="1">
      <c r="D748" s="49"/>
    </row>
    <row r="749" spans="4:4" ht="15.75" customHeight="1">
      <c r="D749" s="49"/>
    </row>
    <row r="750" spans="4:4" ht="15.75" customHeight="1">
      <c r="D750" s="49"/>
    </row>
    <row r="751" spans="4:4" ht="15.75" customHeight="1">
      <c r="D751" s="49"/>
    </row>
    <row r="752" spans="4:4" ht="15.75" customHeight="1">
      <c r="D752" s="49"/>
    </row>
    <row r="753" spans="4:4" ht="15.75" customHeight="1">
      <c r="D753" s="49"/>
    </row>
    <row r="754" spans="4:4" ht="15.75" customHeight="1">
      <c r="D754" s="49"/>
    </row>
    <row r="755" spans="4:4" ht="15.75" customHeight="1">
      <c r="D755" s="49"/>
    </row>
    <row r="756" spans="4:4" ht="15.75" customHeight="1">
      <c r="D756" s="49"/>
    </row>
    <row r="757" spans="4:4" ht="15.75" customHeight="1">
      <c r="D757" s="49"/>
    </row>
    <row r="758" spans="4:4" ht="15.75" customHeight="1">
      <c r="D758" s="49"/>
    </row>
    <row r="759" spans="4:4" ht="15.75" customHeight="1">
      <c r="D759" s="49"/>
    </row>
    <row r="760" spans="4:4" ht="15.75" customHeight="1">
      <c r="D760" s="49"/>
    </row>
    <row r="761" spans="4:4" ht="15.75" customHeight="1">
      <c r="D761" s="49"/>
    </row>
    <row r="762" spans="4:4" ht="15.75" customHeight="1">
      <c r="D762" s="49"/>
    </row>
    <row r="763" spans="4:4" ht="15.75" customHeight="1">
      <c r="D763" s="49"/>
    </row>
    <row r="764" spans="4:4" ht="15.75" customHeight="1">
      <c r="D764" s="49"/>
    </row>
    <row r="765" spans="4:4" ht="15.75" customHeight="1">
      <c r="D765" s="49"/>
    </row>
    <row r="766" spans="4:4" ht="15.75" customHeight="1">
      <c r="D766" s="49"/>
    </row>
    <row r="767" spans="4:4" ht="15.75" customHeight="1">
      <c r="D767" s="49"/>
    </row>
    <row r="768" spans="4:4" ht="15.75" customHeight="1">
      <c r="D768" s="49"/>
    </row>
    <row r="769" spans="4:4" ht="15.75" customHeight="1">
      <c r="D769" s="49"/>
    </row>
    <row r="770" spans="4:4" ht="15.75" customHeight="1">
      <c r="D770" s="49"/>
    </row>
    <row r="771" spans="4:4" ht="15.75" customHeight="1">
      <c r="D771" s="49"/>
    </row>
    <row r="772" spans="4:4" ht="15.75" customHeight="1">
      <c r="D772" s="49"/>
    </row>
    <row r="773" spans="4:4" ht="15.75" customHeight="1">
      <c r="D773" s="49"/>
    </row>
    <row r="774" spans="4:4" ht="15.75" customHeight="1">
      <c r="D774" s="49"/>
    </row>
    <row r="775" spans="4:4" ht="15.75" customHeight="1">
      <c r="D775" s="49"/>
    </row>
    <row r="776" spans="4:4" ht="15.75" customHeight="1">
      <c r="D776" s="49"/>
    </row>
    <row r="777" spans="4:4" ht="15.75" customHeight="1">
      <c r="D777" s="49"/>
    </row>
    <row r="778" spans="4:4" ht="15.75" customHeight="1">
      <c r="D778" s="49"/>
    </row>
    <row r="779" spans="4:4" ht="15.75" customHeight="1">
      <c r="D779" s="49"/>
    </row>
    <row r="780" spans="4:4" ht="15.75" customHeight="1">
      <c r="D780" s="49"/>
    </row>
    <row r="781" spans="4:4" ht="15.75" customHeight="1">
      <c r="D781" s="49"/>
    </row>
    <row r="782" spans="4:4" ht="15.75" customHeight="1">
      <c r="D782" s="49"/>
    </row>
    <row r="783" spans="4:4" ht="15.75" customHeight="1">
      <c r="D783" s="49"/>
    </row>
    <row r="784" spans="4:4" ht="15.75" customHeight="1">
      <c r="D784" s="49"/>
    </row>
    <row r="785" spans="4:4" ht="15.75" customHeight="1">
      <c r="D785" s="49"/>
    </row>
    <row r="786" spans="4:4" ht="15.75" customHeight="1">
      <c r="D786" s="49"/>
    </row>
    <row r="787" spans="4:4" ht="15.75" customHeight="1">
      <c r="D787" s="49"/>
    </row>
    <row r="788" spans="4:4" ht="15.75" customHeight="1">
      <c r="D788" s="49"/>
    </row>
    <row r="789" spans="4:4" ht="15.75" customHeight="1">
      <c r="D789" s="49"/>
    </row>
    <row r="790" spans="4:4" ht="15.75" customHeight="1">
      <c r="D790" s="49"/>
    </row>
    <row r="791" spans="4:4" ht="15.75" customHeight="1">
      <c r="D791" s="49"/>
    </row>
    <row r="792" spans="4:4" ht="15.75" customHeight="1">
      <c r="D792" s="49"/>
    </row>
    <row r="793" spans="4:4" ht="15.75" customHeight="1">
      <c r="D793" s="49"/>
    </row>
    <row r="794" spans="4:4" ht="15.75" customHeight="1">
      <c r="D794" s="49"/>
    </row>
    <row r="795" spans="4:4" ht="15.75" customHeight="1">
      <c r="D795" s="49"/>
    </row>
    <row r="796" spans="4:4" ht="15.75" customHeight="1">
      <c r="D796" s="49"/>
    </row>
    <row r="797" spans="4:4" ht="15.75" customHeight="1">
      <c r="D797" s="49"/>
    </row>
    <row r="798" spans="4:4" ht="15.75" customHeight="1">
      <c r="D798" s="49"/>
    </row>
    <row r="799" spans="4:4" ht="15.75" customHeight="1">
      <c r="D799" s="49"/>
    </row>
    <row r="800" spans="4:4" ht="15.75" customHeight="1">
      <c r="D800" s="49"/>
    </row>
    <row r="801" spans="4:4" ht="15.75" customHeight="1">
      <c r="D801" s="49"/>
    </row>
    <row r="802" spans="4:4" ht="15.75" customHeight="1">
      <c r="D802" s="49"/>
    </row>
    <row r="803" spans="4:4" ht="15.75" customHeight="1">
      <c r="D803" s="49"/>
    </row>
    <row r="804" spans="4:4" ht="15.75" customHeight="1">
      <c r="D804" s="49"/>
    </row>
    <row r="805" spans="4:4" ht="15.75" customHeight="1">
      <c r="D805" s="49"/>
    </row>
    <row r="806" spans="4:4" ht="15.75" customHeight="1">
      <c r="D806" s="49"/>
    </row>
    <row r="807" spans="4:4" ht="15.75" customHeight="1">
      <c r="D807" s="49"/>
    </row>
    <row r="808" spans="4:4" ht="15.75" customHeight="1">
      <c r="D808" s="49"/>
    </row>
    <row r="809" spans="4:4" ht="15.75" customHeight="1">
      <c r="D809" s="49"/>
    </row>
    <row r="810" spans="4:4" ht="15.75" customHeight="1">
      <c r="D810" s="49"/>
    </row>
    <row r="811" spans="4:4" ht="15.75" customHeight="1">
      <c r="D811" s="49"/>
    </row>
    <row r="812" spans="4:4" ht="15.75" customHeight="1">
      <c r="D812" s="49"/>
    </row>
    <row r="813" spans="4:4" ht="15.75" customHeight="1">
      <c r="D813" s="49"/>
    </row>
    <row r="814" spans="4:4" ht="15.75" customHeight="1">
      <c r="D814" s="49"/>
    </row>
    <row r="815" spans="4:4" ht="15.75" customHeight="1">
      <c r="D815" s="49"/>
    </row>
    <row r="816" spans="4:4" ht="15.75" customHeight="1">
      <c r="D816" s="49"/>
    </row>
    <row r="817" spans="4:4" ht="15.75" customHeight="1">
      <c r="D817" s="49"/>
    </row>
    <row r="818" spans="4:4" ht="15.75" customHeight="1">
      <c r="D818" s="49"/>
    </row>
    <row r="819" spans="4:4" ht="15.75" customHeight="1">
      <c r="D819" s="49"/>
    </row>
    <row r="820" spans="4:4" ht="15.75" customHeight="1">
      <c r="D820" s="49"/>
    </row>
    <row r="821" spans="4:4" ht="15.75" customHeight="1">
      <c r="D821" s="49"/>
    </row>
    <row r="822" spans="4:4" ht="15.75" customHeight="1">
      <c r="D822" s="49"/>
    </row>
    <row r="823" spans="4:4" ht="15.75" customHeight="1">
      <c r="D823" s="49"/>
    </row>
    <row r="824" spans="4:4" ht="15.75" customHeight="1">
      <c r="D824" s="49"/>
    </row>
    <row r="825" spans="4:4" ht="15.75" customHeight="1">
      <c r="D825" s="49"/>
    </row>
    <row r="826" spans="4:4" ht="15.75" customHeight="1">
      <c r="D826" s="49"/>
    </row>
    <row r="827" spans="4:4" ht="15.75" customHeight="1">
      <c r="D827" s="49"/>
    </row>
    <row r="828" spans="4:4" ht="15.75" customHeight="1">
      <c r="D828" s="49"/>
    </row>
    <row r="829" spans="4:4" ht="15.75" customHeight="1">
      <c r="D829" s="49"/>
    </row>
    <row r="830" spans="4:4" ht="15.75" customHeight="1">
      <c r="D830" s="49"/>
    </row>
    <row r="831" spans="4:4" ht="15.75" customHeight="1">
      <c r="D831" s="49"/>
    </row>
    <row r="832" spans="4:4" ht="15.75" customHeight="1">
      <c r="D832" s="49"/>
    </row>
    <row r="833" spans="4:4" ht="15.75" customHeight="1">
      <c r="D833" s="49"/>
    </row>
    <row r="834" spans="4:4" ht="15.75" customHeight="1">
      <c r="D834" s="49"/>
    </row>
    <row r="835" spans="4:4" ht="15.75" customHeight="1">
      <c r="D835" s="49"/>
    </row>
    <row r="836" spans="4:4" ht="15.75" customHeight="1">
      <c r="D836" s="49"/>
    </row>
    <row r="837" spans="4:4" ht="15.75" customHeight="1">
      <c r="D837" s="49"/>
    </row>
    <row r="838" spans="4:4" ht="15.75" customHeight="1">
      <c r="D838" s="49"/>
    </row>
    <row r="839" spans="4:4" ht="15.75" customHeight="1">
      <c r="D839" s="49"/>
    </row>
    <row r="840" spans="4:4" ht="15.75" customHeight="1">
      <c r="D840" s="49"/>
    </row>
    <row r="841" spans="4:4" ht="15.75" customHeight="1">
      <c r="D841" s="49"/>
    </row>
    <row r="842" spans="4:4" ht="15.75" customHeight="1">
      <c r="D842" s="49"/>
    </row>
    <row r="843" spans="4:4" ht="15.75" customHeight="1">
      <c r="D843" s="49"/>
    </row>
    <row r="844" spans="4:4" ht="15.75" customHeight="1">
      <c r="D844" s="49"/>
    </row>
    <row r="845" spans="4:4" ht="15.75" customHeight="1">
      <c r="D845" s="49"/>
    </row>
    <row r="846" spans="4:4" ht="15.75" customHeight="1">
      <c r="D846" s="49"/>
    </row>
    <row r="847" spans="4:4" ht="15.75" customHeight="1">
      <c r="D847" s="49"/>
    </row>
    <row r="848" spans="4:4" ht="15.75" customHeight="1">
      <c r="D848" s="49"/>
    </row>
    <row r="849" spans="4:4" ht="15.75" customHeight="1">
      <c r="D849" s="49"/>
    </row>
    <row r="850" spans="4:4" ht="15.75" customHeight="1">
      <c r="D850" s="49"/>
    </row>
    <row r="851" spans="4:4" ht="15.75" customHeight="1">
      <c r="D851" s="49"/>
    </row>
    <row r="852" spans="4:4" ht="15.75" customHeight="1">
      <c r="D852" s="49"/>
    </row>
    <row r="853" spans="4:4" ht="15.75" customHeight="1">
      <c r="D853" s="49"/>
    </row>
    <row r="854" spans="4:4" ht="15.75" customHeight="1">
      <c r="D854" s="49"/>
    </row>
    <row r="855" spans="4:4" ht="15.75" customHeight="1">
      <c r="D855" s="49"/>
    </row>
    <row r="856" spans="4:4" ht="15.75" customHeight="1">
      <c r="D856" s="49"/>
    </row>
    <row r="857" spans="4:4" ht="15.75" customHeight="1">
      <c r="D857" s="49"/>
    </row>
    <row r="858" spans="4:4" ht="15.75" customHeight="1">
      <c r="D858" s="49"/>
    </row>
    <row r="859" spans="4:4" ht="15.75" customHeight="1">
      <c r="D859" s="49"/>
    </row>
    <row r="860" spans="4:4" ht="15.75" customHeight="1">
      <c r="D860" s="49"/>
    </row>
    <row r="861" spans="4:4" ht="15.75" customHeight="1">
      <c r="D861" s="49"/>
    </row>
    <row r="862" spans="4:4" ht="15.75" customHeight="1">
      <c r="D862" s="49"/>
    </row>
    <row r="863" spans="4:4" ht="15.75" customHeight="1">
      <c r="D863" s="49"/>
    </row>
    <row r="864" spans="4:4" ht="15.75" customHeight="1">
      <c r="D864" s="49"/>
    </row>
    <row r="865" spans="4:4" ht="15.75" customHeight="1">
      <c r="D865" s="49"/>
    </row>
    <row r="866" spans="4:4" ht="15.75" customHeight="1">
      <c r="D866" s="49"/>
    </row>
    <row r="867" spans="4:4" ht="15.75" customHeight="1">
      <c r="D867" s="49"/>
    </row>
    <row r="868" spans="4:4" ht="15.75" customHeight="1">
      <c r="D868" s="49"/>
    </row>
    <row r="869" spans="4:4" ht="15.75" customHeight="1">
      <c r="D869" s="49"/>
    </row>
    <row r="870" spans="4:4" ht="15.75" customHeight="1">
      <c r="D870" s="49"/>
    </row>
    <row r="871" spans="4:4" ht="15.75" customHeight="1">
      <c r="D871" s="49"/>
    </row>
    <row r="872" spans="4:4" ht="15.75" customHeight="1">
      <c r="D872" s="49"/>
    </row>
    <row r="873" spans="4:4" ht="15.75" customHeight="1">
      <c r="D873" s="49"/>
    </row>
    <row r="874" spans="4:4" ht="15.75" customHeight="1">
      <c r="D874" s="49"/>
    </row>
    <row r="875" spans="4:4" ht="15.75" customHeight="1">
      <c r="D875" s="49"/>
    </row>
    <row r="876" spans="4:4" ht="15.75" customHeight="1">
      <c r="D876" s="49"/>
    </row>
    <row r="877" spans="4:4" ht="15.75" customHeight="1">
      <c r="D877" s="49"/>
    </row>
    <row r="878" spans="4:4" ht="15.75" customHeight="1">
      <c r="D878" s="49"/>
    </row>
    <row r="879" spans="4:4" ht="15.75" customHeight="1">
      <c r="D879" s="49"/>
    </row>
    <row r="880" spans="4:4" ht="15.75" customHeight="1">
      <c r="D880" s="49"/>
    </row>
    <row r="881" spans="4:4" ht="15.75" customHeight="1">
      <c r="D881" s="49"/>
    </row>
    <row r="882" spans="4:4" ht="15.75" customHeight="1">
      <c r="D882" s="49"/>
    </row>
    <row r="883" spans="4:4" ht="15.75" customHeight="1">
      <c r="D883" s="49"/>
    </row>
    <row r="884" spans="4:4" ht="15.75" customHeight="1">
      <c r="D884" s="49"/>
    </row>
    <row r="885" spans="4:4" ht="15.75" customHeight="1">
      <c r="D885" s="49"/>
    </row>
    <row r="886" spans="4:4" ht="15.75" customHeight="1">
      <c r="D886" s="49"/>
    </row>
    <row r="887" spans="4:4" ht="15.75" customHeight="1">
      <c r="D887" s="49"/>
    </row>
    <row r="888" spans="4:4" ht="15.75" customHeight="1">
      <c r="D888" s="49"/>
    </row>
    <row r="889" spans="4:4" ht="15.75" customHeight="1">
      <c r="D889" s="49"/>
    </row>
    <row r="890" spans="4:4" ht="15.75" customHeight="1">
      <c r="D890" s="49"/>
    </row>
    <row r="891" spans="4:4" ht="15.75" customHeight="1">
      <c r="D891" s="49"/>
    </row>
    <row r="892" spans="4:4" ht="15.75" customHeight="1">
      <c r="D892" s="49"/>
    </row>
    <row r="893" spans="4:4" ht="15.75" customHeight="1">
      <c r="D893" s="49"/>
    </row>
    <row r="894" spans="4:4" ht="15.75" customHeight="1">
      <c r="D894" s="49"/>
    </row>
    <row r="895" spans="4:4" ht="15.75" customHeight="1">
      <c r="D895" s="49"/>
    </row>
    <row r="896" spans="4:4" ht="15.75" customHeight="1">
      <c r="D896" s="49"/>
    </row>
    <row r="897" spans="4:4" ht="15.75" customHeight="1">
      <c r="D897" s="49"/>
    </row>
    <row r="898" spans="4:4" ht="15.75" customHeight="1">
      <c r="D898" s="49"/>
    </row>
    <row r="899" spans="4:4" ht="15.75" customHeight="1">
      <c r="D899" s="49"/>
    </row>
    <row r="900" spans="4:4" ht="15.75" customHeight="1">
      <c r="D900" s="49"/>
    </row>
    <row r="901" spans="4:4" ht="15.75" customHeight="1">
      <c r="D901" s="49"/>
    </row>
    <row r="902" spans="4:4" ht="15.75" customHeight="1">
      <c r="D902" s="49"/>
    </row>
    <row r="903" spans="4:4" ht="15.75" customHeight="1">
      <c r="D903" s="49"/>
    </row>
    <row r="904" spans="4:4" ht="15.75" customHeight="1">
      <c r="D904" s="49"/>
    </row>
    <row r="905" spans="4:4" ht="15.75" customHeight="1">
      <c r="D905" s="49"/>
    </row>
    <row r="906" spans="4:4" ht="15.75" customHeight="1">
      <c r="D906" s="49"/>
    </row>
    <row r="907" spans="4:4" ht="15.75" customHeight="1">
      <c r="D907" s="49"/>
    </row>
    <row r="908" spans="4:4" ht="15.75" customHeight="1">
      <c r="D908" s="49"/>
    </row>
    <row r="909" spans="4:4" ht="15.75" customHeight="1">
      <c r="D909" s="49"/>
    </row>
    <row r="910" spans="4:4" ht="15.75" customHeight="1">
      <c r="D910" s="49"/>
    </row>
    <row r="911" spans="4:4" ht="15.75" customHeight="1">
      <c r="D911" s="49"/>
    </row>
    <row r="912" spans="4:4" ht="15.75" customHeight="1">
      <c r="D912" s="49"/>
    </row>
    <row r="913" spans="4:4" ht="15.75" customHeight="1">
      <c r="D913" s="49"/>
    </row>
    <row r="914" spans="4:4" ht="15.75" customHeight="1">
      <c r="D914" s="49"/>
    </row>
    <row r="915" spans="4:4" ht="15.75" customHeight="1">
      <c r="D915" s="49"/>
    </row>
    <row r="916" spans="4:4" ht="15.75" customHeight="1">
      <c r="D916" s="49"/>
    </row>
    <row r="917" spans="4:4" ht="15.75" customHeight="1">
      <c r="D917" s="49"/>
    </row>
    <row r="918" spans="4:4" ht="15.75" customHeight="1">
      <c r="D918" s="49"/>
    </row>
    <row r="919" spans="4:4" ht="15.75" customHeight="1">
      <c r="D919" s="49"/>
    </row>
    <row r="920" spans="4:4" ht="15.75" customHeight="1">
      <c r="D920" s="49"/>
    </row>
    <row r="921" spans="4:4" ht="15.75" customHeight="1">
      <c r="D921" s="49"/>
    </row>
    <row r="922" spans="4:4" ht="15.75" customHeight="1">
      <c r="D922" s="49"/>
    </row>
    <row r="923" spans="4:4" ht="15.75" customHeight="1">
      <c r="D923" s="49"/>
    </row>
    <row r="924" spans="4:4" ht="15.75" customHeight="1">
      <c r="D924" s="49"/>
    </row>
    <row r="925" spans="4:4" ht="15.75" customHeight="1">
      <c r="D925" s="49"/>
    </row>
    <row r="926" spans="4:4" ht="15.75" customHeight="1">
      <c r="D926" s="49"/>
    </row>
    <row r="927" spans="4:4" ht="15.75" customHeight="1">
      <c r="D927" s="49"/>
    </row>
    <row r="928" spans="4:4" ht="15.75" customHeight="1">
      <c r="D928" s="49"/>
    </row>
    <row r="929" spans="4:4" ht="15.75" customHeight="1">
      <c r="D929" s="49"/>
    </row>
    <row r="930" spans="4:4" ht="15.75" customHeight="1">
      <c r="D930" s="49"/>
    </row>
    <row r="931" spans="4:4" ht="15.75" customHeight="1">
      <c r="D931" s="49"/>
    </row>
    <row r="932" spans="4:4" ht="15.75" customHeight="1">
      <c r="D932" s="49"/>
    </row>
    <row r="933" spans="4:4" ht="15.75" customHeight="1">
      <c r="D933" s="49"/>
    </row>
    <row r="934" spans="4:4" ht="15.75" customHeight="1">
      <c r="D934" s="49"/>
    </row>
    <row r="935" spans="4:4" ht="15.75" customHeight="1">
      <c r="D935" s="49"/>
    </row>
    <row r="936" spans="4:4" ht="15.75" customHeight="1">
      <c r="D936" s="49"/>
    </row>
    <row r="937" spans="4:4" ht="15.75" customHeight="1">
      <c r="D937" s="49"/>
    </row>
    <row r="938" spans="4:4" ht="15.75" customHeight="1">
      <c r="D938" s="49"/>
    </row>
    <row r="939" spans="4:4" ht="15.75" customHeight="1">
      <c r="D939" s="49"/>
    </row>
    <row r="940" spans="4:4" ht="15.75" customHeight="1">
      <c r="D940" s="49"/>
    </row>
    <row r="941" spans="4:4" ht="15.75" customHeight="1">
      <c r="D941" s="49"/>
    </row>
    <row r="942" spans="4:4" ht="15.75" customHeight="1">
      <c r="D942" s="49"/>
    </row>
    <row r="943" spans="4:4" ht="15.75" customHeight="1">
      <c r="D943" s="49"/>
    </row>
    <row r="944" spans="4:4" ht="15.75" customHeight="1">
      <c r="D944" s="49"/>
    </row>
    <row r="945" spans="4:4" ht="15.75" customHeight="1">
      <c r="D945" s="49"/>
    </row>
    <row r="946" spans="4:4" ht="15.75" customHeight="1">
      <c r="D946" s="49"/>
    </row>
    <row r="947" spans="4:4" ht="15.75" customHeight="1">
      <c r="D947" s="49"/>
    </row>
    <row r="948" spans="4:4" ht="15.75" customHeight="1">
      <c r="D948" s="49"/>
    </row>
    <row r="949" spans="4:4" ht="15.75" customHeight="1">
      <c r="D949" s="49"/>
    </row>
    <row r="950" spans="4:4" ht="15.75" customHeight="1">
      <c r="D950" s="49"/>
    </row>
    <row r="951" spans="4:4" ht="15.75" customHeight="1">
      <c r="D951" s="49"/>
    </row>
    <row r="952" spans="4:4" ht="15.75" customHeight="1">
      <c r="D952" s="49"/>
    </row>
    <row r="953" spans="4:4" ht="15.75" customHeight="1">
      <c r="D953" s="49"/>
    </row>
    <row r="954" spans="4:4" ht="15.75" customHeight="1">
      <c r="D954" s="49"/>
    </row>
    <row r="955" spans="4:4" ht="15.75" customHeight="1">
      <c r="D955" s="49"/>
    </row>
    <row r="956" spans="4:4" ht="15.75" customHeight="1">
      <c r="D956" s="49"/>
    </row>
    <row r="957" spans="4:4" ht="15.75" customHeight="1">
      <c r="D957" s="49"/>
    </row>
    <row r="958" spans="4:4" ht="15.75" customHeight="1">
      <c r="D958" s="49"/>
    </row>
    <row r="959" spans="4:4" ht="15.75" customHeight="1">
      <c r="D959" s="49"/>
    </row>
    <row r="960" spans="4:4" ht="15.75" customHeight="1">
      <c r="D960" s="49"/>
    </row>
    <row r="961" spans="4:4" ht="15.75" customHeight="1">
      <c r="D961" s="49"/>
    </row>
    <row r="962" spans="4:4" ht="15.75" customHeight="1">
      <c r="D962" s="49"/>
    </row>
    <row r="963" spans="4:4" ht="15.75" customHeight="1">
      <c r="D963" s="49"/>
    </row>
    <row r="964" spans="4:4" ht="15.75" customHeight="1">
      <c r="D964" s="49"/>
    </row>
    <row r="965" spans="4:4" ht="15.75" customHeight="1">
      <c r="D965" s="49"/>
    </row>
    <row r="966" spans="4:4" ht="15.75" customHeight="1">
      <c r="D966" s="49"/>
    </row>
    <row r="967" spans="4:4" ht="15.75" customHeight="1">
      <c r="D967" s="49"/>
    </row>
    <row r="968" spans="4:4" ht="15.75" customHeight="1">
      <c r="D968" s="49"/>
    </row>
    <row r="969" spans="4:4" ht="15.75" customHeight="1">
      <c r="D969" s="49"/>
    </row>
    <row r="970" spans="4:4" ht="15.75" customHeight="1">
      <c r="D970" s="49"/>
    </row>
    <row r="971" spans="4:4" ht="15.75" customHeight="1">
      <c r="D971" s="49"/>
    </row>
    <row r="972" spans="4:4" ht="15.75" customHeight="1">
      <c r="D972" s="49"/>
    </row>
    <row r="973" spans="4:4" ht="15.75" customHeight="1">
      <c r="D973" s="49"/>
    </row>
    <row r="974" spans="4:4" ht="15.75" customHeight="1">
      <c r="D974" s="49"/>
    </row>
    <row r="975" spans="4:4" ht="15.75" customHeight="1">
      <c r="D975" s="49"/>
    </row>
    <row r="976" spans="4:4" ht="15.75" customHeight="1">
      <c r="D976" s="49"/>
    </row>
    <row r="977" spans="4:4" ht="15.75" customHeight="1">
      <c r="D977" s="49"/>
    </row>
    <row r="978" spans="4:4" ht="15.75" customHeight="1">
      <c r="D978" s="49"/>
    </row>
    <row r="979" spans="4:4" ht="15.75" customHeight="1">
      <c r="D979" s="49"/>
    </row>
    <row r="980" spans="4:4" ht="15.75" customHeight="1">
      <c r="D980" s="49"/>
    </row>
    <row r="981" spans="4:4" ht="15.75" customHeight="1">
      <c r="D981" s="49"/>
    </row>
    <row r="982" spans="4:4" ht="15.75" customHeight="1">
      <c r="D982" s="49"/>
    </row>
    <row r="983" spans="4:4" ht="15.75" customHeight="1">
      <c r="D983" s="49"/>
    </row>
    <row r="984" spans="4:4" ht="15.75" customHeight="1">
      <c r="D984" s="49"/>
    </row>
    <row r="985" spans="4:4" ht="15.75" customHeight="1">
      <c r="D985" s="49"/>
    </row>
    <row r="986" spans="4:4" ht="15.75" customHeight="1">
      <c r="D986" s="49"/>
    </row>
    <row r="987" spans="4:4" ht="15.75" customHeight="1">
      <c r="D987" s="49"/>
    </row>
    <row r="988" spans="4:4" ht="15.75" customHeight="1">
      <c r="D988" s="49"/>
    </row>
    <row r="989" spans="4:4" ht="15.75" customHeight="1">
      <c r="D989" s="49"/>
    </row>
    <row r="990" spans="4:4" ht="15.75" customHeight="1">
      <c r="D990" s="49"/>
    </row>
    <row r="991" spans="4:4" ht="15.75" customHeight="1">
      <c r="D991" s="49"/>
    </row>
    <row r="992" spans="4:4" ht="15.75" customHeight="1">
      <c r="D992" s="49"/>
    </row>
    <row r="993" spans="4:4" ht="15.75" customHeight="1">
      <c r="D993" s="49"/>
    </row>
    <row r="994" spans="4:4" ht="15.75" customHeight="1">
      <c r="D994" s="49"/>
    </row>
    <row r="995" spans="4:4" ht="15.75" customHeight="1">
      <c r="D995" s="49"/>
    </row>
    <row r="996" spans="4:4" ht="15.75" customHeight="1">
      <c r="D996" s="49"/>
    </row>
    <row r="997" spans="4:4" ht="15.75" customHeight="1">
      <c r="D997" s="49"/>
    </row>
    <row r="998" spans="4:4" ht="15.75" customHeight="1">
      <c r="D998" s="49"/>
    </row>
    <row r="999" spans="4:4" ht="15.75" customHeight="1">
      <c r="D999" s="49"/>
    </row>
  </sheetData>
  <mergeCells count="9">
    <mergeCell ref="A100:D100"/>
    <mergeCell ref="A101:D101"/>
    <mergeCell ref="A102:D102"/>
    <mergeCell ref="A103:D103"/>
    <mergeCell ref="A1:F4"/>
    <mergeCell ref="A5:F5"/>
    <mergeCell ref="A97:D97"/>
    <mergeCell ref="A98:D98"/>
    <mergeCell ref="A99:D99"/>
  </mergeCells>
  <pageMargins left="0.7" right="0.7" top="0.75" bottom="0.75" header="0" footer="0"/>
  <pageSetup scale="5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2C2C-D0EC-4E24-AC74-9BF4EA4BE098}">
  <sheetPr>
    <tabColor rgb="FF92D050"/>
    <outlinePr summaryBelow="0" summaryRight="0"/>
  </sheetPr>
  <dimension ref="A1:Y999"/>
  <sheetViews>
    <sheetView tabSelected="1" zoomScaleNormal="100" workbookViewId="0">
      <selection activeCell="A7" sqref="A7:G19"/>
    </sheetView>
  </sheetViews>
  <sheetFormatPr baseColWidth="10" defaultColWidth="14.44140625" defaultRowHeight="15" customHeight="1"/>
  <cols>
    <col min="1" max="1" width="17" customWidth="1"/>
    <col min="2" max="2" width="79.33203125" customWidth="1"/>
    <col min="3" max="3" width="13.109375" customWidth="1"/>
    <col min="4" max="4" width="15.88671875" customWidth="1"/>
    <col min="5" max="5" width="17.88671875" customWidth="1"/>
    <col min="6" max="6" width="18.6640625" customWidth="1"/>
    <col min="7" max="7" width="23" style="62" customWidth="1"/>
  </cols>
  <sheetData>
    <row r="1" spans="1:25" ht="15" customHeight="1">
      <c r="A1" s="123" t="s">
        <v>1</v>
      </c>
      <c r="B1" s="124"/>
      <c r="C1" s="124"/>
      <c r="D1" s="124"/>
      <c r="E1" s="124"/>
      <c r="F1" s="139"/>
      <c r="G1" s="1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126"/>
      <c r="B2" s="127"/>
      <c r="C2" s="127"/>
      <c r="D2" s="127"/>
      <c r="E2" s="127"/>
      <c r="F2" s="127"/>
      <c r="G2" s="12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>
      <c r="A3" s="126"/>
      <c r="B3" s="127"/>
      <c r="C3" s="127"/>
      <c r="D3" s="127"/>
      <c r="E3" s="127"/>
      <c r="F3" s="127"/>
      <c r="G3" s="12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 thickBot="1">
      <c r="A4" s="129"/>
      <c r="B4" s="130"/>
      <c r="C4" s="130"/>
      <c r="D4" s="130"/>
      <c r="E4" s="130"/>
      <c r="F4" s="130"/>
      <c r="G4" s="131"/>
    </row>
    <row r="5" spans="1:25" ht="49.5" customHeight="1">
      <c r="A5" s="132" t="s">
        <v>2</v>
      </c>
      <c r="B5" s="133"/>
      <c r="C5" s="133"/>
      <c r="D5" s="133"/>
      <c r="E5" s="133"/>
      <c r="F5" s="140"/>
      <c r="G5" s="13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5" ht="42" thickBot="1">
      <c r="A6" s="113" t="s">
        <v>3</v>
      </c>
      <c r="B6" s="114" t="s">
        <v>0</v>
      </c>
      <c r="C6" s="115" t="s">
        <v>4</v>
      </c>
      <c r="D6" s="114" t="s">
        <v>5</v>
      </c>
      <c r="E6" s="114" t="s">
        <v>6</v>
      </c>
      <c r="F6" s="114" t="s">
        <v>7</v>
      </c>
      <c r="G6" s="116" t="s">
        <v>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5" ht="14.4">
      <c r="A7" s="82">
        <v>1</v>
      </c>
      <c r="B7" s="83" t="s">
        <v>9</v>
      </c>
      <c r="C7" s="84"/>
      <c r="D7" s="85"/>
      <c r="E7" s="87"/>
      <c r="F7" s="117"/>
      <c r="G7" s="11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5" ht="14.4">
      <c r="A8" s="97" t="s">
        <v>10</v>
      </c>
      <c r="B8" s="12" t="s">
        <v>11</v>
      </c>
      <c r="C8" s="13" t="s">
        <v>12</v>
      </c>
      <c r="D8" s="14">
        <v>2</v>
      </c>
      <c r="E8" s="15">
        <v>115506</v>
      </c>
      <c r="F8" s="16"/>
      <c r="G8" s="9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5" ht="27.6">
      <c r="A9" s="97" t="s">
        <v>13</v>
      </c>
      <c r="B9" s="12" t="s">
        <v>14</v>
      </c>
      <c r="C9" s="13" t="s">
        <v>15</v>
      </c>
      <c r="D9" s="14">
        <v>12</v>
      </c>
      <c r="E9" s="15">
        <v>53658</v>
      </c>
      <c r="F9" s="16"/>
      <c r="G9" s="9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5" ht="14.4">
      <c r="A10" s="104" t="s">
        <v>16</v>
      </c>
      <c r="B10" s="12" t="s">
        <v>17</v>
      </c>
      <c r="C10" s="13" t="s">
        <v>18</v>
      </c>
      <c r="D10" s="14">
        <v>24</v>
      </c>
      <c r="E10" s="15">
        <v>26910</v>
      </c>
      <c r="F10" s="16"/>
      <c r="G10" s="9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5" ht="14.4">
      <c r="A11" s="104" t="s">
        <v>19</v>
      </c>
      <c r="B11" s="12" t="s">
        <v>20</v>
      </c>
      <c r="C11" s="13" t="s">
        <v>15</v>
      </c>
      <c r="D11" s="14">
        <v>240</v>
      </c>
      <c r="E11" s="15">
        <v>38308</v>
      </c>
      <c r="F11" s="16"/>
      <c r="G11" s="9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5" ht="14.4">
      <c r="A12" s="104" t="s">
        <v>21</v>
      </c>
      <c r="B12" s="12" t="s">
        <v>22</v>
      </c>
      <c r="C12" s="13" t="s">
        <v>4</v>
      </c>
      <c r="D12" s="14">
        <v>20</v>
      </c>
      <c r="E12" s="15">
        <v>323100</v>
      </c>
      <c r="F12" s="16"/>
      <c r="G12" s="9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5" ht="14.4">
      <c r="A13" s="97" t="s">
        <v>23</v>
      </c>
      <c r="B13" s="12" t="s">
        <v>24</v>
      </c>
      <c r="C13" s="13" t="s">
        <v>4</v>
      </c>
      <c r="D13" s="14">
        <v>10</v>
      </c>
      <c r="E13" s="15">
        <v>310250</v>
      </c>
      <c r="F13" s="16"/>
      <c r="G13" s="9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5" ht="14.4">
      <c r="A14" s="97" t="s">
        <v>25</v>
      </c>
      <c r="B14" s="12" t="s">
        <v>26</v>
      </c>
      <c r="C14" s="13" t="s">
        <v>18</v>
      </c>
      <c r="D14" s="14">
        <v>30</v>
      </c>
      <c r="E14" s="15">
        <v>28332</v>
      </c>
      <c r="F14" s="16"/>
      <c r="G14" s="9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5" ht="14.4">
      <c r="A15" s="97" t="s">
        <v>27</v>
      </c>
      <c r="B15" s="12" t="s">
        <v>28</v>
      </c>
      <c r="C15" s="13" t="s">
        <v>15</v>
      </c>
      <c r="D15" s="14">
        <v>20.79</v>
      </c>
      <c r="E15" s="15">
        <v>53800</v>
      </c>
      <c r="F15" s="16"/>
      <c r="G15" s="9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5" ht="14.4">
      <c r="A16" s="97" t="s">
        <v>29</v>
      </c>
      <c r="B16" s="12" t="s">
        <v>30</v>
      </c>
      <c r="C16" s="13" t="s">
        <v>4</v>
      </c>
      <c r="D16" s="14">
        <v>20</v>
      </c>
      <c r="E16" s="15">
        <v>262667</v>
      </c>
      <c r="F16" s="16"/>
      <c r="G16" s="9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4.4">
      <c r="A17" s="97" t="s">
        <v>31</v>
      </c>
      <c r="B17" s="12" t="s">
        <v>32</v>
      </c>
      <c r="C17" s="13" t="s">
        <v>4</v>
      </c>
      <c r="D17" s="14">
        <v>18</v>
      </c>
      <c r="E17" s="15">
        <v>32310</v>
      </c>
      <c r="F17" s="16"/>
      <c r="G17" s="9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4.4">
      <c r="A18" s="97" t="s">
        <v>33</v>
      </c>
      <c r="B18" s="12" t="s">
        <v>34</v>
      </c>
      <c r="C18" s="13" t="s">
        <v>18</v>
      </c>
      <c r="D18" s="14">
        <v>50</v>
      </c>
      <c r="E18" s="15">
        <v>20164</v>
      </c>
      <c r="F18" s="16"/>
      <c r="G18" s="9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thickBot="1">
      <c r="A19" s="99" t="s">
        <v>35</v>
      </c>
      <c r="B19" s="100" t="s">
        <v>36</v>
      </c>
      <c r="C19" s="101" t="s">
        <v>18</v>
      </c>
      <c r="D19" s="93">
        <v>50</v>
      </c>
      <c r="E19" s="94">
        <v>58535</v>
      </c>
      <c r="F19" s="102"/>
      <c r="G19" s="10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4.4">
      <c r="A20" s="82">
        <v>2</v>
      </c>
      <c r="B20" s="83" t="s">
        <v>37</v>
      </c>
      <c r="C20" s="84"/>
      <c r="D20" s="85"/>
      <c r="E20" s="86"/>
      <c r="F20" s="87"/>
      <c r="G20" s="8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97" t="s">
        <v>39</v>
      </c>
      <c r="B21" s="12" t="s">
        <v>40</v>
      </c>
      <c r="C21" s="13" t="s">
        <v>18</v>
      </c>
      <c r="D21" s="14">
        <v>120</v>
      </c>
      <c r="E21" s="15">
        <v>35883</v>
      </c>
      <c r="F21" s="16"/>
      <c r="G21" s="9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97" t="s">
        <v>41</v>
      </c>
      <c r="B22" s="12" t="s">
        <v>42</v>
      </c>
      <c r="C22" s="13" t="s">
        <v>18</v>
      </c>
      <c r="D22" s="14">
        <v>40</v>
      </c>
      <c r="E22" s="15">
        <v>43026</v>
      </c>
      <c r="F22" s="16"/>
      <c r="G22" s="9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97" t="s">
        <v>43</v>
      </c>
      <c r="B23" s="12" t="s">
        <v>44</v>
      </c>
      <c r="C23" s="13" t="s">
        <v>18</v>
      </c>
      <c r="D23" s="14">
        <v>110</v>
      </c>
      <c r="E23" s="15">
        <v>56925</v>
      </c>
      <c r="F23" s="16"/>
      <c r="G23" s="9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97" t="s">
        <v>45</v>
      </c>
      <c r="B24" s="12" t="s">
        <v>46</v>
      </c>
      <c r="C24" s="13" t="s">
        <v>18</v>
      </c>
      <c r="D24" s="14">
        <v>100</v>
      </c>
      <c r="E24" s="15">
        <v>90760</v>
      </c>
      <c r="F24" s="16"/>
      <c r="G24" s="9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97" t="s">
        <v>47</v>
      </c>
      <c r="B25" s="12" t="s">
        <v>48</v>
      </c>
      <c r="C25" s="13" t="s">
        <v>18</v>
      </c>
      <c r="D25" s="14">
        <v>80</v>
      </c>
      <c r="E25" s="15">
        <v>107548</v>
      </c>
      <c r="F25" s="16"/>
      <c r="G25" s="9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97" t="s">
        <v>49</v>
      </c>
      <c r="B26" s="12" t="s">
        <v>50</v>
      </c>
      <c r="C26" s="13" t="s">
        <v>18</v>
      </c>
      <c r="D26" s="14">
        <v>80</v>
      </c>
      <c r="E26" s="15">
        <v>120575</v>
      </c>
      <c r="F26" s="16"/>
      <c r="G26" s="9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97" t="s">
        <v>51</v>
      </c>
      <c r="B27" s="12" t="s">
        <v>52</v>
      </c>
      <c r="C27" s="13" t="s">
        <v>18</v>
      </c>
      <c r="D27" s="14">
        <v>40</v>
      </c>
      <c r="E27" s="15">
        <v>116933</v>
      </c>
      <c r="F27" s="16"/>
      <c r="G27" s="9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97" t="s">
        <v>53</v>
      </c>
      <c r="B28" s="12" t="s">
        <v>54</v>
      </c>
      <c r="C28" s="13" t="s">
        <v>18</v>
      </c>
      <c r="D28" s="14">
        <v>120</v>
      </c>
      <c r="E28" s="15">
        <v>35439</v>
      </c>
      <c r="F28" s="16"/>
      <c r="G28" s="9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0.25" customHeight="1">
      <c r="A29" s="97" t="s">
        <v>55</v>
      </c>
      <c r="B29" s="12" t="s">
        <v>56</v>
      </c>
      <c r="C29" s="13" t="s">
        <v>18</v>
      </c>
      <c r="D29" s="14">
        <v>60</v>
      </c>
      <c r="E29" s="15">
        <v>44194</v>
      </c>
      <c r="F29" s="16"/>
      <c r="G29" s="9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97" t="s">
        <v>57</v>
      </c>
      <c r="B30" s="12" t="s">
        <v>58</v>
      </c>
      <c r="C30" s="13" t="s">
        <v>18</v>
      </c>
      <c r="D30" s="14">
        <v>40</v>
      </c>
      <c r="E30" s="15">
        <v>53263</v>
      </c>
      <c r="F30" s="16"/>
      <c r="G30" s="9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97" t="s">
        <v>59</v>
      </c>
      <c r="B31" s="12" t="s">
        <v>60</v>
      </c>
      <c r="C31" s="13" t="s">
        <v>4</v>
      </c>
      <c r="D31" s="14">
        <v>6</v>
      </c>
      <c r="E31" s="15">
        <v>635054</v>
      </c>
      <c r="F31" s="16"/>
      <c r="G31" s="9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97" t="s">
        <v>61</v>
      </c>
      <c r="B32" s="12" t="s">
        <v>62</v>
      </c>
      <c r="C32" s="13" t="s">
        <v>4</v>
      </c>
      <c r="D32" s="14">
        <v>6</v>
      </c>
      <c r="E32" s="15">
        <v>56809</v>
      </c>
      <c r="F32" s="16"/>
      <c r="G32" s="9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97" t="s">
        <v>63</v>
      </c>
      <c r="B33" s="12" t="s">
        <v>64</v>
      </c>
      <c r="C33" s="13" t="s">
        <v>4</v>
      </c>
      <c r="D33" s="14">
        <v>6</v>
      </c>
      <c r="E33" s="15">
        <v>64128</v>
      </c>
      <c r="F33" s="16"/>
      <c r="G33" s="9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97" t="s">
        <v>65</v>
      </c>
      <c r="B34" s="12" t="s">
        <v>66</v>
      </c>
      <c r="C34" s="13" t="s">
        <v>4</v>
      </c>
      <c r="D34" s="14">
        <v>6</v>
      </c>
      <c r="E34" s="15">
        <v>157152</v>
      </c>
      <c r="F34" s="16"/>
      <c r="G34" s="9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97" t="s">
        <v>67</v>
      </c>
      <c r="B35" s="12" t="s">
        <v>68</v>
      </c>
      <c r="C35" s="13" t="s">
        <v>4</v>
      </c>
      <c r="D35" s="14">
        <v>6</v>
      </c>
      <c r="E35" s="15">
        <v>96245</v>
      </c>
      <c r="F35" s="16"/>
      <c r="G35" s="9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97" t="s">
        <v>69</v>
      </c>
      <c r="B36" s="12" t="s">
        <v>70</v>
      </c>
      <c r="C36" s="13" t="s">
        <v>4</v>
      </c>
      <c r="D36" s="14">
        <v>6</v>
      </c>
      <c r="E36" s="15">
        <v>233515</v>
      </c>
      <c r="F36" s="16"/>
      <c r="G36" s="9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97" t="s">
        <v>71</v>
      </c>
      <c r="B37" s="12" t="s">
        <v>72</v>
      </c>
      <c r="C37" s="13" t="s">
        <v>4</v>
      </c>
      <c r="D37" s="14">
        <v>6</v>
      </c>
      <c r="E37" s="15">
        <v>388378</v>
      </c>
      <c r="F37" s="16"/>
      <c r="G37" s="9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97" t="s">
        <v>73</v>
      </c>
      <c r="B38" s="12" t="s">
        <v>74</v>
      </c>
      <c r="C38" s="13" t="s">
        <v>4</v>
      </c>
      <c r="D38" s="14">
        <v>6</v>
      </c>
      <c r="E38" s="15">
        <v>261260</v>
      </c>
      <c r="F38" s="16"/>
      <c r="G38" s="9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97" t="s">
        <v>75</v>
      </c>
      <c r="B39" s="12" t="s">
        <v>76</v>
      </c>
      <c r="C39" s="13" t="s">
        <v>4</v>
      </c>
      <c r="D39" s="14">
        <v>6</v>
      </c>
      <c r="E39" s="15">
        <v>366109</v>
      </c>
      <c r="F39" s="16"/>
      <c r="G39" s="9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97" t="s">
        <v>77</v>
      </c>
      <c r="B40" s="12" t="s">
        <v>78</v>
      </c>
      <c r="C40" s="13" t="s">
        <v>4</v>
      </c>
      <c r="D40" s="14">
        <v>10</v>
      </c>
      <c r="E40" s="15">
        <v>27361</v>
      </c>
      <c r="F40" s="16"/>
      <c r="G40" s="9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97" t="s">
        <v>79</v>
      </c>
      <c r="B41" s="12" t="s">
        <v>80</v>
      </c>
      <c r="C41" s="13" t="s">
        <v>4</v>
      </c>
      <c r="D41" s="14">
        <v>10</v>
      </c>
      <c r="E41" s="15">
        <v>43325</v>
      </c>
      <c r="F41" s="16"/>
      <c r="G41" s="9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97" t="s">
        <v>81</v>
      </c>
      <c r="B42" s="12" t="s">
        <v>82</v>
      </c>
      <c r="C42" s="13" t="s">
        <v>4</v>
      </c>
      <c r="D42" s="14">
        <v>6</v>
      </c>
      <c r="E42" s="15">
        <v>116095</v>
      </c>
      <c r="F42" s="16"/>
      <c r="G42" s="9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97" t="s">
        <v>83</v>
      </c>
      <c r="B43" s="12" t="s">
        <v>84</v>
      </c>
      <c r="C43" s="13" t="s">
        <v>4</v>
      </c>
      <c r="D43" s="14">
        <v>6</v>
      </c>
      <c r="E43" s="15">
        <v>59473</v>
      </c>
      <c r="F43" s="16"/>
      <c r="G43" s="9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97" t="s">
        <v>85</v>
      </c>
      <c r="B44" s="12" t="s">
        <v>86</v>
      </c>
      <c r="C44" s="13" t="s">
        <v>4</v>
      </c>
      <c r="D44" s="14">
        <v>6</v>
      </c>
      <c r="E44" s="15">
        <v>101718</v>
      </c>
      <c r="F44" s="16"/>
      <c r="G44" s="9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97" t="s">
        <v>87</v>
      </c>
      <c r="B45" s="12" t="s">
        <v>88</v>
      </c>
      <c r="C45" s="13" t="s">
        <v>4</v>
      </c>
      <c r="D45" s="14">
        <v>6</v>
      </c>
      <c r="E45" s="15">
        <v>60389</v>
      </c>
      <c r="F45" s="16"/>
      <c r="G45" s="9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97" t="s">
        <v>89</v>
      </c>
      <c r="B46" s="12" t="s">
        <v>90</v>
      </c>
      <c r="C46" s="13" t="s">
        <v>4</v>
      </c>
      <c r="D46" s="14">
        <v>6</v>
      </c>
      <c r="E46" s="15">
        <v>113750</v>
      </c>
      <c r="F46" s="16"/>
      <c r="G46" s="9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97" t="s">
        <v>91</v>
      </c>
      <c r="B47" s="12" t="s">
        <v>92</v>
      </c>
      <c r="C47" s="13" t="s">
        <v>4</v>
      </c>
      <c r="D47" s="14">
        <v>1</v>
      </c>
      <c r="E47" s="15">
        <v>687120</v>
      </c>
      <c r="F47" s="16"/>
      <c r="G47" s="9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97" t="s">
        <v>93</v>
      </c>
      <c r="B48" s="12" t="s">
        <v>94</v>
      </c>
      <c r="C48" s="13" t="s">
        <v>4</v>
      </c>
      <c r="D48" s="14">
        <v>1</v>
      </c>
      <c r="E48" s="15">
        <v>1593750</v>
      </c>
      <c r="F48" s="16"/>
      <c r="G48" s="9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97" t="s">
        <v>95</v>
      </c>
      <c r="B49" s="12" t="s">
        <v>96</v>
      </c>
      <c r="C49" s="13" t="s">
        <v>4</v>
      </c>
      <c r="D49" s="14">
        <v>1</v>
      </c>
      <c r="E49" s="15">
        <v>808400</v>
      </c>
      <c r="F49" s="16"/>
      <c r="G49" s="9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97" t="s">
        <v>97</v>
      </c>
      <c r="B50" s="12" t="s">
        <v>98</v>
      </c>
      <c r="C50" s="13" t="s">
        <v>4</v>
      </c>
      <c r="D50" s="14">
        <v>6</v>
      </c>
      <c r="E50" s="15">
        <v>268660</v>
      </c>
      <c r="F50" s="16"/>
      <c r="G50" s="9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97" t="s">
        <v>99</v>
      </c>
      <c r="B51" s="12" t="s">
        <v>100</v>
      </c>
      <c r="C51" s="13" t="s">
        <v>4</v>
      </c>
      <c r="D51" s="14">
        <v>6</v>
      </c>
      <c r="E51" s="15">
        <v>370795</v>
      </c>
      <c r="F51" s="16"/>
      <c r="G51" s="9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thickBot="1">
      <c r="A52" s="99" t="s">
        <v>101</v>
      </c>
      <c r="B52" s="100" t="s">
        <v>102</v>
      </c>
      <c r="C52" s="101" t="s">
        <v>4</v>
      </c>
      <c r="D52" s="93">
        <v>6</v>
      </c>
      <c r="E52" s="94">
        <v>156695</v>
      </c>
      <c r="F52" s="102"/>
      <c r="G52" s="10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0.25" customHeight="1">
      <c r="A53" s="82">
        <v>3</v>
      </c>
      <c r="B53" s="83" t="s">
        <v>103</v>
      </c>
      <c r="C53" s="84"/>
      <c r="D53" s="85"/>
      <c r="E53" s="86"/>
      <c r="F53" s="87"/>
      <c r="G53" s="8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7.25" customHeight="1">
      <c r="A54" s="97" t="s">
        <v>104</v>
      </c>
      <c r="B54" s="12" t="s">
        <v>105</v>
      </c>
      <c r="C54" s="13" t="s">
        <v>4</v>
      </c>
      <c r="D54" s="14">
        <v>18</v>
      </c>
      <c r="E54" s="15">
        <v>237840</v>
      </c>
      <c r="F54" s="16"/>
      <c r="G54" s="9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55.5" customHeight="1">
      <c r="A55" s="97" t="s">
        <v>106</v>
      </c>
      <c r="B55" s="12" t="s">
        <v>107</v>
      </c>
      <c r="C55" s="13" t="s">
        <v>18</v>
      </c>
      <c r="D55" s="14">
        <v>100</v>
      </c>
      <c r="E55" s="15">
        <v>23593</v>
      </c>
      <c r="F55" s="16"/>
      <c r="G55" s="98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ht="34.5" customHeight="1" thickBot="1">
      <c r="A56" s="99" t="s">
        <v>108</v>
      </c>
      <c r="B56" s="100" t="s">
        <v>109</v>
      </c>
      <c r="C56" s="101" t="s">
        <v>4</v>
      </c>
      <c r="D56" s="93">
        <v>18</v>
      </c>
      <c r="E56" s="94">
        <v>637973</v>
      </c>
      <c r="F56" s="102"/>
      <c r="G56" s="10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9.5" customHeight="1">
      <c r="A57" s="82">
        <v>4</v>
      </c>
      <c r="B57" s="83" t="s">
        <v>110</v>
      </c>
      <c r="C57" s="84"/>
      <c r="D57" s="85"/>
      <c r="E57" s="86"/>
      <c r="F57" s="87"/>
      <c r="G57" s="8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9.5" customHeight="1">
      <c r="A58" s="97" t="s">
        <v>111</v>
      </c>
      <c r="B58" s="12" t="s">
        <v>112</v>
      </c>
      <c r="C58" s="13" t="s">
        <v>18</v>
      </c>
      <c r="D58" s="14">
        <v>5</v>
      </c>
      <c r="E58" s="15">
        <v>125956</v>
      </c>
      <c r="F58" s="16"/>
      <c r="G58" s="9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9.5" customHeight="1">
      <c r="A59" s="97" t="s">
        <v>113</v>
      </c>
      <c r="B59" s="12" t="s">
        <v>114</v>
      </c>
      <c r="C59" s="13" t="s">
        <v>15</v>
      </c>
      <c r="D59" s="14">
        <v>10</v>
      </c>
      <c r="E59" s="15">
        <v>130845</v>
      </c>
      <c r="F59" s="16"/>
      <c r="G59" s="9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9.5" customHeight="1">
      <c r="A60" s="97" t="s">
        <v>115</v>
      </c>
      <c r="B60" s="25" t="s">
        <v>116</v>
      </c>
      <c r="C60" s="26" t="s">
        <v>15</v>
      </c>
      <c r="D60" s="90">
        <v>10</v>
      </c>
      <c r="E60" s="69">
        <v>139338</v>
      </c>
      <c r="F60" s="16"/>
      <c r="G60" s="9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9.5" customHeight="1">
      <c r="A61" s="97" t="s">
        <v>117</v>
      </c>
      <c r="B61" s="12" t="s">
        <v>118</v>
      </c>
      <c r="C61" s="13" t="s">
        <v>15</v>
      </c>
      <c r="D61" s="14">
        <v>10</v>
      </c>
      <c r="E61" s="15">
        <v>214166</v>
      </c>
      <c r="F61" s="16"/>
      <c r="G61" s="9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9.5" customHeight="1">
      <c r="A62" s="97" t="s">
        <v>119</v>
      </c>
      <c r="B62" s="12" t="s">
        <v>120</v>
      </c>
      <c r="C62" s="13" t="s">
        <v>15</v>
      </c>
      <c r="D62" s="14">
        <v>5</v>
      </c>
      <c r="E62" s="15">
        <v>52388</v>
      </c>
      <c r="F62" s="16"/>
      <c r="G62" s="9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9.5" customHeight="1">
      <c r="A63" s="97" t="s">
        <v>121</v>
      </c>
      <c r="B63" s="12" t="s">
        <v>120</v>
      </c>
      <c r="C63" s="13" t="s">
        <v>18</v>
      </c>
      <c r="D63" s="14">
        <v>5</v>
      </c>
      <c r="E63" s="15">
        <v>22583</v>
      </c>
      <c r="F63" s="16"/>
      <c r="G63" s="9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9.5" customHeight="1">
      <c r="A64" s="97" t="s">
        <v>122</v>
      </c>
      <c r="B64" s="12" t="s">
        <v>123</v>
      </c>
      <c r="C64" s="13" t="s">
        <v>18</v>
      </c>
      <c r="D64" s="14">
        <v>20</v>
      </c>
      <c r="E64" s="15">
        <v>20974</v>
      </c>
      <c r="F64" s="16"/>
      <c r="G64" s="9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9.5" customHeight="1">
      <c r="A65" s="97" t="s">
        <v>124</v>
      </c>
      <c r="B65" s="12" t="s">
        <v>125</v>
      </c>
      <c r="C65" s="13" t="s">
        <v>18</v>
      </c>
      <c r="D65" s="14">
        <v>10</v>
      </c>
      <c r="E65" s="15">
        <v>21104</v>
      </c>
      <c r="F65" s="16"/>
      <c r="G65" s="9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97" t="s">
        <v>126</v>
      </c>
      <c r="B66" s="12" t="s">
        <v>127</v>
      </c>
      <c r="C66" s="13" t="s">
        <v>15</v>
      </c>
      <c r="D66" s="14">
        <v>10</v>
      </c>
      <c r="E66" s="15">
        <v>25816</v>
      </c>
      <c r="F66" s="16"/>
      <c r="G66" s="9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1.75" customHeight="1" thickBot="1">
      <c r="A67" s="99" t="s">
        <v>128</v>
      </c>
      <c r="B67" s="100" t="s">
        <v>129</v>
      </c>
      <c r="C67" s="101" t="s">
        <v>15</v>
      </c>
      <c r="D67" s="93">
        <v>10</v>
      </c>
      <c r="E67" s="94">
        <v>32264</v>
      </c>
      <c r="F67" s="102"/>
      <c r="G67" s="10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1.75" customHeight="1">
      <c r="A68" s="82">
        <v>5</v>
      </c>
      <c r="B68" s="83" t="s">
        <v>130</v>
      </c>
      <c r="C68" s="84"/>
      <c r="D68" s="85"/>
      <c r="E68" s="86"/>
      <c r="F68" s="87"/>
      <c r="G68" s="8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1" customHeight="1">
      <c r="A69" s="97" t="s">
        <v>131</v>
      </c>
      <c r="B69" s="12" t="s">
        <v>132</v>
      </c>
      <c r="C69" s="13" t="s">
        <v>15</v>
      </c>
      <c r="D69" s="14">
        <v>3</v>
      </c>
      <c r="E69" s="15">
        <v>74120</v>
      </c>
      <c r="F69" s="16"/>
      <c r="G69" s="9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33.75" customHeight="1">
      <c r="A70" s="97" t="s">
        <v>133</v>
      </c>
      <c r="B70" s="12" t="s">
        <v>134</v>
      </c>
      <c r="C70" s="13" t="s">
        <v>12</v>
      </c>
      <c r="D70" s="14">
        <v>0.5</v>
      </c>
      <c r="E70" s="15">
        <v>2466230</v>
      </c>
      <c r="F70" s="16"/>
      <c r="G70" s="9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33" customHeight="1" thickBot="1">
      <c r="A71" s="99" t="s">
        <v>135</v>
      </c>
      <c r="B71" s="100" t="s">
        <v>136</v>
      </c>
      <c r="C71" s="101" t="s">
        <v>12</v>
      </c>
      <c r="D71" s="93">
        <v>1</v>
      </c>
      <c r="E71" s="94">
        <v>2516187</v>
      </c>
      <c r="F71" s="102"/>
      <c r="G71" s="10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1.75" customHeight="1">
      <c r="A72" s="106">
        <v>6</v>
      </c>
      <c r="B72" s="107" t="s">
        <v>137</v>
      </c>
      <c r="C72" s="108"/>
      <c r="D72" s="109"/>
      <c r="E72" s="110"/>
      <c r="F72" s="110"/>
      <c r="G72" s="1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8.75" customHeight="1">
      <c r="A73" s="112" t="s">
        <v>138</v>
      </c>
      <c r="B73" s="77" t="s">
        <v>139</v>
      </c>
      <c r="C73" s="78" t="s">
        <v>140</v>
      </c>
      <c r="D73" s="79">
        <v>33</v>
      </c>
      <c r="E73" s="38">
        <v>595480</v>
      </c>
      <c r="F73" s="80"/>
      <c r="G73" s="8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32.25" customHeight="1">
      <c r="A74" s="104" t="s">
        <v>141</v>
      </c>
      <c r="B74" s="12" t="s">
        <v>142</v>
      </c>
      <c r="C74" s="13" t="s">
        <v>143</v>
      </c>
      <c r="D74" s="14">
        <v>2175.86</v>
      </c>
      <c r="E74" s="15">
        <v>21676</v>
      </c>
      <c r="F74" s="16"/>
      <c r="G74" s="6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7.25" customHeight="1">
      <c r="A75" s="104" t="s">
        <v>144</v>
      </c>
      <c r="B75" s="12" t="s">
        <v>145</v>
      </c>
      <c r="C75" s="13" t="s">
        <v>143</v>
      </c>
      <c r="D75" s="14">
        <v>2786.88</v>
      </c>
      <c r="E75" s="15">
        <v>20823</v>
      </c>
      <c r="F75" s="16"/>
      <c r="G75" s="6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1" customHeight="1">
      <c r="A76" s="104" t="s">
        <v>146</v>
      </c>
      <c r="B76" s="12" t="s">
        <v>147</v>
      </c>
      <c r="C76" s="13" t="s">
        <v>15</v>
      </c>
      <c r="D76" s="14">
        <v>360</v>
      </c>
      <c r="E76" s="15">
        <v>373840</v>
      </c>
      <c r="F76" s="16"/>
      <c r="G76" s="6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8.5" customHeight="1">
      <c r="A77" s="104" t="s">
        <v>148</v>
      </c>
      <c r="B77" s="12" t="s">
        <v>149</v>
      </c>
      <c r="C77" s="13" t="s">
        <v>18</v>
      </c>
      <c r="D77" s="14">
        <v>720</v>
      </c>
      <c r="E77" s="15">
        <v>9988</v>
      </c>
      <c r="F77" s="16"/>
      <c r="G77" s="64"/>
      <c r="H77" s="3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9.25" customHeight="1">
      <c r="A78" s="104" t="s">
        <v>150</v>
      </c>
      <c r="B78" s="12" t="s">
        <v>151</v>
      </c>
      <c r="C78" s="13" t="s">
        <v>18</v>
      </c>
      <c r="D78" s="14">
        <v>60</v>
      </c>
      <c r="E78" s="15">
        <v>69350</v>
      </c>
      <c r="F78" s="16"/>
      <c r="G78" s="6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2.5" customHeight="1" thickBot="1">
      <c r="A79" s="105" t="s">
        <v>152</v>
      </c>
      <c r="B79" s="100" t="s">
        <v>153</v>
      </c>
      <c r="C79" s="101" t="s">
        <v>18</v>
      </c>
      <c r="D79" s="93">
        <v>265</v>
      </c>
      <c r="E79" s="94">
        <v>21287</v>
      </c>
      <c r="F79" s="102"/>
      <c r="G79" s="9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38.25" customHeight="1">
      <c r="A80" s="82">
        <v>7</v>
      </c>
      <c r="B80" s="83" t="s">
        <v>154</v>
      </c>
      <c r="C80" s="84"/>
      <c r="D80" s="85"/>
      <c r="E80" s="86"/>
      <c r="F80" s="87"/>
      <c r="G80" s="8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38.25" customHeight="1">
      <c r="A81" s="104" t="s">
        <v>155</v>
      </c>
      <c r="B81" s="12" t="s">
        <v>156</v>
      </c>
      <c r="C81" s="13" t="s">
        <v>143</v>
      </c>
      <c r="D81" s="14">
        <v>650</v>
      </c>
      <c r="E81" s="15">
        <v>27882</v>
      </c>
      <c r="F81" s="16"/>
      <c r="G81" s="9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38.25" customHeight="1">
      <c r="A82" s="104" t="s">
        <v>157</v>
      </c>
      <c r="B82" s="12" t="s">
        <v>158</v>
      </c>
      <c r="C82" s="13" t="s">
        <v>143</v>
      </c>
      <c r="D82" s="14">
        <v>504</v>
      </c>
      <c r="E82" s="15">
        <v>26775</v>
      </c>
      <c r="F82" s="16"/>
      <c r="G82" s="9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4.75" customHeight="1">
      <c r="A83" s="104" t="s">
        <v>159</v>
      </c>
      <c r="B83" s="12" t="s">
        <v>160</v>
      </c>
      <c r="C83" s="13" t="s">
        <v>143</v>
      </c>
      <c r="D83" s="14">
        <v>65</v>
      </c>
      <c r="E83" s="15">
        <v>28587</v>
      </c>
      <c r="F83" s="16"/>
      <c r="G83" s="9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104" t="s">
        <v>161</v>
      </c>
      <c r="B84" s="12" t="s">
        <v>162</v>
      </c>
      <c r="C84" s="13" t="s">
        <v>4</v>
      </c>
      <c r="D84" s="14">
        <v>2</v>
      </c>
      <c r="E84" s="15">
        <v>3061750</v>
      </c>
      <c r="F84" s="16"/>
      <c r="G84" s="9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36" customHeight="1" thickBot="1">
      <c r="A85" s="105" t="s">
        <v>163</v>
      </c>
      <c r="B85" s="100" t="s">
        <v>164</v>
      </c>
      <c r="C85" s="101" t="s">
        <v>4</v>
      </c>
      <c r="D85" s="93">
        <v>1</v>
      </c>
      <c r="E85" s="94">
        <v>11338725</v>
      </c>
      <c r="F85" s="102"/>
      <c r="G85" s="10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 spans="1:23" ht="21.75" customHeight="1">
      <c r="A86" s="82">
        <v>8</v>
      </c>
      <c r="B86" s="83" t="s">
        <v>165</v>
      </c>
      <c r="C86" s="84"/>
      <c r="D86" s="85"/>
      <c r="E86" s="86"/>
      <c r="F86" s="87"/>
      <c r="G86" s="88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spans="1:23" ht="25.5" customHeight="1">
      <c r="A87" s="97" t="s">
        <v>166</v>
      </c>
      <c r="B87" s="12" t="s">
        <v>167</v>
      </c>
      <c r="C87" s="13" t="s">
        <v>15</v>
      </c>
      <c r="D87" s="14">
        <v>2</v>
      </c>
      <c r="E87" s="15">
        <v>307510</v>
      </c>
      <c r="F87" s="16"/>
      <c r="G87" s="98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spans="1:23" ht="21.75" customHeight="1" thickBot="1">
      <c r="A88" s="99" t="s">
        <v>168</v>
      </c>
      <c r="B88" s="100" t="s">
        <v>169</v>
      </c>
      <c r="C88" s="101" t="s">
        <v>18</v>
      </c>
      <c r="D88" s="93">
        <v>50</v>
      </c>
      <c r="E88" s="94">
        <v>229615</v>
      </c>
      <c r="F88" s="102"/>
      <c r="G88" s="10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9.5" customHeight="1">
      <c r="A89" s="82">
        <v>9</v>
      </c>
      <c r="B89" s="83" t="s">
        <v>170</v>
      </c>
      <c r="C89" s="84"/>
      <c r="D89" s="85"/>
      <c r="E89" s="86"/>
      <c r="F89" s="87"/>
      <c r="G89" s="8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4">
      <c r="A90" s="89">
        <v>9.1</v>
      </c>
      <c r="B90" s="12" t="s">
        <v>171</v>
      </c>
      <c r="C90" s="14" t="s">
        <v>140</v>
      </c>
      <c r="D90" s="14">
        <v>1</v>
      </c>
      <c r="E90" s="15">
        <v>264000</v>
      </c>
      <c r="F90" s="16"/>
      <c r="G90" s="6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7.6">
      <c r="A91" s="89">
        <v>9.1999999999999993</v>
      </c>
      <c r="B91" s="12" t="s">
        <v>172</v>
      </c>
      <c r="C91" s="14" t="s">
        <v>140</v>
      </c>
      <c r="D91" s="14">
        <v>6</v>
      </c>
      <c r="E91" s="15">
        <v>74374</v>
      </c>
      <c r="F91" s="16"/>
      <c r="G91" s="6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4">
      <c r="A92" s="89">
        <v>9.3000000000000007</v>
      </c>
      <c r="B92" s="25" t="s">
        <v>173</v>
      </c>
      <c r="C92" s="90" t="s">
        <v>174</v>
      </c>
      <c r="D92" s="90">
        <v>1</v>
      </c>
      <c r="E92" s="69">
        <v>27335</v>
      </c>
      <c r="F92" s="16"/>
      <c r="G92" s="6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7.6">
      <c r="A93" s="89">
        <v>9.4</v>
      </c>
      <c r="B93" s="12" t="s">
        <v>175</v>
      </c>
      <c r="C93" s="14" t="s">
        <v>140</v>
      </c>
      <c r="D93" s="14">
        <v>4</v>
      </c>
      <c r="E93" s="15">
        <v>195421</v>
      </c>
      <c r="F93" s="16"/>
      <c r="G93" s="6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4">
      <c r="A94" s="89">
        <v>9.5</v>
      </c>
      <c r="B94" s="12" t="s">
        <v>176</v>
      </c>
      <c r="C94" s="14" t="s">
        <v>140</v>
      </c>
      <c r="D94" s="14">
        <v>1</v>
      </c>
      <c r="E94" s="15">
        <v>407683</v>
      </c>
      <c r="F94" s="16"/>
      <c r="G94" s="6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4">
      <c r="A95" s="89">
        <v>9.6</v>
      </c>
      <c r="B95" s="12" t="s">
        <v>177</v>
      </c>
      <c r="C95" s="14" t="s">
        <v>140</v>
      </c>
      <c r="D95" s="14">
        <v>1</v>
      </c>
      <c r="E95" s="15">
        <v>3413</v>
      </c>
      <c r="F95" s="16"/>
      <c r="G95" s="6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thickBot="1">
      <c r="A96" s="91">
        <v>9.6999999999999993</v>
      </c>
      <c r="B96" s="92" t="s">
        <v>194</v>
      </c>
      <c r="C96" s="93" t="s">
        <v>195</v>
      </c>
      <c r="D96" s="93">
        <v>3</v>
      </c>
      <c r="E96" s="94">
        <v>386860</v>
      </c>
      <c r="F96" s="95"/>
      <c r="G96" s="9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1.75" customHeight="1">
      <c r="A97" s="141" t="s">
        <v>178</v>
      </c>
      <c r="B97" s="142"/>
      <c r="C97" s="142"/>
      <c r="D97" s="143"/>
      <c r="E97" s="73"/>
      <c r="F97" s="74"/>
      <c r="G97" s="65">
        <f>SUM(G8:G96)</f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1.75" customHeight="1">
      <c r="A98" s="138" t="s">
        <v>179</v>
      </c>
      <c r="B98" s="120"/>
      <c r="C98" s="120"/>
      <c r="D98" s="121"/>
      <c r="E98" s="45">
        <v>0.25929999999999997</v>
      </c>
      <c r="F98" s="70"/>
      <c r="G98" s="66">
        <f>+ROUND(G97*F98,0)</f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1.75" customHeight="1">
      <c r="A99" s="138" t="s">
        <v>180</v>
      </c>
      <c r="B99" s="120"/>
      <c r="C99" s="120"/>
      <c r="D99" s="121"/>
      <c r="E99" s="45">
        <v>0.01</v>
      </c>
      <c r="F99" s="70"/>
      <c r="G99" s="66">
        <f>+ROUND(G97*F99,0)</f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1.75" customHeight="1">
      <c r="A100" s="138" t="s">
        <v>38</v>
      </c>
      <c r="B100" s="120"/>
      <c r="C100" s="120"/>
      <c r="D100" s="121"/>
      <c r="E100" s="45">
        <v>0.04</v>
      </c>
      <c r="F100" s="71"/>
      <c r="G100" s="66">
        <f>+ROUND(G97*F100,0)</f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1.75" customHeight="1">
      <c r="A101" s="138" t="s">
        <v>181</v>
      </c>
      <c r="B101" s="120"/>
      <c r="C101" s="120"/>
      <c r="D101" s="121"/>
      <c r="E101" s="45">
        <v>0.19</v>
      </c>
      <c r="F101" s="72"/>
      <c r="G101" s="66">
        <f>+ROUND(G100*E101,0)</f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1.75" customHeight="1">
      <c r="A102" s="145" t="s">
        <v>182</v>
      </c>
      <c r="B102" s="120"/>
      <c r="C102" s="120"/>
      <c r="D102" s="121"/>
      <c r="E102" s="46"/>
      <c r="F102" s="72"/>
      <c r="G102" s="67">
        <f>SUM(G98:G101)</f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1.75" customHeight="1" thickBot="1">
      <c r="A103" s="146" t="s">
        <v>183</v>
      </c>
      <c r="B103" s="147"/>
      <c r="C103" s="147"/>
      <c r="D103" s="148"/>
      <c r="E103" s="75"/>
      <c r="F103" s="76"/>
      <c r="G103" s="68">
        <f>+G97+G102</f>
        <v>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47"/>
      <c r="C104" s="48"/>
      <c r="D104" s="49"/>
      <c r="H104" s="5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47"/>
      <c r="C105" s="48"/>
      <c r="D105" s="49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51" t="s">
        <v>184</v>
      </c>
      <c r="B106" s="144" t="s">
        <v>185</v>
      </c>
      <c r="C106" s="120"/>
      <c r="D106" s="120"/>
      <c r="E106" s="120"/>
      <c r="F106" s="120"/>
      <c r="G106" s="121"/>
      <c r="H106" s="5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51" t="s">
        <v>186</v>
      </c>
      <c r="B107" s="144" t="s">
        <v>187</v>
      </c>
      <c r="C107" s="120"/>
      <c r="D107" s="120"/>
      <c r="E107" s="120"/>
      <c r="F107" s="120"/>
      <c r="G107" s="12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51" t="s">
        <v>188</v>
      </c>
      <c r="B108" s="144" t="s">
        <v>189</v>
      </c>
      <c r="C108" s="120"/>
      <c r="D108" s="120"/>
      <c r="E108" s="120"/>
      <c r="F108" s="120"/>
      <c r="G108" s="121"/>
      <c r="H108" s="5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51" t="s">
        <v>190</v>
      </c>
      <c r="B109" s="144" t="s">
        <v>193</v>
      </c>
      <c r="C109" s="120"/>
      <c r="D109" s="120"/>
      <c r="E109" s="120"/>
      <c r="F109" s="120"/>
      <c r="G109" s="12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51" t="s">
        <v>191</v>
      </c>
      <c r="B110" s="144" t="s">
        <v>192</v>
      </c>
      <c r="C110" s="120"/>
      <c r="D110" s="120"/>
      <c r="E110" s="120"/>
      <c r="F110" s="120"/>
      <c r="G110" s="12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47"/>
      <c r="C111" s="48"/>
      <c r="D111" s="53"/>
      <c r="E111" s="54"/>
      <c r="F111" s="55"/>
      <c r="G111" s="6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47"/>
      <c r="C112" s="48"/>
      <c r="D112" s="53"/>
      <c r="E112" s="54"/>
      <c r="F112" s="55"/>
      <c r="G112" s="6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47"/>
      <c r="C113" s="48"/>
      <c r="D113" s="53"/>
      <c r="E113" s="54"/>
      <c r="F113" s="55"/>
      <c r="G113" s="6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47"/>
      <c r="C114" s="48"/>
      <c r="D114" s="53"/>
      <c r="E114" s="54"/>
      <c r="F114" s="55"/>
      <c r="G114" s="6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47"/>
      <c r="C115" s="48"/>
      <c r="D115" s="53"/>
      <c r="E115" s="54"/>
      <c r="F115" s="55"/>
      <c r="G115" s="6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47"/>
      <c r="C116" s="48"/>
      <c r="D116" s="53"/>
      <c r="E116" s="54"/>
      <c r="F116" s="55"/>
      <c r="G116" s="6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47"/>
      <c r="C117" s="48"/>
      <c r="D117" s="53"/>
      <c r="E117" s="54"/>
      <c r="F117" s="55"/>
      <c r="G117" s="6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47"/>
      <c r="C118" s="48"/>
      <c r="D118" s="53"/>
      <c r="E118" s="54"/>
      <c r="F118" s="55"/>
      <c r="G118" s="6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47"/>
      <c r="C119" s="48"/>
      <c r="D119" s="53"/>
      <c r="E119" s="54"/>
      <c r="F119" s="55"/>
      <c r="G119" s="6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47"/>
      <c r="C120" s="48"/>
      <c r="D120" s="53"/>
      <c r="E120" s="54"/>
      <c r="F120" s="55"/>
      <c r="G120" s="6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47"/>
      <c r="C121" s="48"/>
      <c r="D121" s="53"/>
      <c r="E121" s="54"/>
      <c r="F121" s="55"/>
      <c r="G121" s="6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47"/>
      <c r="C122" s="48"/>
      <c r="D122" s="53"/>
      <c r="E122" s="54"/>
      <c r="F122" s="55"/>
      <c r="G122" s="6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47"/>
      <c r="C123" s="48"/>
      <c r="D123" s="53"/>
      <c r="E123" s="54"/>
      <c r="F123" s="55"/>
      <c r="G123" s="6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47"/>
      <c r="C124" s="48"/>
      <c r="D124" s="53"/>
      <c r="E124" s="54"/>
      <c r="F124" s="55"/>
      <c r="G124" s="6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47"/>
      <c r="C125" s="48"/>
      <c r="D125" s="53"/>
      <c r="E125" s="54"/>
      <c r="F125" s="55"/>
      <c r="G125" s="6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47"/>
      <c r="C126" s="48"/>
      <c r="D126" s="53"/>
      <c r="E126" s="54"/>
      <c r="F126" s="55"/>
      <c r="G126" s="6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47"/>
      <c r="C127" s="48"/>
      <c r="D127" s="53"/>
      <c r="E127" s="54"/>
      <c r="F127" s="55"/>
      <c r="G127" s="6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47"/>
      <c r="C128" s="48"/>
      <c r="D128" s="53"/>
      <c r="E128" s="54"/>
      <c r="F128" s="55"/>
      <c r="G128" s="6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47"/>
      <c r="C129" s="48"/>
      <c r="D129" s="53"/>
      <c r="E129" s="54"/>
      <c r="F129" s="55"/>
      <c r="G129" s="6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47"/>
      <c r="C130" s="48"/>
      <c r="D130" s="53"/>
      <c r="E130" s="54"/>
      <c r="F130" s="55"/>
      <c r="G130" s="6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47"/>
      <c r="C131" s="48"/>
      <c r="D131" s="53"/>
      <c r="E131" s="54"/>
      <c r="F131" s="55"/>
      <c r="G131" s="6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47"/>
      <c r="C132" s="48"/>
      <c r="D132" s="53"/>
      <c r="E132" s="54"/>
      <c r="F132" s="55"/>
      <c r="G132" s="6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47"/>
      <c r="C133" s="48"/>
      <c r="D133" s="53"/>
      <c r="E133" s="54"/>
      <c r="F133" s="55"/>
      <c r="G133" s="6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47"/>
      <c r="C134" s="48"/>
      <c r="D134" s="53"/>
      <c r="E134" s="54"/>
      <c r="F134" s="55"/>
      <c r="G134" s="6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47"/>
      <c r="C135" s="48"/>
      <c r="D135" s="53"/>
      <c r="E135" s="54"/>
      <c r="F135" s="55"/>
      <c r="G135" s="6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47"/>
      <c r="C136" s="48"/>
      <c r="D136" s="53"/>
      <c r="E136" s="54"/>
      <c r="F136" s="55"/>
      <c r="G136" s="6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47"/>
      <c r="C137" s="48"/>
      <c r="D137" s="53"/>
      <c r="E137" s="54"/>
      <c r="F137" s="55"/>
      <c r="G137" s="6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47"/>
      <c r="C138" s="48"/>
      <c r="D138" s="53"/>
      <c r="E138" s="54"/>
      <c r="F138" s="55"/>
      <c r="G138" s="6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47"/>
      <c r="C139" s="48"/>
      <c r="D139" s="53"/>
      <c r="E139" s="54"/>
      <c r="F139" s="55"/>
      <c r="G139" s="6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47"/>
      <c r="C140" s="48"/>
      <c r="D140" s="53"/>
      <c r="E140" s="54"/>
      <c r="F140" s="55"/>
      <c r="G140" s="6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47"/>
      <c r="C141" s="48"/>
      <c r="D141" s="53"/>
      <c r="E141" s="54"/>
      <c r="F141" s="55"/>
      <c r="G141" s="6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47"/>
      <c r="C142" s="48"/>
      <c r="D142" s="53"/>
      <c r="E142" s="54"/>
      <c r="F142" s="55"/>
      <c r="G142" s="6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47"/>
      <c r="C143" s="48"/>
      <c r="D143" s="53"/>
      <c r="E143" s="54"/>
      <c r="F143" s="55"/>
      <c r="G143" s="6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47"/>
      <c r="C144" s="48"/>
      <c r="D144" s="53"/>
      <c r="E144" s="54"/>
      <c r="F144" s="55"/>
      <c r="G144" s="6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47"/>
      <c r="C145" s="48"/>
      <c r="D145" s="53"/>
      <c r="E145" s="54"/>
      <c r="F145" s="55"/>
      <c r="G145" s="6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47"/>
      <c r="C146" s="48"/>
      <c r="D146" s="53"/>
      <c r="E146" s="54"/>
      <c r="F146" s="55"/>
      <c r="G146" s="6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47"/>
      <c r="C147" s="48"/>
      <c r="D147" s="53"/>
      <c r="E147" s="54"/>
      <c r="F147" s="55"/>
      <c r="G147" s="6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47"/>
      <c r="C148" s="48"/>
      <c r="D148" s="53"/>
      <c r="E148" s="54"/>
      <c r="F148" s="55"/>
      <c r="G148" s="6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47"/>
      <c r="C149" s="48"/>
      <c r="D149" s="53"/>
      <c r="E149" s="54"/>
      <c r="F149" s="55"/>
      <c r="G149" s="6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47"/>
      <c r="C150" s="48"/>
      <c r="D150" s="53"/>
      <c r="E150" s="54"/>
      <c r="F150" s="55"/>
      <c r="G150" s="6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47"/>
      <c r="C151" s="48"/>
      <c r="D151" s="53"/>
      <c r="E151" s="54"/>
      <c r="F151" s="55"/>
      <c r="G151" s="6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47"/>
      <c r="C152" s="48"/>
      <c r="D152" s="53"/>
      <c r="E152" s="54"/>
      <c r="F152" s="55"/>
      <c r="G152" s="6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47"/>
      <c r="C153" s="48"/>
      <c r="D153" s="53"/>
      <c r="E153" s="54"/>
      <c r="F153" s="55"/>
      <c r="G153" s="6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47"/>
      <c r="C154" s="48"/>
      <c r="D154" s="53"/>
      <c r="E154" s="54"/>
      <c r="F154" s="55"/>
      <c r="G154" s="6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47"/>
      <c r="C155" s="48"/>
      <c r="D155" s="53"/>
      <c r="E155" s="54"/>
      <c r="F155" s="55"/>
      <c r="G155" s="6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47"/>
      <c r="C156" s="48"/>
      <c r="D156" s="53"/>
      <c r="E156" s="54"/>
      <c r="F156" s="55"/>
      <c r="G156" s="6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47"/>
      <c r="C157" s="48"/>
      <c r="D157" s="53"/>
      <c r="E157" s="54"/>
      <c r="F157" s="55"/>
      <c r="G157" s="6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47"/>
      <c r="C158" s="48"/>
      <c r="D158" s="53"/>
      <c r="E158" s="54"/>
      <c r="F158" s="55"/>
      <c r="G158" s="6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47"/>
      <c r="C159" s="48"/>
      <c r="D159" s="53"/>
      <c r="E159" s="54"/>
      <c r="F159" s="55"/>
      <c r="G159" s="6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47"/>
      <c r="C160" s="48"/>
      <c r="D160" s="53"/>
      <c r="E160" s="54"/>
      <c r="F160" s="55"/>
      <c r="G160" s="6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47"/>
      <c r="C161" s="48"/>
      <c r="D161" s="53"/>
      <c r="E161" s="54"/>
      <c r="F161" s="55"/>
      <c r="G161" s="6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47"/>
      <c r="C162" s="48"/>
      <c r="D162" s="53"/>
      <c r="E162" s="54"/>
      <c r="F162" s="55"/>
      <c r="G162" s="6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47"/>
      <c r="C163" s="48"/>
      <c r="D163" s="53"/>
      <c r="E163" s="54"/>
      <c r="F163" s="55"/>
      <c r="G163" s="6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47"/>
      <c r="C164" s="48"/>
      <c r="D164" s="53"/>
      <c r="E164" s="54"/>
      <c r="F164" s="55"/>
      <c r="G164" s="6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47"/>
      <c r="C165" s="48"/>
      <c r="D165" s="53"/>
      <c r="E165" s="54"/>
      <c r="F165" s="55"/>
      <c r="G165" s="6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47"/>
      <c r="C166" s="48"/>
      <c r="D166" s="53"/>
      <c r="E166" s="54"/>
      <c r="F166" s="55"/>
      <c r="G166" s="6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47"/>
      <c r="C167" s="48"/>
      <c r="D167" s="53"/>
      <c r="E167" s="54"/>
      <c r="F167" s="55"/>
      <c r="G167" s="6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47"/>
      <c r="C168" s="48"/>
      <c r="D168" s="53"/>
      <c r="E168" s="54"/>
      <c r="F168" s="55"/>
      <c r="G168" s="6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47"/>
      <c r="C169" s="48"/>
      <c r="D169" s="53"/>
      <c r="E169" s="54"/>
      <c r="F169" s="55"/>
      <c r="G169" s="6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47"/>
      <c r="C170" s="48"/>
      <c r="D170" s="53"/>
      <c r="E170" s="54"/>
      <c r="F170" s="55"/>
      <c r="G170" s="6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47"/>
      <c r="C171" s="48"/>
      <c r="D171" s="53"/>
      <c r="E171" s="54"/>
      <c r="F171" s="55"/>
      <c r="G171" s="6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47"/>
      <c r="C172" s="48"/>
      <c r="D172" s="53"/>
      <c r="E172" s="54"/>
      <c r="F172" s="55"/>
      <c r="G172" s="6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47"/>
      <c r="C173" s="48"/>
      <c r="D173" s="53"/>
      <c r="E173" s="54"/>
      <c r="F173" s="55"/>
      <c r="G173" s="6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47"/>
      <c r="C174" s="48"/>
      <c r="D174" s="53"/>
      <c r="E174" s="54"/>
      <c r="F174" s="55"/>
      <c r="G174" s="6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47"/>
      <c r="C175" s="48"/>
      <c r="D175" s="53"/>
      <c r="E175" s="54"/>
      <c r="F175" s="55"/>
      <c r="G175" s="6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47"/>
      <c r="C176" s="48"/>
      <c r="D176" s="53"/>
      <c r="E176" s="54"/>
      <c r="F176" s="55"/>
      <c r="G176" s="6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47"/>
      <c r="C177" s="48"/>
      <c r="D177" s="53"/>
      <c r="E177" s="54"/>
      <c r="F177" s="55"/>
      <c r="G177" s="6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47"/>
      <c r="C178" s="48"/>
      <c r="D178" s="53"/>
      <c r="E178" s="54"/>
      <c r="F178" s="55"/>
      <c r="G178" s="6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47"/>
      <c r="C179" s="48"/>
      <c r="D179" s="53"/>
      <c r="E179" s="54"/>
      <c r="F179" s="55"/>
      <c r="G179" s="6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47"/>
      <c r="C180" s="48"/>
      <c r="D180" s="53"/>
      <c r="E180" s="54"/>
      <c r="F180" s="55"/>
      <c r="G180" s="6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47"/>
      <c r="C181" s="48"/>
      <c r="D181" s="53"/>
      <c r="E181" s="54"/>
      <c r="F181" s="55"/>
      <c r="G181" s="6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47"/>
      <c r="C182" s="48"/>
      <c r="D182" s="53"/>
      <c r="E182" s="54"/>
      <c r="F182" s="55"/>
      <c r="G182" s="6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47"/>
      <c r="C183" s="48"/>
      <c r="D183" s="53"/>
      <c r="E183" s="54"/>
      <c r="F183" s="55"/>
      <c r="G183" s="6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47"/>
      <c r="C184" s="48"/>
      <c r="D184" s="53"/>
      <c r="E184" s="54"/>
      <c r="F184" s="55"/>
      <c r="G184" s="6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47"/>
      <c r="C185" s="48"/>
      <c r="D185" s="53"/>
      <c r="E185" s="54"/>
      <c r="F185" s="55"/>
      <c r="G185" s="6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47"/>
      <c r="C186" s="48"/>
      <c r="D186" s="53"/>
      <c r="E186" s="54"/>
      <c r="F186" s="55"/>
      <c r="G186" s="6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47"/>
      <c r="C187" s="48"/>
      <c r="D187" s="53"/>
      <c r="E187" s="54"/>
      <c r="F187" s="55"/>
      <c r="G187" s="6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47"/>
      <c r="C188" s="48"/>
      <c r="D188" s="53"/>
      <c r="E188" s="54"/>
      <c r="F188" s="55"/>
      <c r="G188" s="6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47"/>
      <c r="C189" s="48"/>
      <c r="D189" s="53"/>
      <c r="E189" s="54"/>
      <c r="F189" s="55"/>
      <c r="G189" s="6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47"/>
      <c r="C190" s="48"/>
      <c r="D190" s="53"/>
      <c r="E190" s="54"/>
      <c r="F190" s="55"/>
      <c r="G190" s="6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47"/>
      <c r="C191" s="48"/>
      <c r="D191" s="53"/>
      <c r="E191" s="54"/>
      <c r="F191" s="55"/>
      <c r="G191" s="6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47"/>
      <c r="C192" s="48"/>
      <c r="D192" s="53"/>
      <c r="E192" s="54"/>
      <c r="F192" s="55"/>
      <c r="G192" s="6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47"/>
      <c r="C193" s="48"/>
      <c r="D193" s="53"/>
      <c r="E193" s="54"/>
      <c r="F193" s="55"/>
      <c r="G193" s="6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47"/>
      <c r="C194" s="48"/>
      <c r="D194" s="53"/>
      <c r="E194" s="54"/>
      <c r="F194" s="55"/>
      <c r="G194" s="6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47"/>
      <c r="C195" s="48"/>
      <c r="D195" s="53"/>
      <c r="E195" s="54"/>
      <c r="F195" s="55"/>
      <c r="G195" s="6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47"/>
      <c r="C196" s="48"/>
      <c r="D196" s="53"/>
      <c r="E196" s="54"/>
      <c r="F196" s="55"/>
      <c r="G196" s="6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47"/>
      <c r="C197" s="48"/>
      <c r="D197" s="53"/>
      <c r="E197" s="54"/>
      <c r="F197" s="55"/>
      <c r="G197" s="6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47"/>
      <c r="C198" s="48"/>
      <c r="D198" s="53"/>
      <c r="E198" s="54"/>
      <c r="F198" s="55"/>
      <c r="G198" s="6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47"/>
      <c r="C199" s="48"/>
      <c r="D199" s="53"/>
      <c r="E199" s="54"/>
      <c r="F199" s="55"/>
      <c r="G199" s="6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47"/>
      <c r="C200" s="48"/>
      <c r="D200" s="53"/>
      <c r="E200" s="54"/>
      <c r="F200" s="55"/>
      <c r="G200" s="6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47"/>
      <c r="C201" s="48"/>
      <c r="D201" s="53"/>
      <c r="E201" s="54"/>
      <c r="F201" s="55"/>
      <c r="G201" s="6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47"/>
      <c r="C202" s="48"/>
      <c r="D202" s="53"/>
      <c r="E202" s="54"/>
      <c r="F202" s="55"/>
      <c r="G202" s="6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47"/>
      <c r="C203" s="48"/>
      <c r="D203" s="53"/>
      <c r="E203" s="54"/>
      <c r="F203" s="55"/>
      <c r="G203" s="6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47"/>
      <c r="C204" s="48"/>
      <c r="D204" s="53"/>
      <c r="E204" s="54"/>
      <c r="F204" s="55"/>
      <c r="G204" s="6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47"/>
      <c r="C205" s="48"/>
      <c r="D205" s="53"/>
      <c r="E205" s="54"/>
      <c r="F205" s="55"/>
      <c r="G205" s="6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47"/>
      <c r="C206" s="48"/>
      <c r="D206" s="53"/>
      <c r="E206" s="54"/>
      <c r="F206" s="55"/>
      <c r="G206" s="6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47"/>
      <c r="C207" s="48"/>
      <c r="D207" s="53"/>
      <c r="E207" s="54"/>
      <c r="F207" s="55"/>
      <c r="G207" s="6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47"/>
      <c r="C208" s="48"/>
      <c r="D208" s="53"/>
      <c r="E208" s="54"/>
      <c r="F208" s="55"/>
      <c r="G208" s="6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47"/>
      <c r="C209" s="48"/>
      <c r="D209" s="53"/>
      <c r="E209" s="54"/>
      <c r="F209" s="55"/>
      <c r="G209" s="6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47"/>
      <c r="C210" s="48"/>
      <c r="D210" s="53"/>
      <c r="E210" s="54"/>
      <c r="F210" s="55"/>
      <c r="G210" s="6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47"/>
      <c r="C211" s="48"/>
      <c r="D211" s="53"/>
      <c r="E211" s="54"/>
      <c r="F211" s="55"/>
      <c r="G211" s="6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47"/>
      <c r="C212" s="48"/>
      <c r="D212" s="53"/>
      <c r="E212" s="54"/>
      <c r="F212" s="55"/>
      <c r="G212" s="6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47"/>
      <c r="C213" s="48"/>
      <c r="D213" s="53"/>
      <c r="E213" s="54"/>
      <c r="F213" s="55"/>
      <c r="G213" s="6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47"/>
      <c r="C214" s="48"/>
      <c r="D214" s="53"/>
      <c r="E214" s="54"/>
      <c r="F214" s="55"/>
      <c r="G214" s="6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47"/>
      <c r="C215" s="48"/>
      <c r="D215" s="53"/>
      <c r="E215" s="54"/>
      <c r="F215" s="55"/>
      <c r="G215" s="6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47"/>
      <c r="C216" s="48"/>
      <c r="D216" s="53"/>
      <c r="E216" s="54"/>
      <c r="F216" s="55"/>
      <c r="G216" s="6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47"/>
      <c r="C217" s="48"/>
      <c r="D217" s="53"/>
      <c r="E217" s="54"/>
      <c r="F217" s="55"/>
      <c r="G217" s="6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47"/>
      <c r="C218" s="48"/>
      <c r="D218" s="53"/>
      <c r="E218" s="54"/>
      <c r="F218" s="55"/>
      <c r="G218" s="6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47"/>
      <c r="C219" s="48"/>
      <c r="D219" s="53"/>
      <c r="E219" s="54"/>
      <c r="F219" s="55"/>
      <c r="G219" s="6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47"/>
      <c r="C220" s="48"/>
      <c r="D220" s="53"/>
      <c r="E220" s="54"/>
      <c r="F220" s="55"/>
      <c r="G220" s="6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47"/>
      <c r="C221" s="48"/>
      <c r="D221" s="53"/>
      <c r="E221" s="54"/>
      <c r="F221" s="55"/>
      <c r="G221" s="6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47"/>
      <c r="C222" s="48"/>
      <c r="D222" s="53"/>
      <c r="E222" s="54"/>
      <c r="F222" s="55"/>
      <c r="G222" s="6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47"/>
      <c r="C223" s="48"/>
      <c r="D223" s="53"/>
      <c r="E223" s="54"/>
      <c r="F223" s="55"/>
      <c r="G223" s="6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47"/>
      <c r="C224" s="48"/>
      <c r="D224" s="53"/>
      <c r="E224" s="54"/>
      <c r="F224" s="55"/>
      <c r="G224" s="6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47"/>
      <c r="C225" s="48"/>
      <c r="D225" s="53"/>
      <c r="E225" s="54"/>
      <c r="F225" s="55"/>
      <c r="G225" s="6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47"/>
      <c r="C226" s="48"/>
      <c r="D226" s="53"/>
      <c r="E226" s="54"/>
      <c r="F226" s="55"/>
      <c r="G226" s="6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47"/>
      <c r="C227" s="48"/>
      <c r="D227" s="53"/>
      <c r="E227" s="54"/>
      <c r="F227" s="55"/>
      <c r="G227" s="6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47"/>
      <c r="C228" s="48"/>
      <c r="D228" s="53"/>
      <c r="E228" s="54"/>
      <c r="F228" s="55"/>
      <c r="G228" s="6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47"/>
      <c r="C229" s="48"/>
      <c r="D229" s="53"/>
      <c r="E229" s="54"/>
      <c r="F229" s="55"/>
      <c r="G229" s="6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47"/>
      <c r="C230" s="48"/>
      <c r="D230" s="53"/>
      <c r="E230" s="54"/>
      <c r="F230" s="55"/>
      <c r="G230" s="6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47"/>
      <c r="C231" s="48"/>
      <c r="D231" s="53"/>
      <c r="E231" s="54"/>
      <c r="F231" s="55"/>
      <c r="G231" s="6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47"/>
      <c r="C232" s="48"/>
      <c r="D232" s="53"/>
      <c r="E232" s="54"/>
      <c r="F232" s="55"/>
      <c r="G232" s="6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47"/>
      <c r="C233" s="48"/>
      <c r="D233" s="53"/>
      <c r="E233" s="54"/>
      <c r="F233" s="55"/>
      <c r="G233" s="6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47"/>
      <c r="C234" s="48"/>
      <c r="D234" s="53"/>
      <c r="E234" s="54"/>
      <c r="F234" s="55"/>
      <c r="G234" s="6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47"/>
      <c r="C235" s="48"/>
      <c r="D235" s="53"/>
      <c r="E235" s="54"/>
      <c r="F235" s="55"/>
      <c r="G235" s="6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47"/>
      <c r="C236" s="48"/>
      <c r="D236" s="53"/>
      <c r="E236" s="54"/>
      <c r="F236" s="55"/>
      <c r="G236" s="6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47"/>
      <c r="C237" s="48"/>
      <c r="D237" s="53"/>
      <c r="E237" s="54"/>
      <c r="F237" s="55"/>
      <c r="G237" s="6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47"/>
      <c r="C238" s="48"/>
      <c r="D238" s="53"/>
      <c r="E238" s="54"/>
      <c r="F238" s="55"/>
      <c r="G238" s="6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47"/>
      <c r="C239" s="48"/>
      <c r="D239" s="53"/>
      <c r="E239" s="54"/>
      <c r="F239" s="55"/>
      <c r="G239" s="6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47"/>
      <c r="C240" s="48"/>
      <c r="D240" s="53"/>
      <c r="E240" s="54"/>
      <c r="F240" s="55"/>
      <c r="G240" s="6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47"/>
      <c r="C241" s="48"/>
      <c r="D241" s="53"/>
      <c r="E241" s="54"/>
      <c r="F241" s="55"/>
      <c r="G241" s="6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47"/>
      <c r="C242" s="48"/>
      <c r="D242" s="53"/>
      <c r="E242" s="54"/>
      <c r="F242" s="55"/>
      <c r="G242" s="6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47"/>
      <c r="C243" s="48"/>
      <c r="D243" s="53"/>
      <c r="E243" s="54"/>
      <c r="F243" s="55"/>
      <c r="G243" s="6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47"/>
      <c r="C244" s="48"/>
      <c r="D244" s="53"/>
      <c r="E244" s="54"/>
      <c r="F244" s="55"/>
      <c r="G244" s="6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47"/>
      <c r="C245" s="48"/>
      <c r="D245" s="53"/>
      <c r="E245" s="54"/>
      <c r="F245" s="55"/>
      <c r="G245" s="6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47"/>
      <c r="C246" s="48"/>
      <c r="D246" s="53"/>
      <c r="E246" s="54"/>
      <c r="F246" s="55"/>
      <c r="G246" s="6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47"/>
      <c r="C247" s="48"/>
      <c r="D247" s="53"/>
      <c r="E247" s="54"/>
      <c r="F247" s="55"/>
      <c r="G247" s="6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47"/>
      <c r="C248" s="48"/>
      <c r="D248" s="53"/>
      <c r="E248" s="54"/>
      <c r="F248" s="55"/>
      <c r="G248" s="6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47"/>
      <c r="C249" s="48"/>
      <c r="D249" s="53"/>
      <c r="E249" s="54"/>
      <c r="F249" s="55"/>
      <c r="G249" s="6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47"/>
      <c r="C250" s="48"/>
      <c r="D250" s="53"/>
      <c r="E250" s="54"/>
      <c r="F250" s="55"/>
      <c r="G250" s="6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47"/>
      <c r="C251" s="48"/>
      <c r="D251" s="53"/>
      <c r="E251" s="54"/>
      <c r="F251" s="55"/>
      <c r="G251" s="6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47"/>
      <c r="C252" s="48"/>
      <c r="D252" s="53"/>
      <c r="E252" s="54"/>
      <c r="F252" s="55"/>
      <c r="G252" s="6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47"/>
      <c r="C253" s="48"/>
      <c r="D253" s="53"/>
      <c r="E253" s="54"/>
      <c r="F253" s="55"/>
      <c r="G253" s="6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47"/>
      <c r="C254" s="48"/>
      <c r="D254" s="53"/>
      <c r="E254" s="54"/>
      <c r="F254" s="55"/>
      <c r="G254" s="6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47"/>
      <c r="C255" s="48"/>
      <c r="D255" s="53"/>
      <c r="E255" s="54"/>
      <c r="F255" s="55"/>
      <c r="G255" s="6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47"/>
      <c r="C256" s="48"/>
      <c r="D256" s="53"/>
      <c r="E256" s="54"/>
      <c r="F256" s="55"/>
      <c r="G256" s="6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47"/>
      <c r="C257" s="48"/>
      <c r="D257" s="53"/>
      <c r="E257" s="54"/>
      <c r="F257" s="55"/>
      <c r="G257" s="6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47"/>
      <c r="C258" s="48"/>
      <c r="D258" s="53"/>
      <c r="E258" s="54"/>
      <c r="F258" s="55"/>
      <c r="G258" s="6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47"/>
      <c r="C259" s="48"/>
      <c r="D259" s="53"/>
      <c r="E259" s="54"/>
      <c r="F259" s="55"/>
      <c r="G259" s="6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47"/>
      <c r="C260" s="48"/>
      <c r="D260" s="53"/>
      <c r="E260" s="54"/>
      <c r="F260" s="55"/>
      <c r="G260" s="6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47"/>
      <c r="C261" s="48"/>
      <c r="D261" s="53"/>
      <c r="E261" s="54"/>
      <c r="F261" s="55"/>
      <c r="G261" s="6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47"/>
      <c r="C262" s="48"/>
      <c r="D262" s="53"/>
      <c r="E262" s="54"/>
      <c r="F262" s="55"/>
      <c r="G262" s="6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47"/>
      <c r="C263" s="48"/>
      <c r="D263" s="53"/>
      <c r="E263" s="54"/>
      <c r="F263" s="55"/>
      <c r="G263" s="6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47"/>
      <c r="C264" s="48"/>
      <c r="D264" s="53"/>
      <c r="E264" s="54"/>
      <c r="F264" s="55"/>
      <c r="G264" s="6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47"/>
      <c r="C265" s="48"/>
      <c r="D265" s="53"/>
      <c r="E265" s="54"/>
      <c r="F265" s="55"/>
      <c r="G265" s="6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47"/>
      <c r="C266" s="48"/>
      <c r="D266" s="53"/>
      <c r="E266" s="54"/>
      <c r="F266" s="55"/>
      <c r="G266" s="6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47"/>
      <c r="C267" s="48"/>
      <c r="D267" s="53"/>
      <c r="E267" s="54"/>
      <c r="F267" s="55"/>
      <c r="G267" s="6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47"/>
      <c r="C268" s="48"/>
      <c r="D268" s="53"/>
      <c r="E268" s="54"/>
      <c r="F268" s="55"/>
      <c r="G268" s="6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47"/>
      <c r="C269" s="48"/>
      <c r="D269" s="53"/>
      <c r="E269" s="54"/>
      <c r="F269" s="55"/>
      <c r="G269" s="6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47"/>
      <c r="C270" s="48"/>
      <c r="D270" s="53"/>
      <c r="E270" s="54"/>
      <c r="F270" s="55"/>
      <c r="G270" s="6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47"/>
      <c r="C271" s="48"/>
      <c r="D271" s="53"/>
      <c r="E271" s="54"/>
      <c r="F271" s="55"/>
      <c r="G271" s="6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47"/>
      <c r="C272" s="48"/>
      <c r="D272" s="53"/>
      <c r="E272" s="54"/>
      <c r="F272" s="55"/>
      <c r="G272" s="6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47"/>
      <c r="C273" s="48"/>
      <c r="D273" s="53"/>
      <c r="E273" s="54"/>
      <c r="F273" s="55"/>
      <c r="G273" s="6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47"/>
      <c r="C274" s="48"/>
      <c r="D274" s="53"/>
      <c r="E274" s="54"/>
      <c r="F274" s="55"/>
      <c r="G274" s="6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47"/>
      <c r="C275" s="48"/>
      <c r="D275" s="53"/>
      <c r="E275" s="54"/>
      <c r="F275" s="55"/>
      <c r="G275" s="6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47"/>
      <c r="C276" s="48"/>
      <c r="D276" s="53"/>
      <c r="E276" s="54"/>
      <c r="F276" s="55"/>
      <c r="G276" s="6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47"/>
      <c r="C277" s="48"/>
      <c r="D277" s="53"/>
      <c r="E277" s="54"/>
      <c r="F277" s="55"/>
      <c r="G277" s="6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47"/>
      <c r="C278" s="48"/>
      <c r="D278" s="53"/>
      <c r="E278" s="54"/>
      <c r="F278" s="55"/>
      <c r="G278" s="6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47"/>
      <c r="C279" s="48"/>
      <c r="D279" s="53"/>
      <c r="E279" s="54"/>
      <c r="F279" s="55"/>
      <c r="G279" s="6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47"/>
      <c r="C280" s="48"/>
      <c r="D280" s="53"/>
      <c r="E280" s="54"/>
      <c r="F280" s="55"/>
      <c r="G280" s="6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47"/>
      <c r="C281" s="48"/>
      <c r="D281" s="53"/>
      <c r="E281" s="54"/>
      <c r="F281" s="55"/>
      <c r="G281" s="6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47"/>
      <c r="C282" s="48"/>
      <c r="D282" s="53"/>
      <c r="E282" s="54"/>
      <c r="F282" s="55"/>
      <c r="G282" s="6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47"/>
      <c r="C283" s="48"/>
      <c r="D283" s="53"/>
      <c r="E283" s="54"/>
      <c r="F283" s="55"/>
      <c r="G283" s="6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47"/>
      <c r="C284" s="48"/>
      <c r="D284" s="53"/>
      <c r="E284" s="54"/>
      <c r="F284" s="55"/>
      <c r="G284" s="6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47"/>
      <c r="C285" s="48"/>
      <c r="D285" s="53"/>
      <c r="E285" s="54"/>
      <c r="F285" s="55"/>
      <c r="G285" s="6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47"/>
      <c r="C286" s="48"/>
      <c r="D286" s="53"/>
      <c r="E286" s="54"/>
      <c r="F286" s="55"/>
      <c r="G286" s="6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47"/>
      <c r="C287" s="48"/>
      <c r="D287" s="53"/>
      <c r="E287" s="54"/>
      <c r="F287" s="55"/>
      <c r="G287" s="6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47"/>
      <c r="C288" s="48"/>
      <c r="D288" s="53"/>
      <c r="E288" s="54"/>
      <c r="F288" s="55"/>
      <c r="G288" s="6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47"/>
      <c r="C289" s="48"/>
      <c r="D289" s="53"/>
      <c r="E289" s="54"/>
      <c r="F289" s="55"/>
      <c r="G289" s="6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47"/>
      <c r="C290" s="48"/>
      <c r="D290" s="53"/>
      <c r="E290" s="54"/>
      <c r="F290" s="55"/>
      <c r="G290" s="6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47"/>
      <c r="C291" s="48"/>
      <c r="D291" s="53"/>
      <c r="E291" s="54"/>
      <c r="F291" s="55"/>
      <c r="G291" s="6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47"/>
      <c r="C292" s="48"/>
      <c r="D292" s="53"/>
      <c r="E292" s="54"/>
      <c r="F292" s="55"/>
      <c r="G292" s="6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47"/>
      <c r="C293" s="48"/>
      <c r="D293" s="53"/>
      <c r="E293" s="54"/>
      <c r="F293" s="55"/>
      <c r="G293" s="6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47"/>
      <c r="C294" s="48"/>
      <c r="D294" s="53"/>
      <c r="E294" s="54"/>
      <c r="F294" s="55"/>
      <c r="G294" s="6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47"/>
      <c r="C295" s="48"/>
      <c r="D295" s="53"/>
      <c r="E295" s="54"/>
      <c r="F295" s="55"/>
      <c r="G295" s="6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47"/>
      <c r="C296" s="48"/>
      <c r="D296" s="53"/>
      <c r="E296" s="54"/>
      <c r="F296" s="55"/>
      <c r="G296" s="6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47"/>
      <c r="C297" s="48"/>
      <c r="D297" s="53"/>
      <c r="E297" s="54"/>
      <c r="F297" s="55"/>
      <c r="G297" s="6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47"/>
      <c r="C298" s="48"/>
      <c r="D298" s="53"/>
      <c r="E298" s="54"/>
      <c r="F298" s="55"/>
      <c r="G298" s="6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47"/>
      <c r="C299" s="48"/>
      <c r="D299" s="53"/>
      <c r="E299" s="54"/>
      <c r="F299" s="55"/>
      <c r="G299" s="6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47"/>
      <c r="C300" s="48"/>
      <c r="D300" s="53"/>
      <c r="E300" s="54"/>
      <c r="F300" s="55"/>
      <c r="G300" s="6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47"/>
      <c r="C301" s="48"/>
      <c r="D301" s="53"/>
      <c r="E301" s="54"/>
      <c r="F301" s="55"/>
      <c r="G301" s="6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D302" s="49"/>
      <c r="F302" s="55"/>
    </row>
    <row r="303" spans="1:23" ht="15.75" customHeight="1">
      <c r="D303" s="49"/>
      <c r="F303" s="55"/>
    </row>
    <row r="304" spans="1:23" ht="15.75" customHeight="1">
      <c r="D304" s="49"/>
      <c r="F304" s="55"/>
    </row>
    <row r="305" spans="4:6" ht="15.75" customHeight="1">
      <c r="D305" s="49"/>
      <c r="F305" s="55"/>
    </row>
    <row r="306" spans="4:6" ht="15.75" customHeight="1">
      <c r="D306" s="49"/>
    </row>
    <row r="307" spans="4:6" ht="15.75" customHeight="1">
      <c r="D307" s="49"/>
    </row>
    <row r="308" spans="4:6" ht="15.75" customHeight="1">
      <c r="D308" s="49"/>
    </row>
    <row r="309" spans="4:6" ht="15.75" customHeight="1">
      <c r="D309" s="49"/>
    </row>
    <row r="310" spans="4:6" ht="15.75" customHeight="1">
      <c r="D310" s="49"/>
    </row>
    <row r="311" spans="4:6" ht="15.75" customHeight="1">
      <c r="D311" s="49"/>
    </row>
    <row r="312" spans="4:6" ht="15.75" customHeight="1">
      <c r="D312" s="49"/>
    </row>
    <row r="313" spans="4:6" ht="15.75" customHeight="1">
      <c r="D313" s="49"/>
    </row>
    <row r="314" spans="4:6" ht="15.75" customHeight="1">
      <c r="D314" s="49"/>
    </row>
    <row r="315" spans="4:6" ht="15.75" customHeight="1">
      <c r="D315" s="49"/>
    </row>
    <row r="316" spans="4:6" ht="15.75" customHeight="1">
      <c r="D316" s="49"/>
    </row>
    <row r="317" spans="4:6" ht="15.75" customHeight="1">
      <c r="D317" s="49"/>
    </row>
    <row r="318" spans="4:6" ht="15.75" customHeight="1">
      <c r="D318" s="49"/>
    </row>
    <row r="319" spans="4:6" ht="15.75" customHeight="1">
      <c r="D319" s="49"/>
    </row>
    <row r="320" spans="4:6" ht="15.75" customHeight="1">
      <c r="D320" s="49"/>
    </row>
    <row r="321" spans="4:4" ht="15.75" customHeight="1">
      <c r="D321" s="49"/>
    </row>
    <row r="322" spans="4:4" ht="15.75" customHeight="1">
      <c r="D322" s="49"/>
    </row>
    <row r="323" spans="4:4" ht="15.75" customHeight="1">
      <c r="D323" s="49"/>
    </row>
    <row r="324" spans="4:4" ht="15.75" customHeight="1">
      <c r="D324" s="49"/>
    </row>
    <row r="325" spans="4:4" ht="15.75" customHeight="1">
      <c r="D325" s="49"/>
    </row>
    <row r="326" spans="4:4" ht="15.75" customHeight="1">
      <c r="D326" s="49"/>
    </row>
    <row r="327" spans="4:4" ht="15.75" customHeight="1">
      <c r="D327" s="49"/>
    </row>
    <row r="328" spans="4:4" ht="15.75" customHeight="1">
      <c r="D328" s="49"/>
    </row>
    <row r="329" spans="4:4" ht="15.75" customHeight="1">
      <c r="D329" s="49"/>
    </row>
    <row r="330" spans="4:4" ht="15.75" customHeight="1">
      <c r="D330" s="49"/>
    </row>
    <row r="331" spans="4:4" ht="15.75" customHeight="1">
      <c r="D331" s="49"/>
    </row>
    <row r="332" spans="4:4" ht="15.75" customHeight="1">
      <c r="D332" s="49"/>
    </row>
    <row r="333" spans="4:4" ht="15.75" customHeight="1">
      <c r="D333" s="49"/>
    </row>
    <row r="334" spans="4:4" ht="15.75" customHeight="1">
      <c r="D334" s="49"/>
    </row>
    <row r="335" spans="4:4" ht="15.75" customHeight="1">
      <c r="D335" s="49"/>
    </row>
    <row r="336" spans="4:4" ht="15.75" customHeight="1">
      <c r="D336" s="49"/>
    </row>
    <row r="337" spans="4:4" ht="15.75" customHeight="1">
      <c r="D337" s="49"/>
    </row>
    <row r="338" spans="4:4" ht="15.75" customHeight="1">
      <c r="D338" s="49"/>
    </row>
    <row r="339" spans="4:4" ht="15.75" customHeight="1">
      <c r="D339" s="49"/>
    </row>
    <row r="340" spans="4:4" ht="15.75" customHeight="1">
      <c r="D340" s="49"/>
    </row>
    <row r="341" spans="4:4" ht="15.75" customHeight="1">
      <c r="D341" s="49"/>
    </row>
    <row r="342" spans="4:4" ht="15.75" customHeight="1">
      <c r="D342" s="49"/>
    </row>
    <row r="343" spans="4:4" ht="15.75" customHeight="1">
      <c r="D343" s="49"/>
    </row>
    <row r="344" spans="4:4" ht="15.75" customHeight="1">
      <c r="D344" s="49"/>
    </row>
    <row r="345" spans="4:4" ht="15.75" customHeight="1">
      <c r="D345" s="49"/>
    </row>
    <row r="346" spans="4:4" ht="15.75" customHeight="1">
      <c r="D346" s="49"/>
    </row>
    <row r="347" spans="4:4" ht="15.75" customHeight="1">
      <c r="D347" s="49"/>
    </row>
    <row r="348" spans="4:4" ht="15.75" customHeight="1">
      <c r="D348" s="49"/>
    </row>
    <row r="349" spans="4:4" ht="15.75" customHeight="1">
      <c r="D349" s="49"/>
    </row>
    <row r="350" spans="4:4" ht="15.75" customHeight="1">
      <c r="D350" s="49"/>
    </row>
    <row r="351" spans="4:4" ht="15.75" customHeight="1">
      <c r="D351" s="49"/>
    </row>
    <row r="352" spans="4:4" ht="15.75" customHeight="1">
      <c r="D352" s="49"/>
    </row>
    <row r="353" spans="4:4" ht="15.75" customHeight="1">
      <c r="D353" s="49"/>
    </row>
    <row r="354" spans="4:4" ht="15.75" customHeight="1">
      <c r="D354" s="49"/>
    </row>
    <row r="355" spans="4:4" ht="15.75" customHeight="1">
      <c r="D355" s="49"/>
    </row>
    <row r="356" spans="4:4" ht="15.75" customHeight="1">
      <c r="D356" s="49"/>
    </row>
    <row r="357" spans="4:4" ht="15.75" customHeight="1">
      <c r="D357" s="49"/>
    </row>
    <row r="358" spans="4:4" ht="15.75" customHeight="1">
      <c r="D358" s="49"/>
    </row>
    <row r="359" spans="4:4" ht="15.75" customHeight="1">
      <c r="D359" s="49"/>
    </row>
    <row r="360" spans="4:4" ht="15.75" customHeight="1">
      <c r="D360" s="49"/>
    </row>
    <row r="361" spans="4:4" ht="15.75" customHeight="1">
      <c r="D361" s="49"/>
    </row>
    <row r="362" spans="4:4" ht="15.75" customHeight="1">
      <c r="D362" s="49"/>
    </row>
    <row r="363" spans="4:4" ht="15.75" customHeight="1">
      <c r="D363" s="49"/>
    </row>
    <row r="364" spans="4:4" ht="15.75" customHeight="1">
      <c r="D364" s="49"/>
    </row>
    <row r="365" spans="4:4" ht="15.75" customHeight="1">
      <c r="D365" s="49"/>
    </row>
    <row r="366" spans="4:4" ht="15.75" customHeight="1">
      <c r="D366" s="49"/>
    </row>
    <row r="367" spans="4:4" ht="15.75" customHeight="1">
      <c r="D367" s="49"/>
    </row>
    <row r="368" spans="4:4" ht="15.75" customHeight="1">
      <c r="D368" s="49"/>
    </row>
    <row r="369" spans="4:4" ht="15.75" customHeight="1">
      <c r="D369" s="49"/>
    </row>
    <row r="370" spans="4:4" ht="15.75" customHeight="1">
      <c r="D370" s="49"/>
    </row>
    <row r="371" spans="4:4" ht="15.75" customHeight="1">
      <c r="D371" s="49"/>
    </row>
    <row r="372" spans="4:4" ht="15.75" customHeight="1">
      <c r="D372" s="49"/>
    </row>
    <row r="373" spans="4:4" ht="15.75" customHeight="1">
      <c r="D373" s="49"/>
    </row>
    <row r="374" spans="4:4" ht="15.75" customHeight="1">
      <c r="D374" s="49"/>
    </row>
    <row r="375" spans="4:4" ht="15.75" customHeight="1">
      <c r="D375" s="49"/>
    </row>
    <row r="376" spans="4:4" ht="15.75" customHeight="1">
      <c r="D376" s="49"/>
    </row>
    <row r="377" spans="4:4" ht="15.75" customHeight="1">
      <c r="D377" s="49"/>
    </row>
    <row r="378" spans="4:4" ht="15.75" customHeight="1">
      <c r="D378" s="49"/>
    </row>
    <row r="379" spans="4:4" ht="15.75" customHeight="1">
      <c r="D379" s="49"/>
    </row>
    <row r="380" spans="4:4" ht="15.75" customHeight="1">
      <c r="D380" s="49"/>
    </row>
    <row r="381" spans="4:4" ht="15.75" customHeight="1">
      <c r="D381" s="49"/>
    </row>
    <row r="382" spans="4:4" ht="15.75" customHeight="1">
      <c r="D382" s="49"/>
    </row>
    <row r="383" spans="4:4" ht="15.75" customHeight="1">
      <c r="D383" s="49"/>
    </row>
    <row r="384" spans="4:4" ht="15.75" customHeight="1">
      <c r="D384" s="49"/>
    </row>
    <row r="385" spans="4:4" ht="15.75" customHeight="1">
      <c r="D385" s="49"/>
    </row>
    <row r="386" spans="4:4" ht="15.75" customHeight="1">
      <c r="D386" s="49"/>
    </row>
    <row r="387" spans="4:4" ht="15.75" customHeight="1">
      <c r="D387" s="49"/>
    </row>
    <row r="388" spans="4:4" ht="15.75" customHeight="1">
      <c r="D388" s="49"/>
    </row>
    <row r="389" spans="4:4" ht="15.75" customHeight="1">
      <c r="D389" s="49"/>
    </row>
    <row r="390" spans="4:4" ht="15.75" customHeight="1">
      <c r="D390" s="49"/>
    </row>
    <row r="391" spans="4:4" ht="15.75" customHeight="1">
      <c r="D391" s="49"/>
    </row>
    <row r="392" spans="4:4" ht="15.75" customHeight="1">
      <c r="D392" s="49"/>
    </row>
    <row r="393" spans="4:4" ht="15.75" customHeight="1">
      <c r="D393" s="49"/>
    </row>
    <row r="394" spans="4:4" ht="15.75" customHeight="1">
      <c r="D394" s="49"/>
    </row>
    <row r="395" spans="4:4" ht="15.75" customHeight="1">
      <c r="D395" s="49"/>
    </row>
    <row r="396" spans="4:4" ht="15.75" customHeight="1">
      <c r="D396" s="49"/>
    </row>
    <row r="397" spans="4:4" ht="15.75" customHeight="1">
      <c r="D397" s="49"/>
    </row>
    <row r="398" spans="4:4" ht="15.75" customHeight="1">
      <c r="D398" s="49"/>
    </row>
    <row r="399" spans="4:4" ht="15.75" customHeight="1">
      <c r="D399" s="49"/>
    </row>
    <row r="400" spans="4:4" ht="15.75" customHeight="1">
      <c r="D400" s="49"/>
    </row>
    <row r="401" spans="4:4" ht="15.75" customHeight="1">
      <c r="D401" s="49"/>
    </row>
    <row r="402" spans="4:4" ht="15.75" customHeight="1">
      <c r="D402" s="49"/>
    </row>
    <row r="403" spans="4:4" ht="15.75" customHeight="1">
      <c r="D403" s="49"/>
    </row>
    <row r="404" spans="4:4" ht="15.75" customHeight="1">
      <c r="D404" s="49"/>
    </row>
    <row r="405" spans="4:4" ht="15.75" customHeight="1">
      <c r="D405" s="49"/>
    </row>
    <row r="406" spans="4:4" ht="15.75" customHeight="1">
      <c r="D406" s="49"/>
    </row>
    <row r="407" spans="4:4" ht="15.75" customHeight="1">
      <c r="D407" s="49"/>
    </row>
    <row r="408" spans="4:4" ht="15.75" customHeight="1">
      <c r="D408" s="49"/>
    </row>
    <row r="409" spans="4:4" ht="15.75" customHeight="1">
      <c r="D409" s="49"/>
    </row>
    <row r="410" spans="4:4" ht="15.75" customHeight="1">
      <c r="D410" s="49"/>
    </row>
    <row r="411" spans="4:4" ht="15.75" customHeight="1">
      <c r="D411" s="49"/>
    </row>
    <row r="412" spans="4:4" ht="15.75" customHeight="1">
      <c r="D412" s="49"/>
    </row>
    <row r="413" spans="4:4" ht="15.75" customHeight="1">
      <c r="D413" s="49"/>
    </row>
    <row r="414" spans="4:4" ht="15.75" customHeight="1">
      <c r="D414" s="49"/>
    </row>
    <row r="415" spans="4:4" ht="15.75" customHeight="1">
      <c r="D415" s="49"/>
    </row>
    <row r="416" spans="4:4" ht="15.75" customHeight="1">
      <c r="D416" s="49"/>
    </row>
    <row r="417" spans="4:4" ht="15.75" customHeight="1">
      <c r="D417" s="49"/>
    </row>
    <row r="418" spans="4:4" ht="15.75" customHeight="1">
      <c r="D418" s="49"/>
    </row>
    <row r="419" spans="4:4" ht="15.75" customHeight="1">
      <c r="D419" s="49"/>
    </row>
    <row r="420" spans="4:4" ht="15.75" customHeight="1">
      <c r="D420" s="49"/>
    </row>
    <row r="421" spans="4:4" ht="15.75" customHeight="1">
      <c r="D421" s="49"/>
    </row>
    <row r="422" spans="4:4" ht="15.75" customHeight="1">
      <c r="D422" s="49"/>
    </row>
    <row r="423" spans="4:4" ht="15.75" customHeight="1">
      <c r="D423" s="49"/>
    </row>
    <row r="424" spans="4:4" ht="15.75" customHeight="1">
      <c r="D424" s="49"/>
    </row>
    <row r="425" spans="4:4" ht="15.75" customHeight="1">
      <c r="D425" s="49"/>
    </row>
    <row r="426" spans="4:4" ht="15.75" customHeight="1">
      <c r="D426" s="49"/>
    </row>
    <row r="427" spans="4:4" ht="15.75" customHeight="1">
      <c r="D427" s="49"/>
    </row>
    <row r="428" spans="4:4" ht="15.75" customHeight="1">
      <c r="D428" s="49"/>
    </row>
    <row r="429" spans="4:4" ht="15.75" customHeight="1">
      <c r="D429" s="49"/>
    </row>
    <row r="430" spans="4:4" ht="15.75" customHeight="1">
      <c r="D430" s="49"/>
    </row>
    <row r="431" spans="4:4" ht="15.75" customHeight="1">
      <c r="D431" s="49"/>
    </row>
    <row r="432" spans="4:4" ht="15.75" customHeight="1">
      <c r="D432" s="49"/>
    </row>
    <row r="433" spans="4:4" ht="15.75" customHeight="1">
      <c r="D433" s="49"/>
    </row>
    <row r="434" spans="4:4" ht="15.75" customHeight="1">
      <c r="D434" s="49"/>
    </row>
    <row r="435" spans="4:4" ht="15.75" customHeight="1">
      <c r="D435" s="49"/>
    </row>
    <row r="436" spans="4:4" ht="15.75" customHeight="1">
      <c r="D436" s="49"/>
    </row>
    <row r="437" spans="4:4" ht="15.75" customHeight="1">
      <c r="D437" s="49"/>
    </row>
    <row r="438" spans="4:4" ht="15.75" customHeight="1">
      <c r="D438" s="49"/>
    </row>
    <row r="439" spans="4:4" ht="15.75" customHeight="1">
      <c r="D439" s="49"/>
    </row>
    <row r="440" spans="4:4" ht="15.75" customHeight="1">
      <c r="D440" s="49"/>
    </row>
    <row r="441" spans="4:4" ht="15.75" customHeight="1">
      <c r="D441" s="49"/>
    </row>
    <row r="442" spans="4:4" ht="15.75" customHeight="1">
      <c r="D442" s="49"/>
    </row>
    <row r="443" spans="4:4" ht="15.75" customHeight="1">
      <c r="D443" s="49"/>
    </row>
    <row r="444" spans="4:4" ht="15.75" customHeight="1">
      <c r="D444" s="49"/>
    </row>
    <row r="445" spans="4:4" ht="15.75" customHeight="1">
      <c r="D445" s="49"/>
    </row>
    <row r="446" spans="4:4" ht="15.75" customHeight="1">
      <c r="D446" s="49"/>
    </row>
    <row r="447" spans="4:4" ht="15.75" customHeight="1">
      <c r="D447" s="49"/>
    </row>
    <row r="448" spans="4:4" ht="15.75" customHeight="1">
      <c r="D448" s="49"/>
    </row>
    <row r="449" spans="4:4" ht="15.75" customHeight="1">
      <c r="D449" s="49"/>
    </row>
    <row r="450" spans="4:4" ht="15.75" customHeight="1">
      <c r="D450" s="49"/>
    </row>
    <row r="451" spans="4:4" ht="15.75" customHeight="1">
      <c r="D451" s="49"/>
    </row>
    <row r="452" spans="4:4" ht="15.75" customHeight="1">
      <c r="D452" s="49"/>
    </row>
    <row r="453" spans="4:4" ht="15.75" customHeight="1">
      <c r="D453" s="49"/>
    </row>
    <row r="454" spans="4:4" ht="15.75" customHeight="1">
      <c r="D454" s="49"/>
    </row>
    <row r="455" spans="4:4" ht="15.75" customHeight="1">
      <c r="D455" s="49"/>
    </row>
    <row r="456" spans="4:4" ht="15.75" customHeight="1">
      <c r="D456" s="49"/>
    </row>
    <row r="457" spans="4:4" ht="15.75" customHeight="1">
      <c r="D457" s="49"/>
    </row>
    <row r="458" spans="4:4" ht="15.75" customHeight="1">
      <c r="D458" s="49"/>
    </row>
    <row r="459" spans="4:4" ht="15.75" customHeight="1">
      <c r="D459" s="49"/>
    </row>
    <row r="460" spans="4:4" ht="15.75" customHeight="1">
      <c r="D460" s="49"/>
    </row>
    <row r="461" spans="4:4" ht="15.75" customHeight="1">
      <c r="D461" s="49"/>
    </row>
    <row r="462" spans="4:4" ht="15.75" customHeight="1">
      <c r="D462" s="49"/>
    </row>
    <row r="463" spans="4:4" ht="15.75" customHeight="1">
      <c r="D463" s="49"/>
    </row>
    <row r="464" spans="4:4" ht="15.75" customHeight="1">
      <c r="D464" s="49"/>
    </row>
    <row r="465" spans="4:4" ht="15.75" customHeight="1">
      <c r="D465" s="49"/>
    </row>
    <row r="466" spans="4:4" ht="15.75" customHeight="1">
      <c r="D466" s="49"/>
    </row>
    <row r="467" spans="4:4" ht="15.75" customHeight="1">
      <c r="D467" s="49"/>
    </row>
    <row r="468" spans="4:4" ht="15.75" customHeight="1">
      <c r="D468" s="49"/>
    </row>
    <row r="469" spans="4:4" ht="15.75" customHeight="1">
      <c r="D469" s="49"/>
    </row>
    <row r="470" spans="4:4" ht="15.75" customHeight="1">
      <c r="D470" s="49"/>
    </row>
    <row r="471" spans="4:4" ht="15.75" customHeight="1">
      <c r="D471" s="49"/>
    </row>
    <row r="472" spans="4:4" ht="15.75" customHeight="1">
      <c r="D472" s="49"/>
    </row>
    <row r="473" spans="4:4" ht="15.75" customHeight="1">
      <c r="D473" s="49"/>
    </row>
    <row r="474" spans="4:4" ht="15.75" customHeight="1">
      <c r="D474" s="49"/>
    </row>
    <row r="475" spans="4:4" ht="15.75" customHeight="1">
      <c r="D475" s="49"/>
    </row>
    <row r="476" spans="4:4" ht="15.75" customHeight="1">
      <c r="D476" s="49"/>
    </row>
    <row r="477" spans="4:4" ht="15.75" customHeight="1">
      <c r="D477" s="49"/>
    </row>
    <row r="478" spans="4:4" ht="15.75" customHeight="1">
      <c r="D478" s="49"/>
    </row>
    <row r="479" spans="4:4" ht="15.75" customHeight="1">
      <c r="D479" s="49"/>
    </row>
    <row r="480" spans="4:4" ht="15.75" customHeight="1">
      <c r="D480" s="49"/>
    </row>
    <row r="481" spans="4:4" ht="15.75" customHeight="1">
      <c r="D481" s="49"/>
    </row>
    <row r="482" spans="4:4" ht="15.75" customHeight="1">
      <c r="D482" s="49"/>
    </row>
    <row r="483" spans="4:4" ht="15.75" customHeight="1">
      <c r="D483" s="49"/>
    </row>
    <row r="484" spans="4:4" ht="15.75" customHeight="1">
      <c r="D484" s="49"/>
    </row>
    <row r="485" spans="4:4" ht="15.75" customHeight="1">
      <c r="D485" s="49"/>
    </row>
    <row r="486" spans="4:4" ht="15.75" customHeight="1">
      <c r="D486" s="49"/>
    </row>
    <row r="487" spans="4:4" ht="15.75" customHeight="1">
      <c r="D487" s="49"/>
    </row>
    <row r="488" spans="4:4" ht="15.75" customHeight="1">
      <c r="D488" s="49"/>
    </row>
    <row r="489" spans="4:4" ht="15.75" customHeight="1">
      <c r="D489" s="49"/>
    </row>
    <row r="490" spans="4:4" ht="15.75" customHeight="1">
      <c r="D490" s="49"/>
    </row>
    <row r="491" spans="4:4" ht="15.75" customHeight="1">
      <c r="D491" s="49"/>
    </row>
    <row r="492" spans="4:4" ht="15.75" customHeight="1">
      <c r="D492" s="49"/>
    </row>
    <row r="493" spans="4:4" ht="15.75" customHeight="1">
      <c r="D493" s="49"/>
    </row>
    <row r="494" spans="4:4" ht="15.75" customHeight="1">
      <c r="D494" s="49"/>
    </row>
    <row r="495" spans="4:4" ht="15.75" customHeight="1">
      <c r="D495" s="49"/>
    </row>
    <row r="496" spans="4:4" ht="15.75" customHeight="1">
      <c r="D496" s="49"/>
    </row>
    <row r="497" spans="4:4" ht="15.75" customHeight="1">
      <c r="D497" s="49"/>
    </row>
    <row r="498" spans="4:4" ht="15.75" customHeight="1">
      <c r="D498" s="49"/>
    </row>
    <row r="499" spans="4:4" ht="15.75" customHeight="1">
      <c r="D499" s="49"/>
    </row>
    <row r="500" spans="4:4" ht="15.75" customHeight="1">
      <c r="D500" s="49"/>
    </row>
    <row r="501" spans="4:4" ht="15.75" customHeight="1">
      <c r="D501" s="49"/>
    </row>
    <row r="502" spans="4:4" ht="15.75" customHeight="1">
      <c r="D502" s="49"/>
    </row>
    <row r="503" spans="4:4" ht="15.75" customHeight="1">
      <c r="D503" s="49"/>
    </row>
    <row r="504" spans="4:4" ht="15.75" customHeight="1">
      <c r="D504" s="49"/>
    </row>
    <row r="505" spans="4:4" ht="15.75" customHeight="1">
      <c r="D505" s="49"/>
    </row>
    <row r="506" spans="4:4" ht="15.75" customHeight="1">
      <c r="D506" s="49"/>
    </row>
    <row r="507" spans="4:4" ht="15.75" customHeight="1">
      <c r="D507" s="49"/>
    </row>
    <row r="508" spans="4:4" ht="15.75" customHeight="1">
      <c r="D508" s="49"/>
    </row>
    <row r="509" spans="4:4" ht="15.75" customHeight="1">
      <c r="D509" s="49"/>
    </row>
    <row r="510" spans="4:4" ht="15.75" customHeight="1">
      <c r="D510" s="49"/>
    </row>
    <row r="511" spans="4:4" ht="15.75" customHeight="1">
      <c r="D511" s="49"/>
    </row>
    <row r="512" spans="4:4" ht="15.75" customHeight="1">
      <c r="D512" s="49"/>
    </row>
    <row r="513" spans="4:4" ht="15.75" customHeight="1">
      <c r="D513" s="49"/>
    </row>
    <row r="514" spans="4:4" ht="15.75" customHeight="1">
      <c r="D514" s="49"/>
    </row>
    <row r="515" spans="4:4" ht="15.75" customHeight="1">
      <c r="D515" s="49"/>
    </row>
    <row r="516" spans="4:4" ht="15.75" customHeight="1">
      <c r="D516" s="49"/>
    </row>
    <row r="517" spans="4:4" ht="15.75" customHeight="1">
      <c r="D517" s="49"/>
    </row>
    <row r="518" spans="4:4" ht="15.75" customHeight="1">
      <c r="D518" s="49"/>
    </row>
    <row r="519" spans="4:4" ht="15.75" customHeight="1">
      <c r="D519" s="49"/>
    </row>
    <row r="520" spans="4:4" ht="15.75" customHeight="1">
      <c r="D520" s="49"/>
    </row>
    <row r="521" spans="4:4" ht="15.75" customHeight="1">
      <c r="D521" s="49"/>
    </row>
    <row r="522" spans="4:4" ht="15.75" customHeight="1">
      <c r="D522" s="49"/>
    </row>
    <row r="523" spans="4:4" ht="15.75" customHeight="1">
      <c r="D523" s="49"/>
    </row>
    <row r="524" spans="4:4" ht="15.75" customHeight="1">
      <c r="D524" s="49"/>
    </row>
    <row r="525" spans="4:4" ht="15.75" customHeight="1">
      <c r="D525" s="49"/>
    </row>
    <row r="526" spans="4:4" ht="15.75" customHeight="1">
      <c r="D526" s="49"/>
    </row>
    <row r="527" spans="4:4" ht="15.75" customHeight="1">
      <c r="D527" s="49"/>
    </row>
    <row r="528" spans="4:4" ht="15.75" customHeight="1">
      <c r="D528" s="49"/>
    </row>
    <row r="529" spans="4:4" ht="15.75" customHeight="1">
      <c r="D529" s="49"/>
    </row>
    <row r="530" spans="4:4" ht="15.75" customHeight="1">
      <c r="D530" s="49"/>
    </row>
    <row r="531" spans="4:4" ht="15.75" customHeight="1">
      <c r="D531" s="49"/>
    </row>
    <row r="532" spans="4:4" ht="15.75" customHeight="1">
      <c r="D532" s="49"/>
    </row>
    <row r="533" spans="4:4" ht="15.75" customHeight="1">
      <c r="D533" s="49"/>
    </row>
    <row r="534" spans="4:4" ht="15.75" customHeight="1">
      <c r="D534" s="49"/>
    </row>
    <row r="535" spans="4:4" ht="15.75" customHeight="1">
      <c r="D535" s="49"/>
    </row>
    <row r="536" spans="4:4" ht="15.75" customHeight="1">
      <c r="D536" s="49"/>
    </row>
    <row r="537" spans="4:4" ht="15.75" customHeight="1">
      <c r="D537" s="49"/>
    </row>
    <row r="538" spans="4:4" ht="15.75" customHeight="1">
      <c r="D538" s="49"/>
    </row>
    <row r="539" spans="4:4" ht="15.75" customHeight="1">
      <c r="D539" s="49"/>
    </row>
    <row r="540" spans="4:4" ht="15.75" customHeight="1">
      <c r="D540" s="49"/>
    </row>
    <row r="541" spans="4:4" ht="15.75" customHeight="1">
      <c r="D541" s="49"/>
    </row>
    <row r="542" spans="4:4" ht="15.75" customHeight="1">
      <c r="D542" s="49"/>
    </row>
    <row r="543" spans="4:4" ht="15.75" customHeight="1">
      <c r="D543" s="49"/>
    </row>
    <row r="544" spans="4:4" ht="15.75" customHeight="1">
      <c r="D544" s="49"/>
    </row>
    <row r="545" spans="4:4" ht="15.75" customHeight="1">
      <c r="D545" s="49"/>
    </row>
    <row r="546" spans="4:4" ht="15.75" customHeight="1">
      <c r="D546" s="49"/>
    </row>
    <row r="547" spans="4:4" ht="15.75" customHeight="1">
      <c r="D547" s="49"/>
    </row>
    <row r="548" spans="4:4" ht="15.75" customHeight="1">
      <c r="D548" s="49"/>
    </row>
    <row r="549" spans="4:4" ht="15.75" customHeight="1">
      <c r="D549" s="49"/>
    </row>
    <row r="550" spans="4:4" ht="15.75" customHeight="1">
      <c r="D550" s="49"/>
    </row>
    <row r="551" spans="4:4" ht="15.75" customHeight="1">
      <c r="D551" s="49"/>
    </row>
    <row r="552" spans="4:4" ht="15.75" customHeight="1">
      <c r="D552" s="49"/>
    </row>
    <row r="553" spans="4:4" ht="15.75" customHeight="1">
      <c r="D553" s="49"/>
    </row>
    <row r="554" spans="4:4" ht="15.75" customHeight="1">
      <c r="D554" s="49"/>
    </row>
    <row r="555" spans="4:4" ht="15.75" customHeight="1">
      <c r="D555" s="49"/>
    </row>
    <row r="556" spans="4:4" ht="15.75" customHeight="1">
      <c r="D556" s="49"/>
    </row>
    <row r="557" spans="4:4" ht="15.75" customHeight="1">
      <c r="D557" s="49"/>
    </row>
    <row r="558" spans="4:4" ht="15.75" customHeight="1">
      <c r="D558" s="49"/>
    </row>
    <row r="559" spans="4:4" ht="15.75" customHeight="1">
      <c r="D559" s="49"/>
    </row>
    <row r="560" spans="4:4" ht="15.75" customHeight="1">
      <c r="D560" s="49"/>
    </row>
    <row r="561" spans="4:4" ht="15.75" customHeight="1">
      <c r="D561" s="49"/>
    </row>
    <row r="562" spans="4:4" ht="15.75" customHeight="1">
      <c r="D562" s="49"/>
    </row>
    <row r="563" spans="4:4" ht="15.75" customHeight="1">
      <c r="D563" s="49"/>
    </row>
    <row r="564" spans="4:4" ht="15.75" customHeight="1">
      <c r="D564" s="49"/>
    </row>
    <row r="565" spans="4:4" ht="15.75" customHeight="1">
      <c r="D565" s="49"/>
    </row>
    <row r="566" spans="4:4" ht="15.75" customHeight="1">
      <c r="D566" s="49"/>
    </row>
    <row r="567" spans="4:4" ht="15.75" customHeight="1">
      <c r="D567" s="49"/>
    </row>
    <row r="568" spans="4:4" ht="15.75" customHeight="1">
      <c r="D568" s="49"/>
    </row>
    <row r="569" spans="4:4" ht="15.75" customHeight="1">
      <c r="D569" s="49"/>
    </row>
    <row r="570" spans="4:4" ht="15.75" customHeight="1">
      <c r="D570" s="49"/>
    </row>
    <row r="571" spans="4:4" ht="15.75" customHeight="1">
      <c r="D571" s="49"/>
    </row>
    <row r="572" spans="4:4" ht="15.75" customHeight="1">
      <c r="D572" s="49"/>
    </row>
    <row r="573" spans="4:4" ht="15.75" customHeight="1">
      <c r="D573" s="49"/>
    </row>
    <row r="574" spans="4:4" ht="15.75" customHeight="1">
      <c r="D574" s="49"/>
    </row>
    <row r="575" spans="4:4" ht="15.75" customHeight="1">
      <c r="D575" s="49"/>
    </row>
    <row r="576" spans="4:4" ht="15.75" customHeight="1">
      <c r="D576" s="49"/>
    </row>
    <row r="577" spans="4:4" ht="15.75" customHeight="1">
      <c r="D577" s="49"/>
    </row>
    <row r="578" spans="4:4" ht="15.75" customHeight="1">
      <c r="D578" s="49"/>
    </row>
    <row r="579" spans="4:4" ht="15.75" customHeight="1">
      <c r="D579" s="49"/>
    </row>
    <row r="580" spans="4:4" ht="15.75" customHeight="1">
      <c r="D580" s="49"/>
    </row>
    <row r="581" spans="4:4" ht="15.75" customHeight="1">
      <c r="D581" s="49"/>
    </row>
    <row r="582" spans="4:4" ht="15.75" customHeight="1">
      <c r="D582" s="49"/>
    </row>
    <row r="583" spans="4:4" ht="15.75" customHeight="1">
      <c r="D583" s="49"/>
    </row>
    <row r="584" spans="4:4" ht="15.75" customHeight="1">
      <c r="D584" s="49"/>
    </row>
    <row r="585" spans="4:4" ht="15.75" customHeight="1">
      <c r="D585" s="49"/>
    </row>
    <row r="586" spans="4:4" ht="15.75" customHeight="1">
      <c r="D586" s="49"/>
    </row>
    <row r="587" spans="4:4" ht="15.75" customHeight="1">
      <c r="D587" s="49"/>
    </row>
    <row r="588" spans="4:4" ht="15.75" customHeight="1">
      <c r="D588" s="49"/>
    </row>
    <row r="589" spans="4:4" ht="15.75" customHeight="1">
      <c r="D589" s="49"/>
    </row>
    <row r="590" spans="4:4" ht="15.75" customHeight="1">
      <c r="D590" s="49"/>
    </row>
    <row r="591" spans="4:4" ht="15.75" customHeight="1">
      <c r="D591" s="49"/>
    </row>
    <row r="592" spans="4:4" ht="15.75" customHeight="1">
      <c r="D592" s="49"/>
    </row>
    <row r="593" spans="4:4" ht="15.75" customHeight="1">
      <c r="D593" s="49"/>
    </row>
    <row r="594" spans="4:4" ht="15.75" customHeight="1">
      <c r="D594" s="49"/>
    </row>
    <row r="595" spans="4:4" ht="15.75" customHeight="1">
      <c r="D595" s="49"/>
    </row>
    <row r="596" spans="4:4" ht="15.75" customHeight="1">
      <c r="D596" s="49"/>
    </row>
    <row r="597" spans="4:4" ht="15.75" customHeight="1">
      <c r="D597" s="49"/>
    </row>
    <row r="598" spans="4:4" ht="15.75" customHeight="1">
      <c r="D598" s="49"/>
    </row>
    <row r="599" spans="4:4" ht="15.75" customHeight="1">
      <c r="D599" s="49"/>
    </row>
    <row r="600" spans="4:4" ht="15.75" customHeight="1">
      <c r="D600" s="49"/>
    </row>
    <row r="601" spans="4:4" ht="15.75" customHeight="1">
      <c r="D601" s="49"/>
    </row>
    <row r="602" spans="4:4" ht="15.75" customHeight="1">
      <c r="D602" s="49"/>
    </row>
    <row r="603" spans="4:4" ht="15.75" customHeight="1">
      <c r="D603" s="49"/>
    </row>
    <row r="604" spans="4:4" ht="15.75" customHeight="1">
      <c r="D604" s="49"/>
    </row>
    <row r="605" spans="4:4" ht="15.75" customHeight="1">
      <c r="D605" s="49"/>
    </row>
    <row r="606" spans="4:4" ht="15.75" customHeight="1">
      <c r="D606" s="49"/>
    </row>
    <row r="607" spans="4:4" ht="15.75" customHeight="1">
      <c r="D607" s="49"/>
    </row>
    <row r="608" spans="4:4" ht="15.75" customHeight="1">
      <c r="D608" s="49"/>
    </row>
    <row r="609" spans="4:4" ht="15.75" customHeight="1">
      <c r="D609" s="49"/>
    </row>
    <row r="610" spans="4:4" ht="15.75" customHeight="1">
      <c r="D610" s="49"/>
    </row>
    <row r="611" spans="4:4" ht="15.75" customHeight="1">
      <c r="D611" s="49"/>
    </row>
    <row r="612" spans="4:4" ht="15.75" customHeight="1">
      <c r="D612" s="49"/>
    </row>
    <row r="613" spans="4:4" ht="15.75" customHeight="1">
      <c r="D613" s="49"/>
    </row>
    <row r="614" spans="4:4" ht="15.75" customHeight="1">
      <c r="D614" s="49"/>
    </row>
    <row r="615" spans="4:4" ht="15.75" customHeight="1">
      <c r="D615" s="49"/>
    </row>
    <row r="616" spans="4:4" ht="15.75" customHeight="1">
      <c r="D616" s="49"/>
    </row>
    <row r="617" spans="4:4" ht="15.75" customHeight="1">
      <c r="D617" s="49"/>
    </row>
    <row r="618" spans="4:4" ht="15.75" customHeight="1">
      <c r="D618" s="49"/>
    </row>
    <row r="619" spans="4:4" ht="15.75" customHeight="1">
      <c r="D619" s="49"/>
    </row>
    <row r="620" spans="4:4" ht="15.75" customHeight="1">
      <c r="D620" s="49"/>
    </row>
    <row r="621" spans="4:4" ht="15.75" customHeight="1">
      <c r="D621" s="49"/>
    </row>
    <row r="622" spans="4:4" ht="15.75" customHeight="1">
      <c r="D622" s="49"/>
    </row>
    <row r="623" spans="4:4" ht="15.75" customHeight="1">
      <c r="D623" s="49"/>
    </row>
    <row r="624" spans="4:4" ht="15.75" customHeight="1">
      <c r="D624" s="49"/>
    </row>
    <row r="625" spans="4:4" ht="15.75" customHeight="1">
      <c r="D625" s="49"/>
    </row>
    <row r="626" spans="4:4" ht="15.75" customHeight="1">
      <c r="D626" s="49"/>
    </row>
    <row r="627" spans="4:4" ht="15.75" customHeight="1">
      <c r="D627" s="49"/>
    </row>
    <row r="628" spans="4:4" ht="15.75" customHeight="1">
      <c r="D628" s="49"/>
    </row>
    <row r="629" spans="4:4" ht="15.75" customHeight="1">
      <c r="D629" s="49"/>
    </row>
    <row r="630" spans="4:4" ht="15.75" customHeight="1">
      <c r="D630" s="49"/>
    </row>
    <row r="631" spans="4:4" ht="15.75" customHeight="1">
      <c r="D631" s="49"/>
    </row>
    <row r="632" spans="4:4" ht="15.75" customHeight="1">
      <c r="D632" s="49"/>
    </row>
    <row r="633" spans="4:4" ht="15.75" customHeight="1">
      <c r="D633" s="49"/>
    </row>
    <row r="634" spans="4:4" ht="15.75" customHeight="1">
      <c r="D634" s="49"/>
    </row>
    <row r="635" spans="4:4" ht="15.75" customHeight="1">
      <c r="D635" s="49"/>
    </row>
    <row r="636" spans="4:4" ht="15.75" customHeight="1">
      <c r="D636" s="49"/>
    </row>
    <row r="637" spans="4:4" ht="15.75" customHeight="1">
      <c r="D637" s="49"/>
    </row>
    <row r="638" spans="4:4" ht="15.75" customHeight="1">
      <c r="D638" s="49"/>
    </row>
    <row r="639" spans="4:4" ht="15.75" customHeight="1">
      <c r="D639" s="49"/>
    </row>
    <row r="640" spans="4:4" ht="15.75" customHeight="1">
      <c r="D640" s="49"/>
    </row>
    <row r="641" spans="4:4" ht="15.75" customHeight="1">
      <c r="D641" s="49"/>
    </row>
    <row r="642" spans="4:4" ht="15.75" customHeight="1">
      <c r="D642" s="49"/>
    </row>
    <row r="643" spans="4:4" ht="15.75" customHeight="1">
      <c r="D643" s="49"/>
    </row>
    <row r="644" spans="4:4" ht="15.75" customHeight="1">
      <c r="D644" s="49"/>
    </row>
    <row r="645" spans="4:4" ht="15.75" customHeight="1">
      <c r="D645" s="49"/>
    </row>
    <row r="646" spans="4:4" ht="15.75" customHeight="1">
      <c r="D646" s="49"/>
    </row>
    <row r="647" spans="4:4" ht="15.75" customHeight="1">
      <c r="D647" s="49"/>
    </row>
    <row r="648" spans="4:4" ht="15.75" customHeight="1">
      <c r="D648" s="49"/>
    </row>
    <row r="649" spans="4:4" ht="15.75" customHeight="1">
      <c r="D649" s="49"/>
    </row>
    <row r="650" spans="4:4" ht="15.75" customHeight="1">
      <c r="D650" s="49"/>
    </row>
    <row r="651" spans="4:4" ht="15.75" customHeight="1">
      <c r="D651" s="49"/>
    </row>
    <row r="652" spans="4:4" ht="15.75" customHeight="1">
      <c r="D652" s="49"/>
    </row>
    <row r="653" spans="4:4" ht="15.75" customHeight="1">
      <c r="D653" s="49"/>
    </row>
    <row r="654" spans="4:4" ht="15.75" customHeight="1">
      <c r="D654" s="49"/>
    </row>
    <row r="655" spans="4:4" ht="15.75" customHeight="1">
      <c r="D655" s="49"/>
    </row>
    <row r="656" spans="4:4" ht="15.75" customHeight="1">
      <c r="D656" s="49"/>
    </row>
    <row r="657" spans="4:4" ht="15.75" customHeight="1">
      <c r="D657" s="49"/>
    </row>
    <row r="658" spans="4:4" ht="15.75" customHeight="1">
      <c r="D658" s="49"/>
    </row>
    <row r="659" spans="4:4" ht="15.75" customHeight="1">
      <c r="D659" s="49"/>
    </row>
    <row r="660" spans="4:4" ht="15.75" customHeight="1">
      <c r="D660" s="49"/>
    </row>
    <row r="661" spans="4:4" ht="15.75" customHeight="1">
      <c r="D661" s="49"/>
    </row>
    <row r="662" spans="4:4" ht="15.75" customHeight="1">
      <c r="D662" s="49"/>
    </row>
    <row r="663" spans="4:4" ht="15.75" customHeight="1">
      <c r="D663" s="49"/>
    </row>
    <row r="664" spans="4:4" ht="15.75" customHeight="1">
      <c r="D664" s="49"/>
    </row>
    <row r="665" spans="4:4" ht="15.75" customHeight="1">
      <c r="D665" s="49"/>
    </row>
    <row r="666" spans="4:4" ht="15.75" customHeight="1">
      <c r="D666" s="49"/>
    </row>
    <row r="667" spans="4:4" ht="15.75" customHeight="1">
      <c r="D667" s="49"/>
    </row>
    <row r="668" spans="4:4" ht="15.75" customHeight="1">
      <c r="D668" s="49"/>
    </row>
    <row r="669" spans="4:4" ht="15.75" customHeight="1">
      <c r="D669" s="49"/>
    </row>
    <row r="670" spans="4:4" ht="15.75" customHeight="1">
      <c r="D670" s="49"/>
    </row>
    <row r="671" spans="4:4" ht="15.75" customHeight="1">
      <c r="D671" s="49"/>
    </row>
    <row r="672" spans="4:4" ht="15.75" customHeight="1">
      <c r="D672" s="49"/>
    </row>
    <row r="673" spans="4:4" ht="15.75" customHeight="1">
      <c r="D673" s="49"/>
    </row>
    <row r="674" spans="4:4" ht="15.75" customHeight="1">
      <c r="D674" s="49"/>
    </row>
    <row r="675" spans="4:4" ht="15.75" customHeight="1">
      <c r="D675" s="49"/>
    </row>
    <row r="676" spans="4:4" ht="15.75" customHeight="1">
      <c r="D676" s="49"/>
    </row>
    <row r="677" spans="4:4" ht="15.75" customHeight="1">
      <c r="D677" s="49"/>
    </row>
    <row r="678" spans="4:4" ht="15.75" customHeight="1">
      <c r="D678" s="49"/>
    </row>
    <row r="679" spans="4:4" ht="15.75" customHeight="1">
      <c r="D679" s="49"/>
    </row>
    <row r="680" spans="4:4" ht="15.75" customHeight="1">
      <c r="D680" s="49"/>
    </row>
    <row r="681" spans="4:4" ht="15.75" customHeight="1">
      <c r="D681" s="49"/>
    </row>
    <row r="682" spans="4:4" ht="15.75" customHeight="1">
      <c r="D682" s="49"/>
    </row>
    <row r="683" spans="4:4" ht="15.75" customHeight="1">
      <c r="D683" s="49"/>
    </row>
    <row r="684" spans="4:4" ht="15.75" customHeight="1">
      <c r="D684" s="49"/>
    </row>
    <row r="685" spans="4:4" ht="15.75" customHeight="1">
      <c r="D685" s="49"/>
    </row>
    <row r="686" spans="4:4" ht="15.75" customHeight="1">
      <c r="D686" s="49"/>
    </row>
    <row r="687" spans="4:4" ht="15.75" customHeight="1">
      <c r="D687" s="49"/>
    </row>
    <row r="688" spans="4:4" ht="15.75" customHeight="1">
      <c r="D688" s="49"/>
    </row>
    <row r="689" spans="4:4" ht="15.75" customHeight="1">
      <c r="D689" s="49"/>
    </row>
    <row r="690" spans="4:4" ht="15.75" customHeight="1">
      <c r="D690" s="49"/>
    </row>
    <row r="691" spans="4:4" ht="15.75" customHeight="1">
      <c r="D691" s="49"/>
    </row>
    <row r="692" spans="4:4" ht="15.75" customHeight="1">
      <c r="D692" s="49"/>
    </row>
    <row r="693" spans="4:4" ht="15.75" customHeight="1">
      <c r="D693" s="49"/>
    </row>
    <row r="694" spans="4:4" ht="15.75" customHeight="1">
      <c r="D694" s="49"/>
    </row>
    <row r="695" spans="4:4" ht="15.75" customHeight="1">
      <c r="D695" s="49"/>
    </row>
    <row r="696" spans="4:4" ht="15.75" customHeight="1">
      <c r="D696" s="49"/>
    </row>
    <row r="697" spans="4:4" ht="15.75" customHeight="1">
      <c r="D697" s="49"/>
    </row>
    <row r="698" spans="4:4" ht="15.75" customHeight="1">
      <c r="D698" s="49"/>
    </row>
    <row r="699" spans="4:4" ht="15.75" customHeight="1">
      <c r="D699" s="49"/>
    </row>
    <row r="700" spans="4:4" ht="15.75" customHeight="1">
      <c r="D700" s="49"/>
    </row>
    <row r="701" spans="4:4" ht="15.75" customHeight="1">
      <c r="D701" s="49"/>
    </row>
    <row r="702" spans="4:4" ht="15.75" customHeight="1">
      <c r="D702" s="49"/>
    </row>
    <row r="703" spans="4:4" ht="15.75" customHeight="1">
      <c r="D703" s="49"/>
    </row>
    <row r="704" spans="4:4" ht="15.75" customHeight="1">
      <c r="D704" s="49"/>
    </row>
    <row r="705" spans="4:4" ht="15.75" customHeight="1">
      <c r="D705" s="49"/>
    </row>
    <row r="706" spans="4:4" ht="15.75" customHeight="1">
      <c r="D706" s="49"/>
    </row>
    <row r="707" spans="4:4" ht="15.75" customHeight="1">
      <c r="D707" s="49"/>
    </row>
    <row r="708" spans="4:4" ht="15.75" customHeight="1">
      <c r="D708" s="49"/>
    </row>
    <row r="709" spans="4:4" ht="15.75" customHeight="1">
      <c r="D709" s="49"/>
    </row>
    <row r="710" spans="4:4" ht="15.75" customHeight="1">
      <c r="D710" s="49"/>
    </row>
    <row r="711" spans="4:4" ht="15.75" customHeight="1">
      <c r="D711" s="49"/>
    </row>
    <row r="712" spans="4:4" ht="15.75" customHeight="1">
      <c r="D712" s="49"/>
    </row>
    <row r="713" spans="4:4" ht="15.75" customHeight="1">
      <c r="D713" s="49"/>
    </row>
    <row r="714" spans="4:4" ht="15.75" customHeight="1">
      <c r="D714" s="49"/>
    </row>
    <row r="715" spans="4:4" ht="15.75" customHeight="1">
      <c r="D715" s="49"/>
    </row>
    <row r="716" spans="4:4" ht="15.75" customHeight="1">
      <c r="D716" s="49"/>
    </row>
    <row r="717" spans="4:4" ht="15.75" customHeight="1">
      <c r="D717" s="49"/>
    </row>
    <row r="718" spans="4:4" ht="15.75" customHeight="1">
      <c r="D718" s="49"/>
    </row>
    <row r="719" spans="4:4" ht="15.75" customHeight="1">
      <c r="D719" s="49"/>
    </row>
    <row r="720" spans="4:4" ht="15.75" customHeight="1">
      <c r="D720" s="49"/>
    </row>
    <row r="721" spans="4:4" ht="15.75" customHeight="1">
      <c r="D721" s="49"/>
    </row>
    <row r="722" spans="4:4" ht="15.75" customHeight="1">
      <c r="D722" s="49"/>
    </row>
    <row r="723" spans="4:4" ht="15.75" customHeight="1">
      <c r="D723" s="49"/>
    </row>
    <row r="724" spans="4:4" ht="15.75" customHeight="1">
      <c r="D724" s="49"/>
    </row>
    <row r="725" spans="4:4" ht="15.75" customHeight="1">
      <c r="D725" s="49"/>
    </row>
    <row r="726" spans="4:4" ht="15.75" customHeight="1">
      <c r="D726" s="49"/>
    </row>
    <row r="727" spans="4:4" ht="15.75" customHeight="1">
      <c r="D727" s="49"/>
    </row>
    <row r="728" spans="4:4" ht="15.75" customHeight="1">
      <c r="D728" s="49"/>
    </row>
    <row r="729" spans="4:4" ht="15.75" customHeight="1">
      <c r="D729" s="49"/>
    </row>
    <row r="730" spans="4:4" ht="15.75" customHeight="1">
      <c r="D730" s="49"/>
    </row>
    <row r="731" spans="4:4" ht="15.75" customHeight="1">
      <c r="D731" s="49"/>
    </row>
    <row r="732" spans="4:4" ht="15.75" customHeight="1">
      <c r="D732" s="49"/>
    </row>
    <row r="733" spans="4:4" ht="15.75" customHeight="1">
      <c r="D733" s="49"/>
    </row>
    <row r="734" spans="4:4" ht="15.75" customHeight="1">
      <c r="D734" s="49"/>
    </row>
    <row r="735" spans="4:4" ht="15.75" customHeight="1">
      <c r="D735" s="49"/>
    </row>
    <row r="736" spans="4:4" ht="15.75" customHeight="1">
      <c r="D736" s="49"/>
    </row>
    <row r="737" spans="4:4" ht="15.75" customHeight="1">
      <c r="D737" s="49"/>
    </row>
    <row r="738" spans="4:4" ht="15.75" customHeight="1">
      <c r="D738" s="49"/>
    </row>
    <row r="739" spans="4:4" ht="15.75" customHeight="1">
      <c r="D739" s="49"/>
    </row>
    <row r="740" spans="4:4" ht="15.75" customHeight="1">
      <c r="D740" s="49"/>
    </row>
    <row r="741" spans="4:4" ht="15.75" customHeight="1">
      <c r="D741" s="49"/>
    </row>
    <row r="742" spans="4:4" ht="15.75" customHeight="1">
      <c r="D742" s="49"/>
    </row>
    <row r="743" spans="4:4" ht="15.75" customHeight="1">
      <c r="D743" s="49"/>
    </row>
    <row r="744" spans="4:4" ht="15.75" customHeight="1">
      <c r="D744" s="49"/>
    </row>
    <row r="745" spans="4:4" ht="15.75" customHeight="1">
      <c r="D745" s="49"/>
    </row>
    <row r="746" spans="4:4" ht="15.75" customHeight="1">
      <c r="D746" s="49"/>
    </row>
    <row r="747" spans="4:4" ht="15.75" customHeight="1">
      <c r="D747" s="49"/>
    </row>
    <row r="748" spans="4:4" ht="15.75" customHeight="1">
      <c r="D748" s="49"/>
    </row>
    <row r="749" spans="4:4" ht="15.75" customHeight="1">
      <c r="D749" s="49"/>
    </row>
    <row r="750" spans="4:4" ht="15.75" customHeight="1">
      <c r="D750" s="49"/>
    </row>
    <row r="751" spans="4:4" ht="15.75" customHeight="1">
      <c r="D751" s="49"/>
    </row>
    <row r="752" spans="4:4" ht="15.75" customHeight="1">
      <c r="D752" s="49"/>
    </row>
    <row r="753" spans="4:4" ht="15.75" customHeight="1">
      <c r="D753" s="49"/>
    </row>
    <row r="754" spans="4:4" ht="15.75" customHeight="1">
      <c r="D754" s="49"/>
    </row>
    <row r="755" spans="4:4" ht="15.75" customHeight="1">
      <c r="D755" s="49"/>
    </row>
    <row r="756" spans="4:4" ht="15.75" customHeight="1">
      <c r="D756" s="49"/>
    </row>
    <row r="757" spans="4:4" ht="15.75" customHeight="1">
      <c r="D757" s="49"/>
    </row>
    <row r="758" spans="4:4" ht="15.75" customHeight="1">
      <c r="D758" s="49"/>
    </row>
    <row r="759" spans="4:4" ht="15.75" customHeight="1">
      <c r="D759" s="49"/>
    </row>
    <row r="760" spans="4:4" ht="15.75" customHeight="1">
      <c r="D760" s="49"/>
    </row>
    <row r="761" spans="4:4" ht="15.75" customHeight="1">
      <c r="D761" s="49"/>
    </row>
    <row r="762" spans="4:4" ht="15.75" customHeight="1">
      <c r="D762" s="49"/>
    </row>
    <row r="763" spans="4:4" ht="15.75" customHeight="1">
      <c r="D763" s="49"/>
    </row>
    <row r="764" spans="4:4" ht="15.75" customHeight="1">
      <c r="D764" s="49"/>
    </row>
    <row r="765" spans="4:4" ht="15.75" customHeight="1">
      <c r="D765" s="49"/>
    </row>
    <row r="766" spans="4:4" ht="15.75" customHeight="1">
      <c r="D766" s="49"/>
    </row>
    <row r="767" spans="4:4" ht="15.75" customHeight="1">
      <c r="D767" s="49"/>
    </row>
    <row r="768" spans="4:4" ht="15.75" customHeight="1">
      <c r="D768" s="49"/>
    </row>
    <row r="769" spans="4:4" ht="15.75" customHeight="1">
      <c r="D769" s="49"/>
    </row>
    <row r="770" spans="4:4" ht="15.75" customHeight="1">
      <c r="D770" s="49"/>
    </row>
    <row r="771" spans="4:4" ht="15.75" customHeight="1">
      <c r="D771" s="49"/>
    </row>
    <row r="772" spans="4:4" ht="15.75" customHeight="1">
      <c r="D772" s="49"/>
    </row>
    <row r="773" spans="4:4" ht="15.75" customHeight="1">
      <c r="D773" s="49"/>
    </row>
    <row r="774" spans="4:4" ht="15.75" customHeight="1">
      <c r="D774" s="49"/>
    </row>
    <row r="775" spans="4:4" ht="15.75" customHeight="1">
      <c r="D775" s="49"/>
    </row>
    <row r="776" spans="4:4" ht="15.75" customHeight="1">
      <c r="D776" s="49"/>
    </row>
    <row r="777" spans="4:4" ht="15.75" customHeight="1">
      <c r="D777" s="49"/>
    </row>
    <row r="778" spans="4:4" ht="15.75" customHeight="1">
      <c r="D778" s="49"/>
    </row>
    <row r="779" spans="4:4" ht="15.75" customHeight="1">
      <c r="D779" s="49"/>
    </row>
    <row r="780" spans="4:4" ht="15.75" customHeight="1">
      <c r="D780" s="49"/>
    </row>
    <row r="781" spans="4:4" ht="15.75" customHeight="1">
      <c r="D781" s="49"/>
    </row>
    <row r="782" spans="4:4" ht="15.75" customHeight="1">
      <c r="D782" s="49"/>
    </row>
    <row r="783" spans="4:4" ht="15.75" customHeight="1">
      <c r="D783" s="49"/>
    </row>
    <row r="784" spans="4:4" ht="15.75" customHeight="1">
      <c r="D784" s="49"/>
    </row>
    <row r="785" spans="4:4" ht="15.75" customHeight="1">
      <c r="D785" s="49"/>
    </row>
    <row r="786" spans="4:4" ht="15.75" customHeight="1">
      <c r="D786" s="49"/>
    </row>
    <row r="787" spans="4:4" ht="15.75" customHeight="1">
      <c r="D787" s="49"/>
    </row>
    <row r="788" spans="4:4" ht="15.75" customHeight="1">
      <c r="D788" s="49"/>
    </row>
    <row r="789" spans="4:4" ht="15.75" customHeight="1">
      <c r="D789" s="49"/>
    </row>
    <row r="790" spans="4:4" ht="15.75" customHeight="1">
      <c r="D790" s="49"/>
    </row>
    <row r="791" spans="4:4" ht="15.75" customHeight="1">
      <c r="D791" s="49"/>
    </row>
    <row r="792" spans="4:4" ht="15.75" customHeight="1">
      <c r="D792" s="49"/>
    </row>
    <row r="793" spans="4:4" ht="15.75" customHeight="1">
      <c r="D793" s="49"/>
    </row>
    <row r="794" spans="4:4" ht="15.75" customHeight="1">
      <c r="D794" s="49"/>
    </row>
    <row r="795" spans="4:4" ht="15.75" customHeight="1">
      <c r="D795" s="49"/>
    </row>
    <row r="796" spans="4:4" ht="15.75" customHeight="1">
      <c r="D796" s="49"/>
    </row>
    <row r="797" spans="4:4" ht="15.75" customHeight="1">
      <c r="D797" s="49"/>
    </row>
    <row r="798" spans="4:4" ht="15.75" customHeight="1">
      <c r="D798" s="49"/>
    </row>
    <row r="799" spans="4:4" ht="15.75" customHeight="1">
      <c r="D799" s="49"/>
    </row>
    <row r="800" spans="4:4" ht="15.75" customHeight="1">
      <c r="D800" s="49"/>
    </row>
    <row r="801" spans="4:4" ht="15.75" customHeight="1">
      <c r="D801" s="49"/>
    </row>
    <row r="802" spans="4:4" ht="15.75" customHeight="1">
      <c r="D802" s="49"/>
    </row>
    <row r="803" spans="4:4" ht="15.75" customHeight="1">
      <c r="D803" s="49"/>
    </row>
    <row r="804" spans="4:4" ht="15.75" customHeight="1">
      <c r="D804" s="49"/>
    </row>
    <row r="805" spans="4:4" ht="15.75" customHeight="1">
      <c r="D805" s="49"/>
    </row>
    <row r="806" spans="4:4" ht="15.75" customHeight="1">
      <c r="D806" s="49"/>
    </row>
    <row r="807" spans="4:4" ht="15.75" customHeight="1">
      <c r="D807" s="49"/>
    </row>
    <row r="808" spans="4:4" ht="15.75" customHeight="1">
      <c r="D808" s="49"/>
    </row>
    <row r="809" spans="4:4" ht="15.75" customHeight="1">
      <c r="D809" s="49"/>
    </row>
    <row r="810" spans="4:4" ht="15.75" customHeight="1">
      <c r="D810" s="49"/>
    </row>
    <row r="811" spans="4:4" ht="15.75" customHeight="1">
      <c r="D811" s="49"/>
    </row>
    <row r="812" spans="4:4" ht="15.75" customHeight="1">
      <c r="D812" s="49"/>
    </row>
    <row r="813" spans="4:4" ht="15.75" customHeight="1">
      <c r="D813" s="49"/>
    </row>
    <row r="814" spans="4:4" ht="15.75" customHeight="1">
      <c r="D814" s="49"/>
    </row>
    <row r="815" spans="4:4" ht="15.75" customHeight="1">
      <c r="D815" s="49"/>
    </row>
    <row r="816" spans="4:4" ht="15.75" customHeight="1">
      <c r="D816" s="49"/>
    </row>
    <row r="817" spans="4:4" ht="15.75" customHeight="1">
      <c r="D817" s="49"/>
    </row>
    <row r="818" spans="4:4" ht="15.75" customHeight="1">
      <c r="D818" s="49"/>
    </row>
    <row r="819" spans="4:4" ht="15.75" customHeight="1">
      <c r="D819" s="49"/>
    </row>
    <row r="820" spans="4:4" ht="15.75" customHeight="1">
      <c r="D820" s="49"/>
    </row>
    <row r="821" spans="4:4" ht="15.75" customHeight="1">
      <c r="D821" s="49"/>
    </row>
    <row r="822" spans="4:4" ht="15.75" customHeight="1">
      <c r="D822" s="49"/>
    </row>
    <row r="823" spans="4:4" ht="15.75" customHeight="1">
      <c r="D823" s="49"/>
    </row>
    <row r="824" spans="4:4" ht="15.75" customHeight="1">
      <c r="D824" s="49"/>
    </row>
    <row r="825" spans="4:4" ht="15.75" customHeight="1">
      <c r="D825" s="49"/>
    </row>
    <row r="826" spans="4:4" ht="15.75" customHeight="1">
      <c r="D826" s="49"/>
    </row>
    <row r="827" spans="4:4" ht="15.75" customHeight="1">
      <c r="D827" s="49"/>
    </row>
    <row r="828" spans="4:4" ht="15.75" customHeight="1">
      <c r="D828" s="49"/>
    </row>
    <row r="829" spans="4:4" ht="15.75" customHeight="1">
      <c r="D829" s="49"/>
    </row>
    <row r="830" spans="4:4" ht="15.75" customHeight="1">
      <c r="D830" s="49"/>
    </row>
    <row r="831" spans="4:4" ht="15.75" customHeight="1">
      <c r="D831" s="49"/>
    </row>
    <row r="832" spans="4:4" ht="15.75" customHeight="1">
      <c r="D832" s="49"/>
    </row>
    <row r="833" spans="4:4" ht="15.75" customHeight="1">
      <c r="D833" s="49"/>
    </row>
    <row r="834" spans="4:4" ht="15.75" customHeight="1">
      <c r="D834" s="49"/>
    </row>
    <row r="835" spans="4:4" ht="15.75" customHeight="1">
      <c r="D835" s="49"/>
    </row>
    <row r="836" spans="4:4" ht="15.75" customHeight="1">
      <c r="D836" s="49"/>
    </row>
    <row r="837" spans="4:4" ht="15.75" customHeight="1">
      <c r="D837" s="49"/>
    </row>
    <row r="838" spans="4:4" ht="15.75" customHeight="1">
      <c r="D838" s="49"/>
    </row>
    <row r="839" spans="4:4" ht="15.75" customHeight="1">
      <c r="D839" s="49"/>
    </row>
    <row r="840" spans="4:4" ht="15.75" customHeight="1">
      <c r="D840" s="49"/>
    </row>
    <row r="841" spans="4:4" ht="15.75" customHeight="1">
      <c r="D841" s="49"/>
    </row>
    <row r="842" spans="4:4" ht="15.75" customHeight="1">
      <c r="D842" s="49"/>
    </row>
    <row r="843" spans="4:4" ht="15.75" customHeight="1">
      <c r="D843" s="49"/>
    </row>
    <row r="844" spans="4:4" ht="15.75" customHeight="1">
      <c r="D844" s="49"/>
    </row>
    <row r="845" spans="4:4" ht="15.75" customHeight="1">
      <c r="D845" s="49"/>
    </row>
    <row r="846" spans="4:4" ht="15.75" customHeight="1">
      <c r="D846" s="49"/>
    </row>
    <row r="847" spans="4:4" ht="15.75" customHeight="1">
      <c r="D847" s="49"/>
    </row>
    <row r="848" spans="4:4" ht="15.75" customHeight="1">
      <c r="D848" s="49"/>
    </row>
    <row r="849" spans="4:4" ht="15.75" customHeight="1">
      <c r="D849" s="49"/>
    </row>
    <row r="850" spans="4:4" ht="15.75" customHeight="1">
      <c r="D850" s="49"/>
    </row>
    <row r="851" spans="4:4" ht="15.75" customHeight="1">
      <c r="D851" s="49"/>
    </row>
    <row r="852" spans="4:4" ht="15.75" customHeight="1">
      <c r="D852" s="49"/>
    </row>
    <row r="853" spans="4:4" ht="15.75" customHeight="1">
      <c r="D853" s="49"/>
    </row>
    <row r="854" spans="4:4" ht="15.75" customHeight="1">
      <c r="D854" s="49"/>
    </row>
    <row r="855" spans="4:4" ht="15.75" customHeight="1">
      <c r="D855" s="49"/>
    </row>
    <row r="856" spans="4:4" ht="15.75" customHeight="1">
      <c r="D856" s="49"/>
    </row>
    <row r="857" spans="4:4" ht="15.75" customHeight="1">
      <c r="D857" s="49"/>
    </row>
    <row r="858" spans="4:4" ht="15.75" customHeight="1">
      <c r="D858" s="49"/>
    </row>
    <row r="859" spans="4:4" ht="15.75" customHeight="1">
      <c r="D859" s="49"/>
    </row>
    <row r="860" spans="4:4" ht="15.75" customHeight="1">
      <c r="D860" s="49"/>
    </row>
    <row r="861" spans="4:4" ht="15.75" customHeight="1">
      <c r="D861" s="49"/>
    </row>
    <row r="862" spans="4:4" ht="15.75" customHeight="1">
      <c r="D862" s="49"/>
    </row>
    <row r="863" spans="4:4" ht="15.75" customHeight="1">
      <c r="D863" s="49"/>
    </row>
    <row r="864" spans="4:4" ht="15.75" customHeight="1">
      <c r="D864" s="49"/>
    </row>
    <row r="865" spans="4:4" ht="15.75" customHeight="1">
      <c r="D865" s="49"/>
    </row>
    <row r="866" spans="4:4" ht="15.75" customHeight="1">
      <c r="D866" s="49"/>
    </row>
    <row r="867" spans="4:4" ht="15.75" customHeight="1">
      <c r="D867" s="49"/>
    </row>
    <row r="868" spans="4:4" ht="15.75" customHeight="1">
      <c r="D868" s="49"/>
    </row>
    <row r="869" spans="4:4" ht="15.75" customHeight="1">
      <c r="D869" s="49"/>
    </row>
    <row r="870" spans="4:4" ht="15.75" customHeight="1">
      <c r="D870" s="49"/>
    </row>
    <row r="871" spans="4:4" ht="15.75" customHeight="1">
      <c r="D871" s="49"/>
    </row>
    <row r="872" spans="4:4" ht="15.75" customHeight="1">
      <c r="D872" s="49"/>
    </row>
    <row r="873" spans="4:4" ht="15.75" customHeight="1">
      <c r="D873" s="49"/>
    </row>
    <row r="874" spans="4:4" ht="15.75" customHeight="1">
      <c r="D874" s="49"/>
    </row>
    <row r="875" spans="4:4" ht="15.75" customHeight="1">
      <c r="D875" s="49"/>
    </row>
    <row r="876" spans="4:4" ht="15.75" customHeight="1">
      <c r="D876" s="49"/>
    </row>
    <row r="877" spans="4:4" ht="15.75" customHeight="1">
      <c r="D877" s="49"/>
    </row>
    <row r="878" spans="4:4" ht="15.75" customHeight="1">
      <c r="D878" s="49"/>
    </row>
    <row r="879" spans="4:4" ht="15.75" customHeight="1">
      <c r="D879" s="49"/>
    </row>
    <row r="880" spans="4:4" ht="15.75" customHeight="1">
      <c r="D880" s="49"/>
    </row>
    <row r="881" spans="4:4" ht="15.75" customHeight="1">
      <c r="D881" s="49"/>
    </row>
    <row r="882" spans="4:4" ht="15.75" customHeight="1">
      <c r="D882" s="49"/>
    </row>
    <row r="883" spans="4:4" ht="15.75" customHeight="1">
      <c r="D883" s="49"/>
    </row>
    <row r="884" spans="4:4" ht="15.75" customHeight="1">
      <c r="D884" s="49"/>
    </row>
    <row r="885" spans="4:4" ht="15.75" customHeight="1">
      <c r="D885" s="49"/>
    </row>
    <row r="886" spans="4:4" ht="15.75" customHeight="1">
      <c r="D886" s="49"/>
    </row>
    <row r="887" spans="4:4" ht="15.75" customHeight="1">
      <c r="D887" s="49"/>
    </row>
    <row r="888" spans="4:4" ht="15.75" customHeight="1">
      <c r="D888" s="49"/>
    </row>
    <row r="889" spans="4:4" ht="15.75" customHeight="1">
      <c r="D889" s="49"/>
    </row>
    <row r="890" spans="4:4" ht="15.75" customHeight="1">
      <c r="D890" s="49"/>
    </row>
    <row r="891" spans="4:4" ht="15.75" customHeight="1">
      <c r="D891" s="49"/>
    </row>
    <row r="892" spans="4:4" ht="15.75" customHeight="1">
      <c r="D892" s="49"/>
    </row>
    <row r="893" spans="4:4" ht="15.75" customHeight="1">
      <c r="D893" s="49"/>
    </row>
    <row r="894" spans="4:4" ht="15.75" customHeight="1">
      <c r="D894" s="49"/>
    </row>
    <row r="895" spans="4:4" ht="15.75" customHeight="1">
      <c r="D895" s="49"/>
    </row>
    <row r="896" spans="4:4" ht="15.75" customHeight="1">
      <c r="D896" s="49"/>
    </row>
    <row r="897" spans="4:4" ht="15.75" customHeight="1">
      <c r="D897" s="49"/>
    </row>
    <row r="898" spans="4:4" ht="15.75" customHeight="1">
      <c r="D898" s="49"/>
    </row>
    <row r="899" spans="4:4" ht="15.75" customHeight="1">
      <c r="D899" s="49"/>
    </row>
    <row r="900" spans="4:4" ht="15.75" customHeight="1">
      <c r="D900" s="49"/>
    </row>
    <row r="901" spans="4:4" ht="15.75" customHeight="1">
      <c r="D901" s="49"/>
    </row>
    <row r="902" spans="4:4" ht="15.75" customHeight="1">
      <c r="D902" s="49"/>
    </row>
    <row r="903" spans="4:4" ht="15.75" customHeight="1">
      <c r="D903" s="49"/>
    </row>
    <row r="904" spans="4:4" ht="15.75" customHeight="1">
      <c r="D904" s="49"/>
    </row>
    <row r="905" spans="4:4" ht="15.75" customHeight="1">
      <c r="D905" s="49"/>
    </row>
    <row r="906" spans="4:4" ht="15.75" customHeight="1">
      <c r="D906" s="49"/>
    </row>
    <row r="907" spans="4:4" ht="15.75" customHeight="1">
      <c r="D907" s="49"/>
    </row>
    <row r="908" spans="4:4" ht="15.75" customHeight="1">
      <c r="D908" s="49"/>
    </row>
    <row r="909" spans="4:4" ht="15.75" customHeight="1">
      <c r="D909" s="49"/>
    </row>
    <row r="910" spans="4:4" ht="15.75" customHeight="1">
      <c r="D910" s="49"/>
    </row>
    <row r="911" spans="4:4" ht="15.75" customHeight="1">
      <c r="D911" s="49"/>
    </row>
    <row r="912" spans="4:4" ht="15.75" customHeight="1">
      <c r="D912" s="49"/>
    </row>
    <row r="913" spans="4:4" ht="15.75" customHeight="1">
      <c r="D913" s="49"/>
    </row>
    <row r="914" spans="4:4" ht="15.75" customHeight="1">
      <c r="D914" s="49"/>
    </row>
    <row r="915" spans="4:4" ht="15.75" customHeight="1">
      <c r="D915" s="49"/>
    </row>
    <row r="916" spans="4:4" ht="15.75" customHeight="1">
      <c r="D916" s="49"/>
    </row>
    <row r="917" spans="4:4" ht="15.75" customHeight="1">
      <c r="D917" s="49"/>
    </row>
    <row r="918" spans="4:4" ht="15.75" customHeight="1">
      <c r="D918" s="49"/>
    </row>
    <row r="919" spans="4:4" ht="15.75" customHeight="1">
      <c r="D919" s="49"/>
    </row>
    <row r="920" spans="4:4" ht="15.75" customHeight="1">
      <c r="D920" s="49"/>
    </row>
    <row r="921" spans="4:4" ht="15.75" customHeight="1">
      <c r="D921" s="49"/>
    </row>
    <row r="922" spans="4:4" ht="15.75" customHeight="1">
      <c r="D922" s="49"/>
    </row>
    <row r="923" spans="4:4" ht="15.75" customHeight="1">
      <c r="D923" s="49"/>
    </row>
    <row r="924" spans="4:4" ht="15.75" customHeight="1">
      <c r="D924" s="49"/>
    </row>
    <row r="925" spans="4:4" ht="15.75" customHeight="1">
      <c r="D925" s="49"/>
    </row>
    <row r="926" spans="4:4" ht="15.75" customHeight="1">
      <c r="D926" s="49"/>
    </row>
    <row r="927" spans="4:4" ht="15.75" customHeight="1">
      <c r="D927" s="49"/>
    </row>
    <row r="928" spans="4:4" ht="15.75" customHeight="1">
      <c r="D928" s="49"/>
    </row>
    <row r="929" spans="4:4" ht="15.75" customHeight="1">
      <c r="D929" s="49"/>
    </row>
    <row r="930" spans="4:4" ht="15.75" customHeight="1">
      <c r="D930" s="49"/>
    </row>
    <row r="931" spans="4:4" ht="15.75" customHeight="1">
      <c r="D931" s="49"/>
    </row>
    <row r="932" spans="4:4" ht="15.75" customHeight="1">
      <c r="D932" s="49"/>
    </row>
    <row r="933" spans="4:4" ht="15.75" customHeight="1">
      <c r="D933" s="49"/>
    </row>
    <row r="934" spans="4:4" ht="15.75" customHeight="1">
      <c r="D934" s="49"/>
    </row>
    <row r="935" spans="4:4" ht="15.75" customHeight="1">
      <c r="D935" s="49"/>
    </row>
    <row r="936" spans="4:4" ht="15.75" customHeight="1">
      <c r="D936" s="49"/>
    </row>
    <row r="937" spans="4:4" ht="15.75" customHeight="1">
      <c r="D937" s="49"/>
    </row>
    <row r="938" spans="4:4" ht="15.75" customHeight="1">
      <c r="D938" s="49"/>
    </row>
    <row r="939" spans="4:4" ht="15.75" customHeight="1">
      <c r="D939" s="49"/>
    </row>
    <row r="940" spans="4:4" ht="15.75" customHeight="1">
      <c r="D940" s="49"/>
    </row>
    <row r="941" spans="4:4" ht="15.75" customHeight="1">
      <c r="D941" s="49"/>
    </row>
    <row r="942" spans="4:4" ht="15.75" customHeight="1">
      <c r="D942" s="49"/>
    </row>
    <row r="943" spans="4:4" ht="15.75" customHeight="1">
      <c r="D943" s="49"/>
    </row>
    <row r="944" spans="4:4" ht="15.75" customHeight="1">
      <c r="D944" s="49"/>
    </row>
    <row r="945" spans="4:4" ht="15.75" customHeight="1">
      <c r="D945" s="49"/>
    </row>
    <row r="946" spans="4:4" ht="15.75" customHeight="1">
      <c r="D946" s="49"/>
    </row>
    <row r="947" spans="4:4" ht="15.75" customHeight="1">
      <c r="D947" s="49"/>
    </row>
    <row r="948" spans="4:4" ht="15.75" customHeight="1">
      <c r="D948" s="49"/>
    </row>
    <row r="949" spans="4:4" ht="15.75" customHeight="1">
      <c r="D949" s="49"/>
    </row>
    <row r="950" spans="4:4" ht="15.75" customHeight="1">
      <c r="D950" s="49"/>
    </row>
    <row r="951" spans="4:4" ht="15.75" customHeight="1">
      <c r="D951" s="49"/>
    </row>
    <row r="952" spans="4:4" ht="15.75" customHeight="1">
      <c r="D952" s="49"/>
    </row>
    <row r="953" spans="4:4" ht="15.75" customHeight="1">
      <c r="D953" s="49"/>
    </row>
    <row r="954" spans="4:4" ht="15.75" customHeight="1">
      <c r="D954" s="49"/>
    </row>
    <row r="955" spans="4:4" ht="15.75" customHeight="1">
      <c r="D955" s="49"/>
    </row>
    <row r="956" spans="4:4" ht="15.75" customHeight="1">
      <c r="D956" s="49"/>
    </row>
    <row r="957" spans="4:4" ht="15.75" customHeight="1">
      <c r="D957" s="49"/>
    </row>
    <row r="958" spans="4:4" ht="15.75" customHeight="1">
      <c r="D958" s="49"/>
    </row>
    <row r="959" spans="4:4" ht="15.75" customHeight="1">
      <c r="D959" s="49"/>
    </row>
    <row r="960" spans="4:4" ht="15.75" customHeight="1">
      <c r="D960" s="49"/>
    </row>
    <row r="961" spans="4:4" ht="15.75" customHeight="1">
      <c r="D961" s="49"/>
    </row>
    <row r="962" spans="4:4" ht="15.75" customHeight="1">
      <c r="D962" s="49"/>
    </row>
    <row r="963" spans="4:4" ht="15.75" customHeight="1">
      <c r="D963" s="49"/>
    </row>
    <row r="964" spans="4:4" ht="15.75" customHeight="1">
      <c r="D964" s="49"/>
    </row>
    <row r="965" spans="4:4" ht="15.75" customHeight="1">
      <c r="D965" s="49"/>
    </row>
    <row r="966" spans="4:4" ht="15.75" customHeight="1">
      <c r="D966" s="49"/>
    </row>
    <row r="967" spans="4:4" ht="15.75" customHeight="1">
      <c r="D967" s="49"/>
    </row>
    <row r="968" spans="4:4" ht="15.75" customHeight="1">
      <c r="D968" s="49"/>
    </row>
    <row r="969" spans="4:4" ht="15.75" customHeight="1">
      <c r="D969" s="49"/>
    </row>
    <row r="970" spans="4:4" ht="15.75" customHeight="1">
      <c r="D970" s="49"/>
    </row>
    <row r="971" spans="4:4" ht="15.75" customHeight="1">
      <c r="D971" s="49"/>
    </row>
    <row r="972" spans="4:4" ht="15.75" customHeight="1">
      <c r="D972" s="49"/>
    </row>
    <row r="973" spans="4:4" ht="15.75" customHeight="1">
      <c r="D973" s="49"/>
    </row>
    <row r="974" spans="4:4" ht="15.75" customHeight="1">
      <c r="D974" s="49"/>
    </row>
    <row r="975" spans="4:4" ht="15.75" customHeight="1">
      <c r="D975" s="49"/>
    </row>
    <row r="976" spans="4:4" ht="15.75" customHeight="1">
      <c r="D976" s="49"/>
    </row>
    <row r="977" spans="4:4" ht="15.75" customHeight="1">
      <c r="D977" s="49"/>
    </row>
    <row r="978" spans="4:4" ht="15.75" customHeight="1">
      <c r="D978" s="49"/>
    </row>
    <row r="979" spans="4:4" ht="15.75" customHeight="1">
      <c r="D979" s="49"/>
    </row>
    <row r="980" spans="4:4" ht="15.75" customHeight="1">
      <c r="D980" s="49"/>
    </row>
    <row r="981" spans="4:4" ht="15.75" customHeight="1">
      <c r="D981" s="49"/>
    </row>
    <row r="982" spans="4:4" ht="15.75" customHeight="1">
      <c r="D982" s="49"/>
    </row>
    <row r="983" spans="4:4" ht="15.75" customHeight="1">
      <c r="D983" s="49"/>
    </row>
    <row r="984" spans="4:4" ht="15.75" customHeight="1">
      <c r="D984" s="49"/>
    </row>
    <row r="985" spans="4:4" ht="15.75" customHeight="1">
      <c r="D985" s="49"/>
    </row>
    <row r="986" spans="4:4" ht="15.75" customHeight="1">
      <c r="D986" s="49"/>
    </row>
    <row r="987" spans="4:4" ht="15.75" customHeight="1">
      <c r="D987" s="49"/>
    </row>
    <row r="988" spans="4:4" ht="15.75" customHeight="1">
      <c r="D988" s="49"/>
    </row>
    <row r="989" spans="4:4" ht="15.75" customHeight="1">
      <c r="D989" s="49"/>
    </row>
    <row r="990" spans="4:4" ht="15.75" customHeight="1">
      <c r="D990" s="49"/>
    </row>
    <row r="991" spans="4:4" ht="15.75" customHeight="1">
      <c r="D991" s="49"/>
    </row>
    <row r="992" spans="4:4" ht="15.75" customHeight="1">
      <c r="D992" s="49"/>
    </row>
    <row r="993" spans="4:4" ht="15.75" customHeight="1">
      <c r="D993" s="49"/>
    </row>
    <row r="994" spans="4:4" ht="15.75" customHeight="1">
      <c r="D994" s="49"/>
    </row>
    <row r="995" spans="4:4" ht="15.75" customHeight="1">
      <c r="D995" s="49"/>
    </row>
    <row r="996" spans="4:4" ht="15.75" customHeight="1">
      <c r="D996" s="49"/>
    </row>
    <row r="997" spans="4:4" ht="15.75" customHeight="1">
      <c r="D997" s="49"/>
    </row>
    <row r="998" spans="4:4" ht="15.75" customHeight="1">
      <c r="D998" s="49"/>
    </row>
    <row r="999" spans="4:4" ht="15.75" customHeight="1">
      <c r="D999" s="49"/>
    </row>
  </sheetData>
  <mergeCells count="14">
    <mergeCell ref="B109:G109"/>
    <mergeCell ref="B110:G110"/>
    <mergeCell ref="A101:D101"/>
    <mergeCell ref="A102:D102"/>
    <mergeCell ref="A103:D103"/>
    <mergeCell ref="B106:G106"/>
    <mergeCell ref="B107:G107"/>
    <mergeCell ref="B108:G108"/>
    <mergeCell ref="A100:D100"/>
    <mergeCell ref="A1:G4"/>
    <mergeCell ref="A5:G5"/>
    <mergeCell ref="A97:D97"/>
    <mergeCell ref="A98:D98"/>
    <mergeCell ref="A99:D99"/>
  </mergeCells>
  <pageMargins left="0.7" right="0.7" top="0.75" bottom="0.75" header="0" footer="0"/>
  <pageSetup scale="5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OFICIAL (Entidad)</vt:lpstr>
      <vt:lpstr>PROPUESTA ECONOMICA (proponent)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Jesus Estrada Martinez</dc:creator>
  <cp:lastModifiedBy>Clara Liliana</cp:lastModifiedBy>
  <dcterms:created xsi:type="dcterms:W3CDTF">2023-11-29T15:54:22Z</dcterms:created>
  <dcterms:modified xsi:type="dcterms:W3CDTF">2026-08-12T22:38:56Z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20.2.12.0</vt:lpwstr>
  </property>
</Properties>
</file>