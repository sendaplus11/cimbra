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1. WORK\4. WORK_MOSQUERA\2. 2026\1. Proceso de Contratación\8. Cons Salon Comunal Villa Jenny Obra\2. Observaciones\1. Preliminar\1. Publicar Res LP-010-2026\"/>
    </mc:Choice>
  </mc:AlternateContent>
  <xr:revisionPtr revIDLastSave="0" documentId="13_ncr:1_{603A0F53-49C7-404E-AFCB-9CF6898A0C21}" xr6:coauthVersionLast="47" xr6:coauthVersionMax="47" xr10:uidLastSave="{00000000-0000-0000-0000-000000000000}"/>
  <bookViews>
    <workbookView xWindow="-98" yWindow="-98" windowWidth="21795" windowHeight="12975" xr2:uid="{8D8D85C7-F17D-427D-BBD5-C582BA5CB411}"/>
  </bookViews>
  <sheets>
    <sheet name="Oferta Economica" sheetId="3" r:id="rId1"/>
  </sheets>
  <externalReferences>
    <externalReference r:id="rId2"/>
  </externalReferences>
  <definedNames>
    <definedName name="\0">#REF!</definedName>
    <definedName name="\00">#REF!</definedName>
    <definedName name="\a">#REF!</definedName>
    <definedName name="\AA">#REF!</definedName>
    <definedName name="\b">#REF!</definedName>
    <definedName name="\bb">#REF!</definedName>
    <definedName name="\E">#REF!</definedName>
    <definedName name="\EE">#REF!</definedName>
    <definedName name="\G">#REF!</definedName>
    <definedName name="\k">#REF!</definedName>
    <definedName name="\l">#REF!</definedName>
    <definedName name="\M">#REF!</definedName>
    <definedName name="\ñ">#REF!</definedName>
    <definedName name="\P">#REF!</definedName>
    <definedName name="\R">#REF!</definedName>
    <definedName name="\s">#REF!</definedName>
    <definedName name="\V">#REF!</definedName>
    <definedName name="\X">[0]!ERR</definedName>
    <definedName name="\Z">[0]!ERR</definedName>
    <definedName name="_________AFC1">#REF!</definedName>
    <definedName name="_________AFC3">#REF!</definedName>
    <definedName name="_________AFC5">#REF!</definedName>
    <definedName name="_________BGC1">#REF!</definedName>
    <definedName name="_________BGC3">#REF!</definedName>
    <definedName name="_________BGC5">#REF!</definedName>
    <definedName name="_________CAC1">#REF!</definedName>
    <definedName name="_________CAC3">#REF!</definedName>
    <definedName name="_________CAC5">#REF!</definedName>
    <definedName name="_________key2" hidden="1">#REF!</definedName>
    <definedName name="_________PJ50">#REF!</definedName>
    <definedName name="_________SBC1">#REF!</definedName>
    <definedName name="_________SBC3">#REF!</definedName>
    <definedName name="_________SBC5">#REF!</definedName>
    <definedName name="________AFC1">#REF!</definedName>
    <definedName name="________AFC3">#REF!</definedName>
    <definedName name="________AFC5">#REF!</definedName>
    <definedName name="________BGC1">#REF!</definedName>
    <definedName name="________BGC3">#REF!</definedName>
    <definedName name="________BGC5">#REF!</definedName>
    <definedName name="________CAC1">#REF!</definedName>
    <definedName name="________CAC3">#REF!</definedName>
    <definedName name="________CAC5">#REF!</definedName>
    <definedName name="________key2" hidden="1">#REF!</definedName>
    <definedName name="________key3" hidden="1">#REF!</definedName>
    <definedName name="________MA2">#REF!</definedName>
    <definedName name="________PJ50">#REF!</definedName>
    <definedName name="________SBC1">#REF!</definedName>
    <definedName name="________SBC3">#REF!</definedName>
    <definedName name="________SBC5">#REF!</definedName>
    <definedName name="_______AFC1">#REF!</definedName>
    <definedName name="_______AFC3">#REF!</definedName>
    <definedName name="_______AFC5">#REF!</definedName>
    <definedName name="_______BGC1">#REF!</definedName>
    <definedName name="_______BGC3">#REF!</definedName>
    <definedName name="_______BGC5">#REF!</definedName>
    <definedName name="_______CAC1">#REF!</definedName>
    <definedName name="_______CAC3">#REF!</definedName>
    <definedName name="_______CAC5">#REF!</definedName>
    <definedName name="_______MA2">#REF!</definedName>
    <definedName name="_______PJ50">#REF!</definedName>
    <definedName name="_______SBC1">#REF!</definedName>
    <definedName name="_______SBC3">#REF!</definedName>
    <definedName name="_______SBC5">#REF!</definedName>
    <definedName name="______AFC1">#REF!</definedName>
    <definedName name="______AFC3">#REF!</definedName>
    <definedName name="______AFC5">#REF!</definedName>
    <definedName name="______BGC1">#REF!</definedName>
    <definedName name="______BGC3">#REF!</definedName>
    <definedName name="______BGC5">#REF!</definedName>
    <definedName name="______CAC1">#REF!</definedName>
    <definedName name="______CAC3">#REF!</definedName>
    <definedName name="______CAC5">#REF!</definedName>
    <definedName name="______MA2">#REF!</definedName>
    <definedName name="______PJ50">#REF!</definedName>
    <definedName name="______pr01">#REF!</definedName>
    <definedName name="______pr02">#REF!</definedName>
    <definedName name="______pr03">#REF!</definedName>
    <definedName name="______pr04">#REF!</definedName>
    <definedName name="______pr05">#REF!</definedName>
    <definedName name="______pr06">#REF!</definedName>
    <definedName name="______pr07">#REF!</definedName>
    <definedName name="______pr08">#REF!</definedName>
    <definedName name="______pr09">#REF!</definedName>
    <definedName name="______pr10">#REF!</definedName>
    <definedName name="______pr11">#REF!</definedName>
    <definedName name="______pr12">#REF!</definedName>
    <definedName name="______pr13">#REF!</definedName>
    <definedName name="______pr14">#REF!</definedName>
    <definedName name="______pr15">#REF!</definedName>
    <definedName name="______pr16">#REF!</definedName>
    <definedName name="______pr17">#REF!</definedName>
    <definedName name="______pr18">#REF!</definedName>
    <definedName name="______pr19">#REF!</definedName>
    <definedName name="______pr20">#REF!</definedName>
    <definedName name="______pr21">#REF!</definedName>
    <definedName name="______pr22">#REF!</definedName>
    <definedName name="______pr23">#REF!</definedName>
    <definedName name="______pr24">#REF!</definedName>
    <definedName name="______pr25">#REF!</definedName>
    <definedName name="______pr26">#REF!</definedName>
    <definedName name="______pr27">#REF!</definedName>
    <definedName name="______pr28">#REF!</definedName>
    <definedName name="______pr29">#REF!</definedName>
    <definedName name="______pr30">#REF!</definedName>
    <definedName name="______pr31">#REF!</definedName>
    <definedName name="______pr32">#REF!</definedName>
    <definedName name="______pr33">#REF!</definedName>
    <definedName name="______pr34">#REF!</definedName>
    <definedName name="______pr35">#REF!</definedName>
    <definedName name="______pr36">#REF!</definedName>
    <definedName name="______pr37">#REF!</definedName>
    <definedName name="______pr38">#REF!</definedName>
    <definedName name="______pr39">#REF!</definedName>
    <definedName name="______pr40">#REF!</definedName>
    <definedName name="______pr41">#REF!</definedName>
    <definedName name="______pr42">#REF!</definedName>
    <definedName name="______pr43">#REF!</definedName>
    <definedName name="______pr44">#REF!</definedName>
    <definedName name="______pr45">#REF!</definedName>
    <definedName name="______pr46">#REF!</definedName>
    <definedName name="______pr47">#REF!</definedName>
    <definedName name="______pr48">#REF!</definedName>
    <definedName name="______pr49">#REF!</definedName>
    <definedName name="______pr50">#REF!</definedName>
    <definedName name="______pr51">#REF!</definedName>
    <definedName name="______pr52">#REF!</definedName>
    <definedName name="______pr53">#REF!</definedName>
    <definedName name="______pr54">#REF!</definedName>
    <definedName name="______pr55">#REF!</definedName>
    <definedName name="______pr56">#REF!</definedName>
    <definedName name="______pr57">#REF!</definedName>
    <definedName name="______pr58">#REF!</definedName>
    <definedName name="______pr59">#REF!</definedName>
    <definedName name="______pr60">#REF!</definedName>
    <definedName name="______pr61">#REF!</definedName>
    <definedName name="______pr62">#REF!</definedName>
    <definedName name="______pr63">#REF!</definedName>
    <definedName name="______pr64">#REF!</definedName>
    <definedName name="______pr65">#REF!</definedName>
    <definedName name="______pr66">#REF!</definedName>
    <definedName name="______pr67">#REF!</definedName>
    <definedName name="______pr68">#REF!</definedName>
    <definedName name="______pr69">#REF!</definedName>
    <definedName name="______pr70">#REF!</definedName>
    <definedName name="______pr71">#REF!</definedName>
    <definedName name="______pr72">#REF!</definedName>
    <definedName name="______SBC1">#REF!</definedName>
    <definedName name="______SBC3">#REF!</definedName>
    <definedName name="______SBC5">#REF!</definedName>
    <definedName name="_____AFC1">#REF!</definedName>
    <definedName name="_____AFC3">#REF!</definedName>
    <definedName name="_____AFC5">#REF!</definedName>
    <definedName name="_____ane7">#REF!</definedName>
    <definedName name="_____ane8">#REF!</definedName>
    <definedName name="_____Atp2">#REF!</definedName>
    <definedName name="_____BGC1">#REF!</definedName>
    <definedName name="_____BGC3">#REF!</definedName>
    <definedName name="_____BGC5">#REF!</definedName>
    <definedName name="_____CAC1">#REF!</definedName>
    <definedName name="_____CAC3">#REF!</definedName>
    <definedName name="_____CAC5">#REF!</definedName>
    <definedName name="_____DCI1">#REF!</definedName>
    <definedName name="_____DDS1">#REF!</definedName>
    <definedName name="_____DGO1">#REF!</definedName>
    <definedName name="_____DGP1">#REF!</definedName>
    <definedName name="_____DIJ1">#REF!</definedName>
    <definedName name="_____DPI1">#REF!</definedName>
    <definedName name="_____DPY1">#REF!</definedName>
    <definedName name="_____DRI1">#REF!</definedName>
    <definedName name="_____DRL1">#REF!</definedName>
    <definedName name="_____DSP1">#REF!</definedName>
    <definedName name="_____ECP1">#REF!</definedName>
    <definedName name="_____ICP1">#REF!</definedName>
    <definedName name="_____MA2">#REF!</definedName>
    <definedName name="_____OCD1">#REF!</definedName>
    <definedName name="_____OCI1">#REF!</definedName>
    <definedName name="_____PJ50">#REF!</definedName>
    <definedName name="_____pr01">#REF!</definedName>
    <definedName name="_____pr02">#REF!</definedName>
    <definedName name="_____pr03">#REF!</definedName>
    <definedName name="_____pr04">#REF!</definedName>
    <definedName name="_____pr05">#REF!</definedName>
    <definedName name="_____pr06">#REF!</definedName>
    <definedName name="_____pr07">#REF!</definedName>
    <definedName name="_____pr08">#REF!</definedName>
    <definedName name="_____pr09">#REF!</definedName>
    <definedName name="_____pr10">#REF!</definedName>
    <definedName name="_____pr11">#REF!</definedName>
    <definedName name="_____pr12">#REF!</definedName>
    <definedName name="_____pr13">#REF!</definedName>
    <definedName name="_____pr14">#REF!</definedName>
    <definedName name="_____pr15">#REF!</definedName>
    <definedName name="_____pr16">#REF!</definedName>
    <definedName name="_____pr17">#REF!</definedName>
    <definedName name="_____pr18">#REF!</definedName>
    <definedName name="_____pr19">#REF!</definedName>
    <definedName name="_____pr20">#REF!</definedName>
    <definedName name="_____pr21">#REF!</definedName>
    <definedName name="_____pr22">#REF!</definedName>
    <definedName name="_____pr23">#REF!</definedName>
    <definedName name="_____pr24">#REF!</definedName>
    <definedName name="_____pr25">#REF!</definedName>
    <definedName name="_____pr26">#REF!</definedName>
    <definedName name="_____pr27">#REF!</definedName>
    <definedName name="_____pr28">#REF!</definedName>
    <definedName name="_____pr29">#REF!</definedName>
    <definedName name="_____pr30">#REF!</definedName>
    <definedName name="_____pr31">#REF!</definedName>
    <definedName name="_____pr32">#REF!</definedName>
    <definedName name="_____pr33">#REF!</definedName>
    <definedName name="_____pr34">#REF!</definedName>
    <definedName name="_____pr35">#REF!</definedName>
    <definedName name="_____pr36">#REF!</definedName>
    <definedName name="_____pr37">#REF!</definedName>
    <definedName name="_____pr38">#REF!</definedName>
    <definedName name="_____pr39">#REF!</definedName>
    <definedName name="_____pr40">#REF!</definedName>
    <definedName name="_____pr41">#REF!</definedName>
    <definedName name="_____pr42">#REF!</definedName>
    <definedName name="_____pr43">#REF!</definedName>
    <definedName name="_____pr44">#REF!</definedName>
    <definedName name="_____pr45">#REF!</definedName>
    <definedName name="_____pr46">#REF!</definedName>
    <definedName name="_____pr47">#REF!</definedName>
    <definedName name="_____pr48">#REF!</definedName>
    <definedName name="_____pr49">#REF!</definedName>
    <definedName name="_____pr50">#REF!</definedName>
    <definedName name="_____pr51">#REF!</definedName>
    <definedName name="_____pr52">#REF!</definedName>
    <definedName name="_____pr53">#REF!</definedName>
    <definedName name="_____pr54">#REF!</definedName>
    <definedName name="_____pr55">#REF!</definedName>
    <definedName name="_____pr56">#REF!</definedName>
    <definedName name="_____pr57">#REF!</definedName>
    <definedName name="_____pr58">#REF!</definedName>
    <definedName name="_____pr59">#REF!</definedName>
    <definedName name="_____pr60">#REF!</definedName>
    <definedName name="_____pr61">#REF!</definedName>
    <definedName name="_____pr62">#REF!</definedName>
    <definedName name="_____pr63">#REF!</definedName>
    <definedName name="_____pr64">#REF!</definedName>
    <definedName name="_____pr65">#REF!</definedName>
    <definedName name="_____pr66">#REF!</definedName>
    <definedName name="_____pr67">#REF!</definedName>
    <definedName name="_____pr68">#REF!</definedName>
    <definedName name="_____pr69">#REF!</definedName>
    <definedName name="_____pr70">#REF!</definedName>
    <definedName name="_____pr71">#REF!</definedName>
    <definedName name="_____pr72">#REF!</definedName>
    <definedName name="_____SBC1">#REF!</definedName>
    <definedName name="_____SBC3">#REF!</definedName>
    <definedName name="_____SBC5">#REF!</definedName>
    <definedName name="_____VEX1">#REF!</definedName>
    <definedName name="_____VFA1">#REF!</definedName>
    <definedName name="_____VIT1">#REF!</definedName>
    <definedName name="_____VPR1">#REF!</definedName>
    <definedName name="_____VPR2">#REF!</definedName>
    <definedName name="_____VRP1">#REF!</definedName>
    <definedName name="_____VSM1">#REF!</definedName>
    <definedName name="____AFC1">#REF!</definedName>
    <definedName name="____AFC3">#REF!</definedName>
    <definedName name="____AFC5">#REF!</definedName>
    <definedName name="____ane7">#REF!</definedName>
    <definedName name="____ane8">#REF!</definedName>
    <definedName name="____Atp2">#REF!</definedName>
    <definedName name="____BGC1">#REF!</definedName>
    <definedName name="____BGC3">#REF!</definedName>
    <definedName name="____BGC5">#REF!</definedName>
    <definedName name="____CAC1">#REF!</definedName>
    <definedName name="____CAC3">#REF!</definedName>
    <definedName name="____CAC5">#REF!</definedName>
    <definedName name="____COM1">#REF!</definedName>
    <definedName name="____COM10">#REF!</definedName>
    <definedName name="____COM11">#REF!</definedName>
    <definedName name="____COM12">#REF!</definedName>
    <definedName name="____COM13">#REF!</definedName>
    <definedName name="____COM14">#REF!</definedName>
    <definedName name="____COM15">#REF!</definedName>
    <definedName name="____COM16">#REF!</definedName>
    <definedName name="____COM17">#REF!</definedName>
    <definedName name="____COM18">#REF!</definedName>
    <definedName name="____COM19">#REF!</definedName>
    <definedName name="____COM2">#REF!</definedName>
    <definedName name="____COM20">#REF!</definedName>
    <definedName name="____COM21">#REF!</definedName>
    <definedName name="____COM3">#REF!</definedName>
    <definedName name="____COM4">#REF!</definedName>
    <definedName name="____COM5">#REF!</definedName>
    <definedName name="____COM6">#REF!</definedName>
    <definedName name="____COM7">#REF!</definedName>
    <definedName name="____COM8">#REF!</definedName>
    <definedName name="____COM9">#REF!</definedName>
    <definedName name="____DCI1">#REF!</definedName>
    <definedName name="____DDS1">#REF!</definedName>
    <definedName name="____DGO1">#REF!</definedName>
    <definedName name="____DGP1">#REF!</definedName>
    <definedName name="____DIJ1">#REF!</definedName>
    <definedName name="____DPI1">#REF!</definedName>
    <definedName name="____DPY1">#REF!</definedName>
    <definedName name="____DRI1">#REF!</definedName>
    <definedName name="____DRL1">#REF!</definedName>
    <definedName name="____DSP1">#REF!</definedName>
    <definedName name="____ECP1">#REF!</definedName>
    <definedName name="____ICP1">#REF!</definedName>
    <definedName name="____LEY80">#REF!</definedName>
    <definedName name="____MA2">#REF!</definedName>
    <definedName name="____OCD1">#REF!</definedName>
    <definedName name="____OCI1">#REF!</definedName>
    <definedName name="____PJ50">#REF!</definedName>
    <definedName name="____pj51">#REF!</definedName>
    <definedName name="____pr01">#REF!</definedName>
    <definedName name="____pr02">#REF!</definedName>
    <definedName name="____pr03">#REF!</definedName>
    <definedName name="____pr04">#REF!</definedName>
    <definedName name="____pr05">#REF!</definedName>
    <definedName name="____pr06">#REF!</definedName>
    <definedName name="____pr07">#REF!</definedName>
    <definedName name="____pr08">#REF!</definedName>
    <definedName name="____pr09">#REF!</definedName>
    <definedName name="____pr10">#REF!</definedName>
    <definedName name="____pr11">#REF!</definedName>
    <definedName name="____pr12">#REF!</definedName>
    <definedName name="____pr13">#REF!</definedName>
    <definedName name="____pr14">#REF!</definedName>
    <definedName name="____pr15">#REF!</definedName>
    <definedName name="____pr16">#REF!</definedName>
    <definedName name="____pr17">#REF!</definedName>
    <definedName name="____pr18">#REF!</definedName>
    <definedName name="____pr19">#REF!</definedName>
    <definedName name="____pr20">#REF!</definedName>
    <definedName name="____pr21">#REF!</definedName>
    <definedName name="____pr22">#REF!</definedName>
    <definedName name="____pr23">#REF!</definedName>
    <definedName name="____pr24">#REF!</definedName>
    <definedName name="____pr25">#REF!</definedName>
    <definedName name="____pr26">#REF!</definedName>
    <definedName name="____pr27">#REF!</definedName>
    <definedName name="____pr28">#REF!</definedName>
    <definedName name="____pr29">#REF!</definedName>
    <definedName name="____pr30">#REF!</definedName>
    <definedName name="____pr31">#REF!</definedName>
    <definedName name="____pr32">#REF!</definedName>
    <definedName name="____pr33">#REF!</definedName>
    <definedName name="____pr34">#REF!</definedName>
    <definedName name="____pr35">#REF!</definedName>
    <definedName name="____pr36">#REF!</definedName>
    <definedName name="____pr37">#REF!</definedName>
    <definedName name="____pr38">#REF!</definedName>
    <definedName name="____pr39">#REF!</definedName>
    <definedName name="____pr40">#REF!</definedName>
    <definedName name="____pr41">#REF!</definedName>
    <definedName name="____pr42">#REF!</definedName>
    <definedName name="____pr43">#REF!</definedName>
    <definedName name="____pr44">#REF!</definedName>
    <definedName name="____pr45">#REF!</definedName>
    <definedName name="____pr46">#REF!</definedName>
    <definedName name="____pr47">#REF!</definedName>
    <definedName name="____pr48">#REF!</definedName>
    <definedName name="____pr49">#REF!</definedName>
    <definedName name="____pr50">#REF!</definedName>
    <definedName name="____pr51">#REF!</definedName>
    <definedName name="____pr52">#REF!</definedName>
    <definedName name="____pr53">#REF!</definedName>
    <definedName name="____pr54">#REF!</definedName>
    <definedName name="____pr55">#REF!</definedName>
    <definedName name="____pr56">#REF!</definedName>
    <definedName name="____pr57">#REF!</definedName>
    <definedName name="____pr58">#REF!</definedName>
    <definedName name="____pr59">#REF!</definedName>
    <definedName name="____pr60">#REF!</definedName>
    <definedName name="____pr61">#REF!</definedName>
    <definedName name="____pr62">#REF!</definedName>
    <definedName name="____pr63">#REF!</definedName>
    <definedName name="____pr64">#REF!</definedName>
    <definedName name="____pr65">#REF!</definedName>
    <definedName name="____pr66">#REF!</definedName>
    <definedName name="____pr67">#REF!</definedName>
    <definedName name="____pr68">#REF!</definedName>
    <definedName name="____pr69">#REF!</definedName>
    <definedName name="____pr70">#REF!</definedName>
    <definedName name="____pr71">#REF!</definedName>
    <definedName name="____pr72">#REF!</definedName>
    <definedName name="____SBC1">#REF!</definedName>
    <definedName name="____SBC3">#REF!</definedName>
    <definedName name="____SBC5">#REF!</definedName>
    <definedName name="____TOP1">#REF!</definedName>
    <definedName name="____TOP10">#REF!</definedName>
    <definedName name="____TOP2">#REF!</definedName>
    <definedName name="____TOP3">#REF!</definedName>
    <definedName name="____TOP4">#REF!</definedName>
    <definedName name="____TOP5">#REF!</definedName>
    <definedName name="____TOP6">#REF!</definedName>
    <definedName name="____TOP7">#REF!</definedName>
    <definedName name="____TOP8">#REF!</definedName>
    <definedName name="____TOP9">#REF!</definedName>
    <definedName name="____VEX1">#REF!</definedName>
    <definedName name="____VFA1">#REF!</definedName>
    <definedName name="____VIT1">#REF!</definedName>
    <definedName name="____VPR1">#REF!</definedName>
    <definedName name="____VPR2">#REF!</definedName>
    <definedName name="____VRP1">#REF!</definedName>
    <definedName name="____VSM1">#REF!</definedName>
    <definedName name="___AFC1">#REF!</definedName>
    <definedName name="___AFC3">#REF!</definedName>
    <definedName name="___AFC5">#REF!</definedName>
    <definedName name="___ane7">#REF!</definedName>
    <definedName name="___ane8">#REF!</definedName>
    <definedName name="___Atp2">#REF!</definedName>
    <definedName name="___BGC1">#REF!</definedName>
    <definedName name="___BGC3">#REF!</definedName>
    <definedName name="___BGC5">#REF!</definedName>
    <definedName name="___CAC1">#REF!</definedName>
    <definedName name="___CAC3">#REF!</definedName>
    <definedName name="___CAC5">#REF!</definedName>
    <definedName name="___COM1">#REF!</definedName>
    <definedName name="___COM10">#REF!</definedName>
    <definedName name="___COM11">#REF!</definedName>
    <definedName name="___COM12">#REF!</definedName>
    <definedName name="___COM13">#REF!</definedName>
    <definedName name="___COM14">#REF!</definedName>
    <definedName name="___COM15">#REF!</definedName>
    <definedName name="___COM16">#REF!</definedName>
    <definedName name="___COM17">#REF!</definedName>
    <definedName name="___COM18">#REF!</definedName>
    <definedName name="___COM19">#REF!</definedName>
    <definedName name="___COM2">#REF!</definedName>
    <definedName name="___COM20">#REF!</definedName>
    <definedName name="___COM21">#REF!</definedName>
    <definedName name="___COM3">#REF!</definedName>
    <definedName name="___COM4">#REF!</definedName>
    <definedName name="___COM5">#REF!</definedName>
    <definedName name="___COM6">#REF!</definedName>
    <definedName name="___COM7">#REF!</definedName>
    <definedName name="___COM8">#REF!</definedName>
    <definedName name="___COM9">#REF!</definedName>
    <definedName name="___DCI1">#REF!</definedName>
    <definedName name="___DDS1">#REF!</definedName>
    <definedName name="___DGO1">#REF!</definedName>
    <definedName name="___DGP1">#REF!</definedName>
    <definedName name="___DIJ1">#REF!</definedName>
    <definedName name="___DPI1">#REF!</definedName>
    <definedName name="___DPY1">#REF!</definedName>
    <definedName name="___DRI1">#REF!</definedName>
    <definedName name="___DRL1">#REF!</definedName>
    <definedName name="___DSP1">#REF!</definedName>
    <definedName name="___ECP1">#REF!</definedName>
    <definedName name="___ICP1">#REF!</definedName>
    <definedName name="___key2" hidden="1">#REF!</definedName>
    <definedName name="___key3" hidden="1">#REF!</definedName>
    <definedName name="___key31" hidden="1">#REF!</definedName>
    <definedName name="___LEY80">#REF!</definedName>
    <definedName name="___MA2">#REF!</definedName>
    <definedName name="___OCD1">#REF!</definedName>
    <definedName name="___OCI1">#REF!</definedName>
    <definedName name="___PJ50">#REF!</definedName>
    <definedName name="___pj51">#REF!</definedName>
    <definedName name="___pr01">#REF!</definedName>
    <definedName name="___pr02">#REF!</definedName>
    <definedName name="___pr03">#REF!</definedName>
    <definedName name="___pr04">#REF!</definedName>
    <definedName name="___pr05">#REF!</definedName>
    <definedName name="___pr06">#REF!</definedName>
    <definedName name="___pr07">#REF!</definedName>
    <definedName name="___pr08">#REF!</definedName>
    <definedName name="___pr09">#REF!</definedName>
    <definedName name="___pr10">#REF!</definedName>
    <definedName name="___pr11">#REF!</definedName>
    <definedName name="___pr12">#REF!</definedName>
    <definedName name="___pr13">#REF!</definedName>
    <definedName name="___pr14">#REF!</definedName>
    <definedName name="___pr15">#REF!</definedName>
    <definedName name="___pr16">#REF!</definedName>
    <definedName name="___pr17">#REF!</definedName>
    <definedName name="___pr18">#REF!</definedName>
    <definedName name="___pr19">#REF!</definedName>
    <definedName name="___pr20">#REF!</definedName>
    <definedName name="___pr21">#REF!</definedName>
    <definedName name="___pr22">#REF!</definedName>
    <definedName name="___pr23">#REF!</definedName>
    <definedName name="___pr24">#REF!</definedName>
    <definedName name="___pr25">#REF!</definedName>
    <definedName name="___pr26">#REF!</definedName>
    <definedName name="___pr27">#REF!</definedName>
    <definedName name="___pr28">#REF!</definedName>
    <definedName name="___pr29">#REF!</definedName>
    <definedName name="___pr30">#REF!</definedName>
    <definedName name="___pr31">#REF!</definedName>
    <definedName name="___pr32">#REF!</definedName>
    <definedName name="___pr33">#REF!</definedName>
    <definedName name="___pr34">#REF!</definedName>
    <definedName name="___pr35">#REF!</definedName>
    <definedName name="___pr36">#REF!</definedName>
    <definedName name="___pr37">#REF!</definedName>
    <definedName name="___pr38">#REF!</definedName>
    <definedName name="___pr39">#REF!</definedName>
    <definedName name="___pr40">#REF!</definedName>
    <definedName name="___pr41">#REF!</definedName>
    <definedName name="___pr42">#REF!</definedName>
    <definedName name="___pr43">#REF!</definedName>
    <definedName name="___pr44">#REF!</definedName>
    <definedName name="___pr45">#REF!</definedName>
    <definedName name="___pr46">#REF!</definedName>
    <definedName name="___pr47">#REF!</definedName>
    <definedName name="___pr48">#REF!</definedName>
    <definedName name="___pr49">#REF!</definedName>
    <definedName name="___pr50">#REF!</definedName>
    <definedName name="___pr51">#REF!</definedName>
    <definedName name="___pr52">#REF!</definedName>
    <definedName name="___pr53">#REF!</definedName>
    <definedName name="___pr54">#REF!</definedName>
    <definedName name="___pr55">#REF!</definedName>
    <definedName name="___pr56">#REF!</definedName>
    <definedName name="___pr57">#REF!</definedName>
    <definedName name="___pr58">#REF!</definedName>
    <definedName name="___pr59">#REF!</definedName>
    <definedName name="___pr60">#REF!</definedName>
    <definedName name="___pr61">#REF!</definedName>
    <definedName name="___pr62">#REF!</definedName>
    <definedName name="___pr63">#REF!</definedName>
    <definedName name="___pr64">#REF!</definedName>
    <definedName name="___pr65">#REF!</definedName>
    <definedName name="___pr66">#REF!</definedName>
    <definedName name="___pr67">#REF!</definedName>
    <definedName name="___pr68">#REF!</definedName>
    <definedName name="___pr69">#REF!</definedName>
    <definedName name="___pr70">#REF!</definedName>
    <definedName name="___pr71">#REF!</definedName>
    <definedName name="___pr72">#REF!</definedName>
    <definedName name="___SBC1">#REF!</definedName>
    <definedName name="___SBC3">#REF!</definedName>
    <definedName name="___SBC5">#REF!</definedName>
    <definedName name="___TOP1">#REF!</definedName>
    <definedName name="___TOP10">#REF!</definedName>
    <definedName name="___TOP2">#REF!</definedName>
    <definedName name="___TOP3">#REF!</definedName>
    <definedName name="___TOP4">#REF!</definedName>
    <definedName name="___TOP5">#REF!</definedName>
    <definedName name="___TOP6">#REF!</definedName>
    <definedName name="___TOP7">#REF!</definedName>
    <definedName name="___TOP8">#REF!</definedName>
    <definedName name="___TOP9">#REF!</definedName>
    <definedName name="___VEX1">#REF!</definedName>
    <definedName name="___VFA1">#REF!</definedName>
    <definedName name="___VIT1">#REF!</definedName>
    <definedName name="___VPR1">#REF!</definedName>
    <definedName name="___VPR2">#REF!</definedName>
    <definedName name="___VRP1">#REF!</definedName>
    <definedName name="___VSM1">#REF!</definedName>
    <definedName name="__123Graph_A" hidden="1">#REF!</definedName>
    <definedName name="__123Graph_B" hidden="1">#REF!</definedName>
    <definedName name="__AFC1">#REF!</definedName>
    <definedName name="__AFC3">#REF!</definedName>
    <definedName name="__AFC5">#REF!</definedName>
    <definedName name="__ane7">#REF!</definedName>
    <definedName name="__ane8">#REF!</definedName>
    <definedName name="__Atp2">#REF!</definedName>
    <definedName name="__BGC1">#REF!</definedName>
    <definedName name="__BGC3">#REF!</definedName>
    <definedName name="__BGC5">#REF!</definedName>
    <definedName name="__CAC1">#REF!</definedName>
    <definedName name="__CAC3">#REF!</definedName>
    <definedName name="__CAC5">#REF!</definedName>
    <definedName name="__Cod1">#REF!</definedName>
    <definedName name="__COM1">#REF!</definedName>
    <definedName name="__COM10">#REF!</definedName>
    <definedName name="__COM11">#REF!</definedName>
    <definedName name="__COM12">#REF!</definedName>
    <definedName name="__COM13">#REF!</definedName>
    <definedName name="__COM14">#REF!</definedName>
    <definedName name="__COM15">#REF!</definedName>
    <definedName name="__COM16">#REF!</definedName>
    <definedName name="__COM17">#REF!</definedName>
    <definedName name="__COM18">#REF!</definedName>
    <definedName name="__COM19">#REF!</definedName>
    <definedName name="__COM2">#REF!</definedName>
    <definedName name="__COM20">#REF!</definedName>
    <definedName name="__COM21">#REF!</definedName>
    <definedName name="__COM3">#REF!</definedName>
    <definedName name="__COM4">#REF!</definedName>
    <definedName name="__COM5">#REF!</definedName>
    <definedName name="__COM6">#REF!</definedName>
    <definedName name="__COM7">#REF!</definedName>
    <definedName name="__COM8">#REF!</definedName>
    <definedName name="__COM9">#REF!</definedName>
    <definedName name="__DCI1">#REF!</definedName>
    <definedName name="__DDS1">#REF!</definedName>
    <definedName name="__DGO1">#REF!</definedName>
    <definedName name="__DGP1">#REF!</definedName>
    <definedName name="__DIJ1">#REF!</definedName>
    <definedName name="__DPI1">#REF!</definedName>
    <definedName name="__DPY1">#REF!</definedName>
    <definedName name="__DRI1">#REF!</definedName>
    <definedName name="__DRL1">#REF!</definedName>
    <definedName name="__DSP1">#REF!</definedName>
    <definedName name="__ECP1">#REF!</definedName>
    <definedName name="__F">[0]!ERR</definedName>
    <definedName name="__FS01">[0]!ERR</definedName>
    <definedName name="__ICP1">#REF!</definedName>
    <definedName name="__key2" hidden="1">#REF!</definedName>
    <definedName name="__key21" hidden="1">#REF!</definedName>
    <definedName name="__key3" hidden="1">#REF!</definedName>
    <definedName name="__key31" hidden="1">#REF!</definedName>
    <definedName name="__LEY80">#REF!</definedName>
    <definedName name="__MA2">#REF!</definedName>
    <definedName name="__mun2">#REF!</definedName>
    <definedName name="__num10">#REF!</definedName>
    <definedName name="__num2">#REF!</definedName>
    <definedName name="__num3">#REF!</definedName>
    <definedName name="__num4">#REF!</definedName>
    <definedName name="__num5">#REF!</definedName>
    <definedName name="__num6">#REF!</definedName>
    <definedName name="__num7">#REF!</definedName>
    <definedName name="__num8">#REF!</definedName>
    <definedName name="__num9">#REF!</definedName>
    <definedName name="__OCD1">#REF!</definedName>
    <definedName name="__OCI1">#REF!</definedName>
    <definedName name="__Pa1">#REF!</definedName>
    <definedName name="__Pa2">#REF!</definedName>
    <definedName name="__Pa3">#REF!</definedName>
    <definedName name="__Pa4">#REF!</definedName>
    <definedName name="__PJ50">#REF!</definedName>
    <definedName name="__pj51">#REF!</definedName>
    <definedName name="__pr01">#REF!</definedName>
    <definedName name="__pr02">#REF!</definedName>
    <definedName name="__pr03">#REF!</definedName>
    <definedName name="__pr04">#REF!</definedName>
    <definedName name="__pr05">#REF!</definedName>
    <definedName name="__pr06">#REF!</definedName>
    <definedName name="__pr07">#REF!</definedName>
    <definedName name="__pr08">#REF!</definedName>
    <definedName name="__pr09">#REF!</definedName>
    <definedName name="__pr10">#REF!</definedName>
    <definedName name="__pr11">#REF!</definedName>
    <definedName name="__pr12">#REF!</definedName>
    <definedName name="__pr13">#REF!</definedName>
    <definedName name="__pr14">#REF!</definedName>
    <definedName name="__pr15">#REF!</definedName>
    <definedName name="__pr16">#REF!</definedName>
    <definedName name="__pr17">#REF!</definedName>
    <definedName name="__pr18">#REF!</definedName>
    <definedName name="__pr19">#REF!</definedName>
    <definedName name="__pr20">#REF!</definedName>
    <definedName name="__pr21">#REF!</definedName>
    <definedName name="__pr22">#REF!</definedName>
    <definedName name="__pr23">#REF!</definedName>
    <definedName name="__pr24">#REF!</definedName>
    <definedName name="__pr25">#REF!</definedName>
    <definedName name="__pr26">#REF!</definedName>
    <definedName name="__pr27">#REF!</definedName>
    <definedName name="__pr28">#REF!</definedName>
    <definedName name="__pr29">#REF!</definedName>
    <definedName name="__pr30">#REF!</definedName>
    <definedName name="__pr31">#REF!</definedName>
    <definedName name="__pr32">#REF!</definedName>
    <definedName name="__pr33">#REF!</definedName>
    <definedName name="__pr34">#REF!</definedName>
    <definedName name="__pr35">#REF!</definedName>
    <definedName name="__pr36">#REF!</definedName>
    <definedName name="__pr37">#REF!</definedName>
    <definedName name="__pr38">#REF!</definedName>
    <definedName name="__pr39">#REF!</definedName>
    <definedName name="__pr40">#REF!</definedName>
    <definedName name="__pr41">#REF!</definedName>
    <definedName name="__pr42">#REF!</definedName>
    <definedName name="__pr43">#REF!</definedName>
    <definedName name="__pr44">#REF!</definedName>
    <definedName name="__pr45">#REF!</definedName>
    <definedName name="__pr46">#REF!</definedName>
    <definedName name="__pr47">#REF!</definedName>
    <definedName name="__pr48">#REF!</definedName>
    <definedName name="__pr49">#REF!</definedName>
    <definedName name="__pr50">#REF!</definedName>
    <definedName name="__pr51">#REF!</definedName>
    <definedName name="__pr52">#REF!</definedName>
    <definedName name="__pr53">#REF!</definedName>
    <definedName name="__pr54">#REF!</definedName>
    <definedName name="__pr55">#REF!</definedName>
    <definedName name="__pr56">#REF!</definedName>
    <definedName name="__pr57">#REF!</definedName>
    <definedName name="__pr58">#REF!</definedName>
    <definedName name="__pr59">#REF!</definedName>
    <definedName name="__pr60">#REF!</definedName>
    <definedName name="__pr61">#REF!</definedName>
    <definedName name="__pr62">#REF!</definedName>
    <definedName name="__pr63">#REF!</definedName>
    <definedName name="__pr64">#REF!</definedName>
    <definedName name="__pr65">#REF!</definedName>
    <definedName name="__pr66">#REF!</definedName>
    <definedName name="__pr67">#REF!</definedName>
    <definedName name="__pr68">#REF!</definedName>
    <definedName name="__pr69">#REF!</definedName>
    <definedName name="__pr70">#REF!</definedName>
    <definedName name="__pr71">#REF!</definedName>
    <definedName name="__pr72">#REF!</definedName>
    <definedName name="__ref4">#REF!</definedName>
    <definedName name="__SBC1">#REF!</definedName>
    <definedName name="__SBC3">#REF!</definedName>
    <definedName name="__SBC5">#REF!</definedName>
    <definedName name="__TOP1">#REF!</definedName>
    <definedName name="__TOP10">#REF!</definedName>
    <definedName name="__TOP2">#REF!</definedName>
    <definedName name="__TOP3">#REF!</definedName>
    <definedName name="__TOP4">#REF!</definedName>
    <definedName name="__TOP5">#REF!</definedName>
    <definedName name="__TOP6">#REF!</definedName>
    <definedName name="__TOP7">#REF!</definedName>
    <definedName name="__TOP8">#REF!</definedName>
    <definedName name="__TOP9">#REF!</definedName>
    <definedName name="__TOT1">#REF!</definedName>
    <definedName name="__VEX1">#REF!</definedName>
    <definedName name="__VFA1">#REF!</definedName>
    <definedName name="__VIT1">#REF!</definedName>
    <definedName name="__VPR1">#REF!</definedName>
    <definedName name="__VPR2">#REF!</definedName>
    <definedName name="__VRP1">#REF!</definedName>
    <definedName name="__VSM1">#REF!</definedName>
    <definedName name="_1">#REF!</definedName>
    <definedName name="_1_25">#REF!</definedName>
    <definedName name="_116B">#REF!</definedName>
    <definedName name="_117A">#REF!</definedName>
    <definedName name="_117B">#REF!</definedName>
    <definedName name="_120A">#REF!</definedName>
    <definedName name="_120B">#REF!</definedName>
    <definedName name="_121A">#REF!</definedName>
    <definedName name="_121B">#REF!</definedName>
    <definedName name="_122A">#REF!</definedName>
    <definedName name="_122B">#REF!</definedName>
    <definedName name="_123A">#REF!</definedName>
    <definedName name="_123B">#REF!</definedName>
    <definedName name="_124A">#REF!</definedName>
    <definedName name="_124B">#REF!</definedName>
    <definedName name="_125A">#REF!</definedName>
    <definedName name="_125B">#REF!</definedName>
    <definedName name="_126A">#REF!</definedName>
    <definedName name="_126B">#REF!</definedName>
    <definedName name="_130A">#REF!</definedName>
    <definedName name="_130B">#REF!</definedName>
    <definedName name="_131A">#REF!</definedName>
    <definedName name="_131B">#REF!</definedName>
    <definedName name="_132A">#REF!</definedName>
    <definedName name="_132B">#REF!</definedName>
    <definedName name="_133A">#REF!</definedName>
    <definedName name="_133B">#REF!</definedName>
    <definedName name="_134A">#REF!</definedName>
    <definedName name="_134B">#REF!</definedName>
    <definedName name="_150A">#REF!</definedName>
    <definedName name="_150B">#REF!</definedName>
    <definedName name="_151A">#REF!</definedName>
    <definedName name="_151B">#REF!</definedName>
    <definedName name="_152A">#REF!</definedName>
    <definedName name="_152B">#REF!</definedName>
    <definedName name="_153A">#REF!</definedName>
    <definedName name="_153B">#REF!</definedName>
    <definedName name="_154A">#REF!</definedName>
    <definedName name="_154B">#REF!</definedName>
    <definedName name="_160A">#REF!</definedName>
    <definedName name="_160B">#REF!</definedName>
    <definedName name="_161A">#REF!</definedName>
    <definedName name="_161B">#REF!</definedName>
    <definedName name="_162A">#REF!</definedName>
    <definedName name="_162B">#REF!</definedName>
    <definedName name="_163A">#REF!</definedName>
    <definedName name="_163B">#REF!</definedName>
    <definedName name="_164A">#REF!</definedName>
    <definedName name="_164B">#REF!</definedName>
    <definedName name="_165A">#REF!</definedName>
    <definedName name="_165B">#REF!</definedName>
    <definedName name="_166A">#REF!</definedName>
    <definedName name="_166B">#REF!</definedName>
    <definedName name="_167A">#REF!</definedName>
    <definedName name="_167B">#REF!</definedName>
    <definedName name="_170A">#REF!</definedName>
    <definedName name="_170B">#REF!</definedName>
    <definedName name="_171A">#REF!</definedName>
    <definedName name="_171B">#REF!</definedName>
    <definedName name="_172A">#REF!</definedName>
    <definedName name="_172B">#REF!</definedName>
    <definedName name="_173A">#REF!</definedName>
    <definedName name="_173B">#REF!</definedName>
    <definedName name="_174A">#REF!</definedName>
    <definedName name="_174B">#REF!</definedName>
    <definedName name="_175A">#REF!</definedName>
    <definedName name="_175B">#REF!</definedName>
    <definedName name="_18_Dic">#REF!</definedName>
    <definedName name="_180A">#REF!</definedName>
    <definedName name="_180B">#REF!</definedName>
    <definedName name="_181A">#REF!</definedName>
    <definedName name="_181B">#REF!</definedName>
    <definedName name="_182A">#REF!</definedName>
    <definedName name="_182B">#REF!</definedName>
    <definedName name="_183A">#REF!</definedName>
    <definedName name="_183B">#REF!</definedName>
    <definedName name="_184A">#REF!</definedName>
    <definedName name="_184B">#REF!</definedName>
    <definedName name="_185A">#REF!</definedName>
    <definedName name="_185B">#REF!</definedName>
    <definedName name="_190A">#REF!</definedName>
    <definedName name="_190B">#REF!</definedName>
    <definedName name="_191A">#REF!</definedName>
    <definedName name="_191B">#REF!</definedName>
    <definedName name="_192A">#REF!</definedName>
    <definedName name="_192B">#REF!</definedName>
    <definedName name="_193A">#REF!</definedName>
    <definedName name="_193B">#REF!</definedName>
    <definedName name="_194A">#REF!</definedName>
    <definedName name="_194B">#REF!</definedName>
    <definedName name="_195A">#REF!</definedName>
    <definedName name="_195B">#REF!</definedName>
    <definedName name="_196A">#REF!</definedName>
    <definedName name="_196B">#REF!</definedName>
    <definedName name="_197A">#REF!</definedName>
    <definedName name="_197B">#REF!</definedName>
    <definedName name="_1ane_o10">#REF!</definedName>
    <definedName name="_2_5__TOTAL_DE_MATERIALES_A_EXPORTAR">#REF!</definedName>
    <definedName name="_200A">#REF!</definedName>
    <definedName name="_200B">#REF!</definedName>
    <definedName name="_201A">#REF!</definedName>
    <definedName name="_201B">#REF!</definedName>
    <definedName name="_202A">#REF!</definedName>
    <definedName name="_202B">#REF!</definedName>
    <definedName name="_203A">#REF!</definedName>
    <definedName name="_203B">#REF!</definedName>
    <definedName name="_204A">#REF!</definedName>
    <definedName name="_204B">#REF!</definedName>
    <definedName name="_205A">#REF!</definedName>
    <definedName name="_205B">#REF!</definedName>
    <definedName name="_210A">#REF!</definedName>
    <definedName name="_210B">#REF!</definedName>
    <definedName name="_211A">#REF!</definedName>
    <definedName name="_211B">#REF!</definedName>
    <definedName name="_212A">#REF!</definedName>
    <definedName name="_212B">#REF!</definedName>
    <definedName name="_213A">#REF!</definedName>
    <definedName name="_213B">#REF!</definedName>
    <definedName name="_214A">#REF!</definedName>
    <definedName name="_214B">#REF!</definedName>
    <definedName name="_215A">#REF!</definedName>
    <definedName name="_215B">#REF!</definedName>
    <definedName name="_216A">#REF!</definedName>
    <definedName name="_216B">#REF!</definedName>
    <definedName name="_217A">#REF!</definedName>
    <definedName name="_217B">#REF!</definedName>
    <definedName name="_220A">#REF!</definedName>
    <definedName name="_220B">#REF!</definedName>
    <definedName name="_221A">#REF!</definedName>
    <definedName name="_221B">#REF!</definedName>
    <definedName name="_222A">#REF!</definedName>
    <definedName name="_222B">#REF!</definedName>
    <definedName name="_223A">#REF!</definedName>
    <definedName name="_223B">#REF!</definedName>
    <definedName name="_224A">#REF!</definedName>
    <definedName name="_224B">#REF!</definedName>
    <definedName name="_240A">#REF!</definedName>
    <definedName name="_240B">#REF!</definedName>
    <definedName name="_241A">#REF!</definedName>
    <definedName name="_241B">#REF!</definedName>
    <definedName name="_242A">#REF!</definedName>
    <definedName name="_242B">#REF!</definedName>
    <definedName name="_243A">#REF!</definedName>
    <definedName name="_243B">#REF!</definedName>
    <definedName name="_244A">#REF!</definedName>
    <definedName name="_244B">#REF!</definedName>
    <definedName name="_250A">#REF!</definedName>
    <definedName name="_250B">#REF!</definedName>
    <definedName name="_251A">#REF!</definedName>
    <definedName name="_251B">#REF!</definedName>
    <definedName name="_252A">#REF!</definedName>
    <definedName name="_252B">#REF!</definedName>
    <definedName name="_253A">#REF!</definedName>
    <definedName name="_253B">#REF!</definedName>
    <definedName name="_254A">#REF!</definedName>
    <definedName name="_254B">#REF!</definedName>
    <definedName name="_255A">#REF!</definedName>
    <definedName name="_255B">#REF!</definedName>
    <definedName name="_260A">#REF!</definedName>
    <definedName name="_260B">#REF!</definedName>
    <definedName name="_261A">#REF!</definedName>
    <definedName name="_261B">#REF!</definedName>
    <definedName name="_262A">#REF!</definedName>
    <definedName name="_262B">#REF!</definedName>
    <definedName name="_263A">#REF!</definedName>
    <definedName name="_263B">#REF!</definedName>
    <definedName name="_264A">#REF!</definedName>
    <definedName name="_264B">#REF!</definedName>
    <definedName name="_265A">#REF!</definedName>
    <definedName name="_265B">#REF!</definedName>
    <definedName name="_266A">#REF!</definedName>
    <definedName name="_266B">#REF!</definedName>
    <definedName name="_270A">#REF!</definedName>
    <definedName name="_270B">#REF!</definedName>
    <definedName name="_271A">#REF!</definedName>
    <definedName name="_271B">#REF!</definedName>
    <definedName name="_272A">#REF!</definedName>
    <definedName name="_272B">#REF!</definedName>
    <definedName name="_273A">#REF!</definedName>
    <definedName name="_273B">#REF!</definedName>
    <definedName name="_274A">#REF!</definedName>
    <definedName name="_274B">#REF!</definedName>
    <definedName name="_275A">#REF!</definedName>
    <definedName name="_275B">#REF!</definedName>
    <definedName name="_280A">#REF!</definedName>
    <definedName name="_280B">#REF!</definedName>
    <definedName name="_281A">#REF!</definedName>
    <definedName name="_281B">#REF!</definedName>
    <definedName name="_282A">#REF!</definedName>
    <definedName name="_282B">#REF!</definedName>
    <definedName name="_283A">#REF!</definedName>
    <definedName name="_283B">#REF!</definedName>
    <definedName name="_284A">#REF!</definedName>
    <definedName name="_284B">#REF!</definedName>
    <definedName name="_285A">#REF!</definedName>
    <definedName name="_285B">#REF!</definedName>
    <definedName name="_290A">#REF!</definedName>
    <definedName name="_290B">#REF!</definedName>
    <definedName name="_291A">#REF!</definedName>
    <definedName name="_291B">#REF!</definedName>
    <definedName name="_292A">#REF!</definedName>
    <definedName name="_292B">#REF!</definedName>
    <definedName name="_293A">#REF!</definedName>
    <definedName name="_293B">#REF!</definedName>
    <definedName name="_3ane_o10">#REF!</definedName>
    <definedName name="_4201A">#REF!</definedName>
    <definedName name="_4201B">#REF!</definedName>
    <definedName name="_4202A">#REF!</definedName>
    <definedName name="_4202B">#REF!</definedName>
    <definedName name="_4203A">#REF!</definedName>
    <definedName name="_4203B">#REF!</definedName>
    <definedName name="_4204A">#REF!</definedName>
    <definedName name="_4204B">#REF!</definedName>
    <definedName name="_4206A">#REF!</definedName>
    <definedName name="_4206B">#REF!</definedName>
    <definedName name="_4207A">#REF!</definedName>
    <definedName name="_4207B">#REF!</definedName>
    <definedName name="_4208A">#REF!</definedName>
    <definedName name="_4208B">#REF!</definedName>
    <definedName name="_4209A">#REF!</definedName>
    <definedName name="_4209B">#REF!</definedName>
    <definedName name="_4210A">#REF!</definedName>
    <definedName name="_4210B">#REF!</definedName>
    <definedName name="_4211A">#REF!</definedName>
    <definedName name="_4211B">#REF!</definedName>
    <definedName name="_4212A">#REF!</definedName>
    <definedName name="_4212B">#REF!</definedName>
    <definedName name="_4221A">#REF!</definedName>
    <definedName name="_4221B">#REF!</definedName>
    <definedName name="_4222A">#REF!</definedName>
    <definedName name="_4222B">#REF!</definedName>
    <definedName name="_4231A">#REF!</definedName>
    <definedName name="_4231B">#REF!</definedName>
    <definedName name="_4232A">#REF!</definedName>
    <definedName name="_4232B">#REF!</definedName>
    <definedName name="_4234A">#REF!</definedName>
    <definedName name="_4234B">#REF!</definedName>
    <definedName name="_4235A">#REF!</definedName>
    <definedName name="_4235B">#REF!</definedName>
    <definedName name="_4236A">#REF!</definedName>
    <definedName name="_4236B">#REF!</definedName>
    <definedName name="_4240A">#REF!</definedName>
    <definedName name="_4240B">#REF!</definedName>
    <definedName name="_4243A">#REF!</definedName>
    <definedName name="_4245A">#REF!</definedName>
    <definedName name="_4245B">#REF!</definedName>
    <definedName name="_4246A">#REF!</definedName>
    <definedName name="_4246B">#REF!</definedName>
    <definedName name="_4251A">#REF!</definedName>
    <definedName name="_4251B">#REF!</definedName>
    <definedName name="_4251C">#REF!</definedName>
    <definedName name="_4252A">#REF!</definedName>
    <definedName name="_4252B">#REF!</definedName>
    <definedName name="_4255A">#REF!</definedName>
    <definedName name="_4255B">#REF!</definedName>
    <definedName name="_4257A">#REF!</definedName>
    <definedName name="_4257B">#REF!</definedName>
    <definedName name="_4262A">#REF!</definedName>
    <definedName name="_4262B">#REF!</definedName>
    <definedName name="_4265A">#REF!</definedName>
    <definedName name="_4265B">#REF!</definedName>
    <definedName name="_4270A">#REF!</definedName>
    <definedName name="_4270B">#REF!</definedName>
    <definedName name="_4283A">#REF!</definedName>
    <definedName name="_4283B">#REF!</definedName>
    <definedName name="_4290A">#REF!</definedName>
    <definedName name="_4290B">#REF!</definedName>
    <definedName name="_4294A">#REF!</definedName>
    <definedName name="_4294B">#REF!</definedName>
    <definedName name="_4298A">#REF!</definedName>
    <definedName name="_4298B">#REF!</definedName>
    <definedName name="_911A">#REF!</definedName>
    <definedName name="_912A">#REF!</definedName>
    <definedName name="_921A">#REF!</definedName>
    <definedName name="_922A">#REF!</definedName>
    <definedName name="_a1" hidden="1">{"TAB1",#N/A,TRUE,"GENERAL";"TAB2",#N/A,TRUE,"GENERAL";"TAB3",#N/A,TRUE,"GENERAL";"TAB4",#N/A,TRUE,"GENERAL";"TAB5",#N/A,TRUE,"GENERAL"}</definedName>
    <definedName name="_a3" hidden="1">{"TAB1",#N/A,TRUE,"GENERAL";"TAB2",#N/A,TRUE,"GENERAL";"TAB3",#N/A,TRUE,"GENERAL";"TAB4",#N/A,TRUE,"GENERAL";"TAB5",#N/A,TRUE,"GENERAL"}</definedName>
    <definedName name="_a4" hidden="1">{"via1",#N/A,TRUE,"general";"via2",#N/A,TRUE,"general";"via3",#N/A,TRUE,"general"}</definedName>
    <definedName name="_a5" hidden="1">{"TAB1",#N/A,TRUE,"GENERAL";"TAB2",#N/A,TRUE,"GENERAL";"TAB3",#N/A,TRUE,"GENERAL";"TAB4",#N/A,TRUE,"GENERAL";"TAB5",#N/A,TRUE,"GENERAL"}</definedName>
    <definedName name="_a6" hidden="1">{"TAB1",#N/A,TRUE,"GENERAL";"TAB2",#N/A,TRUE,"GENERAL";"TAB3",#N/A,TRUE,"GENERAL";"TAB4",#N/A,TRUE,"GENERAL";"TAB5",#N/A,TRUE,"GENERAL"}</definedName>
    <definedName name="_AAS1" hidden="1">{#N/A,#N/A,TRUE,"INGENIERIA";#N/A,#N/A,TRUE,"COMPRAS";#N/A,#N/A,TRUE,"DIRECCION";#N/A,#N/A,TRUE,"RESUMEN"}</definedName>
    <definedName name="_ABC1" hidden="1">{#N/A,#N/A,TRUE,"1842CWN0"}</definedName>
    <definedName name="_abc2" hidden="1">{#N/A,#N/A,TRUE,"1842CWN0"}</definedName>
    <definedName name="_AFC1">#REF!</definedName>
    <definedName name="_AFC3">#REF!</definedName>
    <definedName name="_AFC5">#REF!</definedName>
    <definedName name="_ALM1">#REF!</definedName>
    <definedName name="_AND1">#REF!</definedName>
    <definedName name="_ane7">#REF!</definedName>
    <definedName name="_ane8">#REF!</definedName>
    <definedName name="_APU221">#REF!</definedName>
    <definedName name="_APU465">#REF!</definedName>
    <definedName name="_Atp2">#REF!</definedName>
    <definedName name="_b2" hidden="1">{"TAB1",#N/A,TRUE,"GENERAL";"TAB2",#N/A,TRUE,"GENERAL";"TAB3",#N/A,TRUE,"GENERAL";"TAB4",#N/A,TRUE,"GENERAL";"TAB5",#N/A,TRUE,"GENERAL"}</definedName>
    <definedName name="_b3" hidden="1">{"TAB1",#N/A,TRUE,"GENERAL";"TAB2",#N/A,TRUE,"GENERAL";"TAB3",#N/A,TRUE,"GENERAL";"TAB4",#N/A,TRUE,"GENERAL";"TAB5",#N/A,TRUE,"GENERAL"}</definedName>
    <definedName name="_b4" hidden="1">{"TAB1",#N/A,TRUE,"GENERAL";"TAB2",#N/A,TRUE,"GENERAL";"TAB3",#N/A,TRUE,"GENERAL";"TAB4",#N/A,TRUE,"GENERAL";"TAB5",#N/A,TRUE,"GENERAL"}</definedName>
    <definedName name="_b5" hidden="1">{"TAB1",#N/A,TRUE,"GENERAL";"TAB2",#N/A,TRUE,"GENERAL";"TAB3",#N/A,TRUE,"GENERAL";"TAB4",#N/A,TRUE,"GENERAL";"TAB5",#N/A,TRUE,"GENERAL"}</definedName>
    <definedName name="_b6" hidden="1">{"TAB1",#N/A,TRUE,"GENERAL";"TAB2",#N/A,TRUE,"GENERAL";"TAB3",#N/A,TRUE,"GENERAL";"TAB4",#N/A,TRUE,"GENERAL";"TAB5",#N/A,TRUE,"GENERAL"}</definedName>
    <definedName name="_b7" hidden="1">{"via1",#N/A,TRUE,"general";"via2",#N/A,TRUE,"general";"via3",#N/A,TRUE,"general"}</definedName>
    <definedName name="_b8" hidden="1">{"via1",#N/A,TRUE,"general";"via2",#N/A,TRUE,"general";"via3",#N/A,TRUE,"general"}</definedName>
    <definedName name="_bb9" hidden="1">{"TAB1",#N/A,TRUE,"GENERAL";"TAB2",#N/A,TRUE,"GENERAL";"TAB3",#N/A,TRUE,"GENERAL";"TAB4",#N/A,TRUE,"GENERAL";"TAB5",#N/A,TRUE,"GENERAL"}</definedName>
    <definedName name="_bgb5" hidden="1">{"TAB1",#N/A,TRUE,"GENERAL";"TAB2",#N/A,TRUE,"GENERAL";"TAB3",#N/A,TRUE,"GENERAL";"TAB4",#N/A,TRUE,"GENERAL";"TAB5",#N/A,TRUE,"GENERAL"}</definedName>
    <definedName name="_BGC1">#REF!</definedName>
    <definedName name="_BGC3">#REF!</definedName>
    <definedName name="_BGC5">#REF!</definedName>
    <definedName name="_CAC1">#REF!</definedName>
    <definedName name="_CAC3">#REF!</definedName>
    <definedName name="_CAC5">#REF!</definedName>
    <definedName name="_Cod1">#REF!</definedName>
    <definedName name="_COM1">#REF!</definedName>
    <definedName name="_COM10">#REF!</definedName>
    <definedName name="_COM11">#REF!</definedName>
    <definedName name="_COM12">#REF!</definedName>
    <definedName name="_COM13">#REF!</definedName>
    <definedName name="_COM14">#REF!</definedName>
    <definedName name="_COM15">#REF!</definedName>
    <definedName name="_COM16">#REF!</definedName>
    <definedName name="_COM17">#REF!</definedName>
    <definedName name="_COM18">#REF!</definedName>
    <definedName name="_COM19">#REF!</definedName>
    <definedName name="_COM2">#REF!</definedName>
    <definedName name="_COM20">#REF!</definedName>
    <definedName name="_COM21">#REF!</definedName>
    <definedName name="_COM3">#REF!</definedName>
    <definedName name="_COM4">#REF!</definedName>
    <definedName name="_COM5">#REF!</definedName>
    <definedName name="_COM6">#REF!</definedName>
    <definedName name="_COM7">#REF!</definedName>
    <definedName name="_COM8">#REF!</definedName>
    <definedName name="_COM9">#REF!</definedName>
    <definedName name="_DCI1">#REF!</definedName>
    <definedName name="_DDS1">#REF!</definedName>
    <definedName name="_DGO1">#REF!</definedName>
    <definedName name="_DGP1">#REF!</definedName>
    <definedName name="_DIJ1">#REF!</definedName>
    <definedName name="_DPI1">#REF!</definedName>
    <definedName name="_DPY1">#REF!</definedName>
    <definedName name="_DRI1">#REF!</definedName>
    <definedName name="_DRL1">#REF!</definedName>
    <definedName name="_DSP1">#REF!</definedName>
    <definedName name="_ECP1">#REF!</definedName>
    <definedName name="_EST1">#REF!</definedName>
    <definedName name="_EST10">#REF!</definedName>
    <definedName name="_EST11">#REF!</definedName>
    <definedName name="_EST12">#REF!</definedName>
    <definedName name="_EST13">#REF!</definedName>
    <definedName name="_EST14">#REF!</definedName>
    <definedName name="_EST15">#REF!</definedName>
    <definedName name="_EST16">#REF!</definedName>
    <definedName name="_EST17">#REF!</definedName>
    <definedName name="_EST18">#REF!</definedName>
    <definedName name="_EST19">#REF!</definedName>
    <definedName name="_EST2">#REF!</definedName>
    <definedName name="_EST3">#REF!</definedName>
    <definedName name="_EST4">#REF!</definedName>
    <definedName name="_EST5">#REF!</definedName>
    <definedName name="_EST6">#REF!</definedName>
    <definedName name="_EST7">#REF!</definedName>
    <definedName name="_EST8">#REF!</definedName>
    <definedName name="_EST9">#REF!</definedName>
    <definedName name="_EXC1">#REF!</definedName>
    <definedName name="_EXC10">#REF!</definedName>
    <definedName name="_EXC11">#REF!</definedName>
    <definedName name="_EXC12">#REF!</definedName>
    <definedName name="_EXC2">#REF!</definedName>
    <definedName name="_EXC3">#REF!</definedName>
    <definedName name="_EXC4">#REF!</definedName>
    <definedName name="_EXC5">#REF!</definedName>
    <definedName name="_EXC6">#REF!</definedName>
    <definedName name="_EXC7">#REF!</definedName>
    <definedName name="_EXC8">#REF!</definedName>
    <definedName name="_EXC9">#REF!</definedName>
    <definedName name="_F">[0]!ERR</definedName>
    <definedName name="_F10">#REF!</definedName>
    <definedName name="_FC">#REF!</definedName>
    <definedName name="_Fill" hidden="1">#REF!</definedName>
    <definedName name="_FS01">[0]!ERR</definedName>
    <definedName name="_g2" hidden="1">{"TAB1",#N/A,TRUE,"GENERAL";"TAB2",#N/A,TRUE,"GENERAL";"TAB3",#N/A,TRUE,"GENERAL";"TAB4",#N/A,TRUE,"GENERAL";"TAB5",#N/A,TRUE,"GENERAL"}</definedName>
    <definedName name="_g3" hidden="1">{"via1",#N/A,TRUE,"general";"via2",#N/A,TRUE,"general";"via3",#N/A,TRUE,"general"}</definedName>
    <definedName name="_g4" hidden="1">{"via1",#N/A,TRUE,"general";"via2",#N/A,TRUE,"general";"via3",#N/A,TRUE,"general"}</definedName>
    <definedName name="_g5" hidden="1">{"via1",#N/A,TRUE,"general";"via2",#N/A,TRUE,"general";"via3",#N/A,TRUE,"general"}</definedName>
    <definedName name="_g6" hidden="1">{"via1",#N/A,TRUE,"general";"via2",#N/A,TRUE,"general";"via3",#N/A,TRUE,"general"}</definedName>
    <definedName name="_g7" hidden="1">{"TAB1",#N/A,TRUE,"GENERAL";"TAB2",#N/A,TRUE,"GENERAL";"TAB3",#N/A,TRUE,"GENERAL";"TAB4",#N/A,TRUE,"GENERAL";"TAB5",#N/A,TRUE,"GENERAL"}</definedName>
    <definedName name="_GoBack">#REF!</definedName>
    <definedName name="_GR1" hidden="1">{"TAB1",#N/A,TRUE,"GENERAL";"TAB2",#N/A,TRUE,"GENERAL";"TAB3",#N/A,TRUE,"GENERAL";"TAB4",#N/A,TRUE,"GENERAL";"TAB5",#N/A,TRUE,"GENERAL"}</definedName>
    <definedName name="_gtr4" hidden="1">{"via1",#N/A,TRUE,"general";"via2",#N/A,TRUE,"general";"via3",#N/A,TRUE,"general"}</definedName>
    <definedName name="_h2" hidden="1">{"via1",#N/A,TRUE,"general";"via2",#N/A,TRUE,"general";"via3",#N/A,TRUE,"general"}</definedName>
    <definedName name="_h3" hidden="1">{"via1",#N/A,TRUE,"general";"via2",#N/A,TRUE,"general";"via3",#N/A,TRUE,"general"}</definedName>
    <definedName name="_h4" hidden="1">{"TAB1",#N/A,TRUE,"GENERAL";"TAB2",#N/A,TRUE,"GENERAL";"TAB3",#N/A,TRUE,"GENERAL";"TAB4",#N/A,TRUE,"GENERAL";"TAB5",#N/A,TRUE,"GENERAL"}</definedName>
    <definedName name="_h5" hidden="1">{"TAB1",#N/A,TRUE,"GENERAL";"TAB2",#N/A,TRUE,"GENERAL";"TAB3",#N/A,TRUE,"GENERAL";"TAB4",#N/A,TRUE,"GENERAL";"TAB5",#N/A,TRUE,"GENERAL"}</definedName>
    <definedName name="_h6" hidden="1">{"via1",#N/A,TRUE,"general";"via2",#N/A,TRUE,"general";"via3",#N/A,TRUE,"general"}</definedName>
    <definedName name="_h7" hidden="1">{"TAB1",#N/A,TRUE,"GENERAL";"TAB2",#N/A,TRUE,"GENERAL";"TAB3",#N/A,TRUE,"GENERAL";"TAB4",#N/A,TRUE,"GENERAL";"TAB5",#N/A,TRUE,"GENERAL"}</definedName>
    <definedName name="_h8" hidden="1">{"via1",#N/A,TRUE,"general";"via2",#N/A,TRUE,"general";"via3",#N/A,TRUE,"general"}</definedName>
    <definedName name="_hfh7" hidden="1">{"via1",#N/A,TRUE,"general";"via2",#N/A,TRUE,"general";"via3",#N/A,TRUE,"general"}</definedName>
    <definedName name="_hhg1" hidden="1">{#N/A,#N/A,TRUE,"1842CWN0"}</definedName>
    <definedName name="_i4" hidden="1">{"via1",#N/A,TRUE,"general";"via2",#N/A,TRUE,"general";"via3",#N/A,TRUE,"general"}</definedName>
    <definedName name="_i5" hidden="1">{"TAB1",#N/A,TRUE,"GENERAL";"TAB2",#N/A,TRUE,"GENERAL";"TAB3",#N/A,TRUE,"GENERAL";"TAB4",#N/A,TRUE,"GENERAL";"TAB5",#N/A,TRUE,"GENERAL"}</definedName>
    <definedName name="_i6" hidden="1">{"TAB1",#N/A,TRUE,"GENERAL";"TAB2",#N/A,TRUE,"GENERAL";"TAB3",#N/A,TRUE,"GENERAL";"TAB4",#N/A,TRUE,"GENERAL";"TAB5",#N/A,TRUE,"GENERAL"}</definedName>
    <definedName name="_i7" hidden="1">{"via1",#N/A,TRUE,"general";"via2",#N/A,TRUE,"general";"via3",#N/A,TRUE,"general"}</definedName>
    <definedName name="_i77" hidden="1">{"TAB1",#N/A,TRUE,"GENERAL";"TAB2",#N/A,TRUE,"GENERAL";"TAB3",#N/A,TRUE,"GENERAL";"TAB4",#N/A,TRUE,"GENERAL";"TAB5",#N/A,TRUE,"GENERAL"}</definedName>
    <definedName name="_i8" hidden="1">{"via1",#N/A,TRUE,"general";"via2",#N/A,TRUE,"general";"via3",#N/A,TRUE,"general"}</definedName>
    <definedName name="_i9" hidden="1">{"TAB1",#N/A,TRUE,"GENERAL";"TAB2",#N/A,TRUE,"GENERAL";"TAB3",#N/A,TRUE,"GENERAL";"TAB4",#N/A,TRUE,"GENERAL";"TAB5",#N/A,TRUE,"GENERAL"}</definedName>
    <definedName name="_ICP1">#REF!</definedName>
    <definedName name="_IMP1">#REF!</definedName>
    <definedName name="_IPC2002">#REF!</definedName>
    <definedName name="_IVA1">#REF!</definedName>
    <definedName name="_k3" hidden="1">{"TAB1",#N/A,TRUE,"GENERAL";"TAB2",#N/A,TRUE,"GENERAL";"TAB3",#N/A,TRUE,"GENERAL";"TAB4",#N/A,TRUE,"GENERAL";"TAB5",#N/A,TRUE,"GENERAL"}</definedName>
    <definedName name="_k4" hidden="1">{"via1",#N/A,TRUE,"general";"via2",#N/A,TRUE,"general";"via3",#N/A,TRUE,"general"}</definedName>
    <definedName name="_k5" hidden="1">{"via1",#N/A,TRUE,"general";"via2",#N/A,TRUE,"general";"via3",#N/A,TRUE,"general"}</definedName>
    <definedName name="_k6" hidden="1">{"TAB1",#N/A,TRUE,"GENERAL";"TAB2",#N/A,TRUE,"GENERAL";"TAB3",#N/A,TRUE,"GENERAL";"TAB4",#N/A,TRUE,"GENERAL";"TAB5",#N/A,TRUE,"GENERAL"}</definedName>
    <definedName name="_k7" hidden="1">{"via1",#N/A,TRUE,"general";"via2",#N/A,TRUE,"general";"via3",#N/A,TRUE,"general"}</definedName>
    <definedName name="_k8" hidden="1">{"via1",#N/A,TRUE,"general";"via2",#N/A,TRUE,"general";"via3",#N/A,TRUE,"general"}</definedName>
    <definedName name="_k9" hidden="1">{"TAB1",#N/A,TRUE,"GENERAL";"TAB2",#N/A,TRUE,"GENERAL";"TAB3",#N/A,TRUE,"GENERAL";"TAB4",#N/A,TRUE,"GENERAL";"TAB5",#N/A,TRUE,"GENERAL"}</definedName>
    <definedName name="_Key1" hidden="1">#REF!</definedName>
    <definedName name="_Key11" hidden="1">#REF!</definedName>
    <definedName name="_Key2" hidden="1">#REF!</definedName>
    <definedName name="_Key21" hidden="1">#REF!</definedName>
    <definedName name="_key3" hidden="1">#REF!</definedName>
    <definedName name="_key31" hidden="1">#REF!</definedName>
    <definedName name="_kjk6" hidden="1">{"TAB1",#N/A,TRUE,"GENERAL";"TAB2",#N/A,TRUE,"GENERAL";"TAB3",#N/A,TRUE,"GENERAL";"TAB4",#N/A,TRUE,"GENERAL";"TAB5",#N/A,TRUE,"GENERAL"}</definedName>
    <definedName name="_lar03">#REF!</definedName>
    <definedName name="_LEY80">#REF!</definedName>
    <definedName name="_m3" hidden="1">{"via1",#N/A,TRUE,"general";"via2",#N/A,TRUE,"general";"via3",#N/A,TRUE,"general"}</definedName>
    <definedName name="_m4" hidden="1">{"TAB1",#N/A,TRUE,"GENERAL";"TAB2",#N/A,TRUE,"GENERAL";"TAB3",#N/A,TRUE,"GENERAL";"TAB4",#N/A,TRUE,"GENERAL";"TAB5",#N/A,TRUE,"GENERAL"}</definedName>
    <definedName name="_m5" hidden="1">{"via1",#N/A,TRUE,"general";"via2",#N/A,TRUE,"general";"via3",#N/A,TRUE,"general"}</definedName>
    <definedName name="_m6" hidden="1">{"TAB1",#N/A,TRUE,"GENERAL";"TAB2",#N/A,TRUE,"GENERAL";"TAB3",#N/A,TRUE,"GENERAL";"TAB4",#N/A,TRUE,"GENERAL";"TAB5",#N/A,TRUE,"GENERAL"}</definedName>
    <definedName name="_m7" hidden="1">{"TAB1",#N/A,TRUE,"GENERAL";"TAB2",#N/A,TRUE,"GENERAL";"TAB3",#N/A,TRUE,"GENERAL";"TAB4",#N/A,TRUE,"GENERAL";"TAB5",#N/A,TRUE,"GENERAL"}</definedName>
    <definedName name="_m8" hidden="1">{"via1",#N/A,TRUE,"general";"via2",#N/A,TRUE,"general";"via3",#N/A,TRUE,"general"}</definedName>
    <definedName name="_m9" hidden="1">{"via1",#N/A,TRUE,"general";"via2",#N/A,TRUE,"general";"via3",#N/A,TRUE,"general"}</definedName>
    <definedName name="_MA2">#REF!</definedName>
    <definedName name="_MAT1">#REF!</definedName>
    <definedName name="_MOD1">#REF!</definedName>
    <definedName name="_mun2">#REF!</definedName>
    <definedName name="_n3" hidden="1">{"TAB1",#N/A,TRUE,"GENERAL";"TAB2",#N/A,TRUE,"GENERAL";"TAB3",#N/A,TRUE,"GENERAL";"TAB4",#N/A,TRUE,"GENERAL";"TAB5",#N/A,TRUE,"GENERAL"}</definedName>
    <definedName name="_n4" hidden="1">{"via1",#N/A,TRUE,"general";"via2",#N/A,TRUE,"general";"via3",#N/A,TRUE,"general"}</definedName>
    <definedName name="_n5" hidden="1">{"TAB1",#N/A,TRUE,"GENERAL";"TAB2",#N/A,TRUE,"GENERAL";"TAB3",#N/A,TRUE,"GENERAL";"TAB4",#N/A,TRUE,"GENERAL";"TAB5",#N/A,TRUE,"GENERAL"}</definedName>
    <definedName name="_nrf10">#REF!</definedName>
    <definedName name="_num10">#REF!</definedName>
    <definedName name="_num2">#REF!</definedName>
    <definedName name="_num3">#REF!</definedName>
    <definedName name="_num4">#REF!</definedName>
    <definedName name="_num5">#REF!</definedName>
    <definedName name="_num6">#REF!</definedName>
    <definedName name="_num7">#REF!</definedName>
    <definedName name="_num8">#REF!</definedName>
    <definedName name="_num9">#REF!</definedName>
    <definedName name="_nyn7" hidden="1">{"via1",#N/A,TRUE,"general";"via2",#N/A,TRUE,"general";"via3",#N/A,TRUE,"general"}</definedName>
    <definedName name="_o4" hidden="1">{"via1",#N/A,TRUE,"general";"via2",#N/A,TRUE,"general";"via3",#N/A,TRUE,"general"}</definedName>
    <definedName name="_o5" hidden="1">{"TAB1",#N/A,TRUE,"GENERAL";"TAB2",#N/A,TRUE,"GENERAL";"TAB3",#N/A,TRUE,"GENERAL";"TAB4",#N/A,TRUE,"GENERAL";"TAB5",#N/A,TRUE,"GENERAL"}</definedName>
    <definedName name="_o6" hidden="1">{"TAB1",#N/A,TRUE,"GENERAL";"TAB2",#N/A,TRUE,"GENERAL";"TAB3",#N/A,TRUE,"GENERAL";"TAB4",#N/A,TRUE,"GENERAL";"TAB5",#N/A,TRUE,"GENERAL"}</definedName>
    <definedName name="_o7" hidden="1">{"TAB1",#N/A,TRUE,"GENERAL";"TAB2",#N/A,TRUE,"GENERAL";"TAB3",#N/A,TRUE,"GENERAL";"TAB4",#N/A,TRUE,"GENERAL";"TAB5",#N/A,TRUE,"GENERAL"}</definedName>
    <definedName name="_o8" hidden="1">{"via1",#N/A,TRUE,"general";"via2",#N/A,TRUE,"general";"via3",#N/A,TRUE,"general"}</definedName>
    <definedName name="_o9" hidden="1">{"TAB1",#N/A,TRUE,"GENERAL";"TAB2",#N/A,TRUE,"GENERAL";"TAB3",#N/A,TRUE,"GENERAL";"TAB4",#N/A,TRUE,"GENERAL";"TAB5",#N/A,TRUE,"GENERAL"}</definedName>
    <definedName name="_OCD1">#REF!</definedName>
    <definedName name="_OCI1">#REF!</definedName>
    <definedName name="_Order1" hidden="1">0</definedName>
    <definedName name="_Order2" hidden="1">255</definedName>
    <definedName name="_p6" hidden="1">{"via1",#N/A,TRUE,"general";"via2",#N/A,TRUE,"general";"via3",#N/A,TRUE,"general"}</definedName>
    <definedName name="_p7" hidden="1">{"via1",#N/A,TRUE,"general";"via2",#N/A,TRUE,"general";"via3",#N/A,TRUE,"general"}</definedName>
    <definedName name="_p8" hidden="1">{"TAB1",#N/A,TRUE,"GENERAL";"TAB2",#N/A,TRUE,"GENERAL";"TAB3",#N/A,TRUE,"GENERAL";"TAB4",#N/A,TRUE,"GENERAL";"TAB5",#N/A,TRUE,"GENERAL"}</definedName>
    <definedName name="_Pa1">#REF!</definedName>
    <definedName name="_Pa2">#REF!</definedName>
    <definedName name="_Pa3">#REF!</definedName>
    <definedName name="_Pa4">#REF!</definedName>
    <definedName name="_Parse_Out" hidden="1">#REF!</definedName>
    <definedName name="_PJ50">#REF!</definedName>
    <definedName name="_pj51">#REF!</definedName>
    <definedName name="_pr01">#REF!</definedName>
    <definedName name="_pr02">#REF!</definedName>
    <definedName name="_pr03">#REF!</definedName>
    <definedName name="_pr04">#REF!</definedName>
    <definedName name="_pr05">#REF!</definedName>
    <definedName name="_pr06">#REF!</definedName>
    <definedName name="_pr07">#REF!</definedName>
    <definedName name="_pr08">#REF!</definedName>
    <definedName name="_pr09">#REF!</definedName>
    <definedName name="_pr10">#REF!</definedName>
    <definedName name="_pr11">#REF!</definedName>
    <definedName name="_pr12">#REF!</definedName>
    <definedName name="_pr13">#REF!</definedName>
    <definedName name="_pr14">#REF!</definedName>
    <definedName name="_pr15">#REF!</definedName>
    <definedName name="_pr16">#REF!</definedName>
    <definedName name="_pr17">#REF!</definedName>
    <definedName name="_pr18">#REF!</definedName>
    <definedName name="_pr19">#REF!</definedName>
    <definedName name="_pr20">#REF!</definedName>
    <definedName name="_pr21">#REF!</definedName>
    <definedName name="_pr22">#REF!</definedName>
    <definedName name="_pr23">#REF!</definedName>
    <definedName name="_pr24">#REF!</definedName>
    <definedName name="_pr25">#REF!</definedName>
    <definedName name="_pr26">#REF!</definedName>
    <definedName name="_pr27">#REF!</definedName>
    <definedName name="_pr28">#REF!</definedName>
    <definedName name="_pr29">#REF!</definedName>
    <definedName name="_pr30">#REF!</definedName>
    <definedName name="_pr31">#REF!</definedName>
    <definedName name="_pr32">#REF!</definedName>
    <definedName name="_pr33">#REF!</definedName>
    <definedName name="_pr34">#REF!</definedName>
    <definedName name="_pr35">#REF!</definedName>
    <definedName name="_pr36">#REF!</definedName>
    <definedName name="_pr37">#REF!</definedName>
    <definedName name="_pr38">#REF!</definedName>
    <definedName name="_pr39">#REF!</definedName>
    <definedName name="_pr40">#REF!</definedName>
    <definedName name="_pr41">#REF!</definedName>
    <definedName name="_pr42">#REF!</definedName>
    <definedName name="_pr43">#REF!</definedName>
    <definedName name="_pr44">#REF!</definedName>
    <definedName name="_pr45">#REF!</definedName>
    <definedName name="_pr46">#REF!</definedName>
    <definedName name="_pr47">#REF!</definedName>
    <definedName name="_pr48">#REF!</definedName>
    <definedName name="_pr49">#REF!</definedName>
    <definedName name="_pr50">#REF!</definedName>
    <definedName name="_pr51">#REF!</definedName>
    <definedName name="_pr52">#REF!</definedName>
    <definedName name="_pr53">#REF!</definedName>
    <definedName name="_pr54">#REF!</definedName>
    <definedName name="_pr55">#REF!</definedName>
    <definedName name="_pr56">#REF!</definedName>
    <definedName name="_pr57">#REF!</definedName>
    <definedName name="_pr58">#REF!</definedName>
    <definedName name="_pr59">#REF!</definedName>
    <definedName name="_pr60">#REF!</definedName>
    <definedName name="_pr61">#REF!</definedName>
    <definedName name="_pr62">#REF!</definedName>
    <definedName name="_pr63">#REF!</definedName>
    <definedName name="_pr64">#REF!</definedName>
    <definedName name="_pr65">#REF!</definedName>
    <definedName name="_pr66">#REF!</definedName>
    <definedName name="_pr67">#REF!</definedName>
    <definedName name="_pr68">#REF!</definedName>
    <definedName name="_pr69">#REF!</definedName>
    <definedName name="_pr70">#REF!</definedName>
    <definedName name="_pr71">#REF!</definedName>
    <definedName name="_pr72">#REF!</definedName>
    <definedName name="_PRE1">#REF!</definedName>
    <definedName name="_PTO97">#REF!</definedName>
    <definedName name="_PW2">#REF!</definedName>
    <definedName name="_QTY1">#REF!</definedName>
    <definedName name="_r" hidden="1">{"TAB1",#N/A,TRUE,"GENERAL";"TAB2",#N/A,TRUE,"GENERAL";"TAB3",#N/A,TRUE,"GENERAL";"TAB4",#N/A,TRUE,"GENERAL";"TAB5",#N/A,TRUE,"GENERAL"}</definedName>
    <definedName name="_r4r" hidden="1">{"via1",#N/A,TRUE,"general";"via2",#N/A,TRUE,"general";"via3",#N/A,TRUE,"general"}</definedName>
    <definedName name="_REC1">"Rectángulo 31"</definedName>
    <definedName name="_ref4">#REF!</definedName>
    <definedName name="_RET1">#REF!</definedName>
    <definedName name="_RET2">#REF!</definedName>
    <definedName name="_RET3">#REF!</definedName>
    <definedName name="_RET4">#REF!</definedName>
    <definedName name="_RET5">#REF!</definedName>
    <definedName name="_RET6">#REF!</definedName>
    <definedName name="_rtu6" hidden="1">{"via1",#N/A,TRUE,"general";"via2",#N/A,TRUE,"general";"via3",#N/A,TRUE,"general"}</definedName>
    <definedName name="_s1" hidden="1">{"via1",#N/A,TRUE,"general";"via2",#N/A,TRUE,"general";"via3",#N/A,TRUE,"general"}</definedName>
    <definedName name="_s2" hidden="1">{"TAB1",#N/A,TRUE,"GENERAL";"TAB2",#N/A,TRUE,"GENERAL";"TAB3",#N/A,TRUE,"GENERAL";"TAB4",#N/A,TRUE,"GENERAL";"TAB5",#N/A,TRUE,"GENERAL"}</definedName>
    <definedName name="_s3" hidden="1">{"TAB1",#N/A,TRUE,"GENERAL";"TAB2",#N/A,TRUE,"GENERAL";"TAB3",#N/A,TRUE,"GENERAL";"TAB4",#N/A,TRUE,"GENERAL";"TAB5",#N/A,TRUE,"GENERAL"}</definedName>
    <definedName name="_s4" hidden="1">{"via1",#N/A,TRUE,"general";"via2",#N/A,TRUE,"general";"via3",#N/A,TRUE,"general"}</definedName>
    <definedName name="_s5" hidden="1">{"via1",#N/A,TRUE,"general";"via2",#N/A,TRUE,"general";"via3",#N/A,TRUE,"general"}</definedName>
    <definedName name="_s6" hidden="1">{"TAB1",#N/A,TRUE,"GENERAL";"TAB2",#N/A,TRUE,"GENERAL";"TAB3",#N/A,TRUE,"GENERAL";"TAB4",#N/A,TRUE,"GENERAL";"TAB5",#N/A,TRUE,"GENERAL"}</definedName>
    <definedName name="_s7" hidden="1">{"via1",#N/A,TRUE,"general";"via2",#N/A,TRUE,"general";"via3",#N/A,TRUE,"general"}</definedName>
    <definedName name="_SBC1">#REF!</definedName>
    <definedName name="_SBC3">#REF!</definedName>
    <definedName name="_SBC5">#REF!</definedName>
    <definedName name="_Sort" hidden="1">#REF!</definedName>
    <definedName name="_srn001">#REF!</definedName>
    <definedName name="_SUM1">#REF!</definedName>
    <definedName name="_SUM2">#REF!</definedName>
    <definedName name="_t3" hidden="1">{"TAB1",#N/A,TRUE,"GENERAL";"TAB2",#N/A,TRUE,"GENERAL";"TAB3",#N/A,TRUE,"GENERAL";"TAB4",#N/A,TRUE,"GENERAL";"TAB5",#N/A,TRUE,"GENERAL"}</definedName>
    <definedName name="_t4" hidden="1">{"via1",#N/A,TRUE,"general";"via2",#N/A,TRUE,"general";"via3",#N/A,TRUE,"general"}</definedName>
    <definedName name="_t5" hidden="1">{"TAB1",#N/A,TRUE,"GENERAL";"TAB2",#N/A,TRUE,"GENERAL";"TAB3",#N/A,TRUE,"GENERAL";"TAB4",#N/A,TRUE,"GENERAL";"TAB5",#N/A,TRUE,"GENERAL"}</definedName>
    <definedName name="_t6" hidden="1">{"via1",#N/A,TRUE,"general";"via2",#N/A,TRUE,"general";"via3",#N/A,TRUE,"general"}</definedName>
    <definedName name="_t66" hidden="1">{"TAB1",#N/A,TRUE,"GENERAL";"TAB2",#N/A,TRUE,"GENERAL";"TAB3",#N/A,TRUE,"GENERAL";"TAB4",#N/A,TRUE,"GENERAL";"TAB5",#N/A,TRUE,"GENERAL"}</definedName>
    <definedName name="_t7" hidden="1">{"via1",#N/A,TRUE,"general";"via2",#N/A,TRUE,"general";"via3",#N/A,TRUE,"general"}</definedName>
    <definedName name="_t77" hidden="1">{"TAB1",#N/A,TRUE,"GENERAL";"TAB2",#N/A,TRUE,"GENERAL";"TAB3",#N/A,TRUE,"GENERAL";"TAB4",#N/A,TRUE,"GENERAL";"TAB5",#N/A,TRUE,"GENERAL"}</definedName>
    <definedName name="_t8" hidden="1">{"TAB1",#N/A,TRUE,"GENERAL";"TAB2",#N/A,TRUE,"GENERAL";"TAB3",#N/A,TRUE,"GENERAL";"TAB4",#N/A,TRUE,"GENERAL";"TAB5",#N/A,TRUE,"GENERAL"}</definedName>
    <definedName name="_t88" hidden="1">{"via1",#N/A,TRUE,"general";"via2",#N/A,TRUE,"general";"via3",#N/A,TRUE,"general"}</definedName>
    <definedName name="_t9" hidden="1">{"TAB1",#N/A,TRUE,"GENERAL";"TAB2",#N/A,TRUE,"GENERAL";"TAB3",#N/A,TRUE,"GENERAL";"TAB4",#N/A,TRUE,"GENERAL";"TAB5",#N/A,TRUE,"GENERAL"}</definedName>
    <definedName name="_t99" hidden="1">{"via1",#N/A,TRUE,"general";"via2",#N/A,TRUE,"general";"via3",#N/A,TRUE,"general"}</definedName>
    <definedName name="_tax1">#REF!</definedName>
    <definedName name="_tax2">#REF!</definedName>
    <definedName name="_tax3">#REF!</definedName>
    <definedName name="_tax4">#REF!</definedName>
    <definedName name="_tc1">#REF!</definedName>
    <definedName name="_tc2">#REF!</definedName>
    <definedName name="_tc3">#REF!</definedName>
    <definedName name="_TOP1">#REF!</definedName>
    <definedName name="_TOP10">#REF!</definedName>
    <definedName name="_TOP2">#REF!</definedName>
    <definedName name="_TOP3">#REF!</definedName>
    <definedName name="_TOP4">#REF!</definedName>
    <definedName name="_TOP5">#REF!</definedName>
    <definedName name="_TOP6">#REF!</definedName>
    <definedName name="_TOP7">#REF!</definedName>
    <definedName name="_TOP8">#REF!</definedName>
    <definedName name="_TOP9">#REF!</definedName>
    <definedName name="_TOT1">#REF!</definedName>
    <definedName name="_u4" hidden="1">{"TAB1",#N/A,TRUE,"GENERAL";"TAB2",#N/A,TRUE,"GENERAL";"TAB3",#N/A,TRUE,"GENERAL";"TAB4",#N/A,TRUE,"GENERAL";"TAB5",#N/A,TRUE,"GENERAL"}</definedName>
    <definedName name="_u5" hidden="1">{"TAB1",#N/A,TRUE,"GENERAL";"TAB2",#N/A,TRUE,"GENERAL";"TAB3",#N/A,TRUE,"GENERAL";"TAB4",#N/A,TRUE,"GENERAL";"TAB5",#N/A,TRUE,"GENERAL"}</definedName>
    <definedName name="_u6" hidden="1">{"TAB1",#N/A,TRUE,"GENERAL";"TAB2",#N/A,TRUE,"GENERAL";"TAB3",#N/A,TRUE,"GENERAL";"TAB4",#N/A,TRUE,"GENERAL";"TAB5",#N/A,TRUE,"GENERAL"}</definedName>
    <definedName name="_u7" hidden="1">{"via1",#N/A,TRUE,"general";"via2",#N/A,TRUE,"general";"via3",#N/A,TRUE,"general"}</definedName>
    <definedName name="_u8" hidden="1">{"TAB1",#N/A,TRUE,"GENERAL";"TAB2",#N/A,TRUE,"GENERAL";"TAB3",#N/A,TRUE,"GENERAL";"TAB4",#N/A,TRUE,"GENERAL";"TAB5",#N/A,TRUE,"GENERAL"}</definedName>
    <definedName name="_u9" hidden="1">{"TAB1",#N/A,TRUE,"GENERAL";"TAB2",#N/A,TRUE,"GENERAL";"TAB3",#N/A,TRUE,"GENERAL";"TAB4",#N/A,TRUE,"GENERAL";"TAB5",#N/A,TRUE,"GENERAL"}</definedName>
    <definedName name="_unj1" hidden="1">#REF!</definedName>
    <definedName name="_ur7" hidden="1">{"TAB1",#N/A,TRUE,"GENERAL";"TAB2",#N/A,TRUE,"GENERAL";"TAB3",#N/A,TRUE,"GENERAL";"TAB4",#N/A,TRUE,"GENERAL";"TAB5",#N/A,TRUE,"GENERAL"}</definedName>
    <definedName name="_v2" hidden="1">{"via1",#N/A,TRUE,"general";"via2",#N/A,TRUE,"general";"via3",#N/A,TRUE,"general"}</definedName>
    <definedName name="_v3" hidden="1">{"TAB1",#N/A,TRUE,"GENERAL";"TAB2",#N/A,TRUE,"GENERAL";"TAB3",#N/A,TRUE,"GENERAL";"TAB4",#N/A,TRUE,"GENERAL";"TAB5",#N/A,TRUE,"GENERAL"}</definedName>
    <definedName name="_v4" hidden="1">{"TAB1",#N/A,TRUE,"GENERAL";"TAB2",#N/A,TRUE,"GENERAL";"TAB3",#N/A,TRUE,"GENERAL";"TAB4",#N/A,TRUE,"GENERAL";"TAB5",#N/A,TRUE,"GENERAL"}</definedName>
    <definedName name="_v5" hidden="1">{"TAB1",#N/A,TRUE,"GENERAL";"TAB2",#N/A,TRUE,"GENERAL";"TAB3",#N/A,TRUE,"GENERAL";"TAB4",#N/A,TRUE,"GENERAL";"TAB5",#N/A,TRUE,"GENERAL"}</definedName>
    <definedName name="_v6" hidden="1">{"TAB1",#N/A,TRUE,"GENERAL";"TAB2",#N/A,TRUE,"GENERAL";"TAB3",#N/A,TRUE,"GENERAL";"TAB4",#N/A,TRUE,"GENERAL";"TAB5",#N/A,TRUE,"GENERAL"}</definedName>
    <definedName name="_v7" hidden="1">{"via1",#N/A,TRUE,"general";"via2",#N/A,TRUE,"general";"via3",#N/A,TRUE,"general"}</definedName>
    <definedName name="_v8" hidden="1">{"TAB1",#N/A,TRUE,"GENERAL";"TAB2",#N/A,TRUE,"GENERAL";"TAB3",#N/A,TRUE,"GENERAL";"TAB4",#N/A,TRUE,"GENERAL";"TAB5",#N/A,TRUE,"GENERAL"}</definedName>
    <definedName name="_v9" hidden="1">{"TAB1",#N/A,TRUE,"GENERAL";"TAB2",#N/A,TRUE,"GENERAL";"TAB3",#N/A,TRUE,"GENERAL";"TAB4",#N/A,TRUE,"GENERAL";"TAB5",#N/A,TRUE,"GENERAL"}</definedName>
    <definedName name="_VEX1">#REF!</definedName>
    <definedName name="_VFA1">#REF!</definedName>
    <definedName name="_vfv4" hidden="1">{"via1",#N/A,TRUE,"general";"via2",#N/A,TRUE,"general";"via3",#N/A,TRUE,"general"}</definedName>
    <definedName name="_VIT1">#REF!</definedName>
    <definedName name="_VPR1">#REF!</definedName>
    <definedName name="_VPR2">#REF!</definedName>
    <definedName name="_VRP1">#REF!</definedName>
    <definedName name="_VSM1">#REF!</definedName>
    <definedName name="_x1" hidden="1">{"TAB1",#N/A,TRUE,"GENERAL";"TAB2",#N/A,TRUE,"GENERAL";"TAB3",#N/A,TRUE,"GENERAL";"TAB4",#N/A,TRUE,"GENERAL";"TAB5",#N/A,TRUE,"GENERAL"}</definedName>
    <definedName name="_x2" hidden="1">{"via1",#N/A,TRUE,"general";"via2",#N/A,TRUE,"general";"via3",#N/A,TRUE,"general"}</definedName>
    <definedName name="_x3" hidden="1">{"via1",#N/A,TRUE,"general";"via2",#N/A,TRUE,"general";"via3",#N/A,TRUE,"general"}</definedName>
    <definedName name="_x4" hidden="1">{"via1",#N/A,TRUE,"general";"via2",#N/A,TRUE,"general";"via3",#N/A,TRUE,"general"}</definedName>
    <definedName name="_x5" hidden="1">{"TAB1",#N/A,TRUE,"GENERAL";"TAB2",#N/A,TRUE,"GENERAL";"TAB3",#N/A,TRUE,"GENERAL";"TAB4",#N/A,TRUE,"GENERAL";"TAB5",#N/A,TRUE,"GENERAL"}</definedName>
    <definedName name="_x6" hidden="1">{"TAB1",#N/A,TRUE,"GENERAL";"TAB2",#N/A,TRUE,"GENERAL";"TAB3",#N/A,TRUE,"GENERAL";"TAB4",#N/A,TRUE,"GENERAL";"TAB5",#N/A,TRUE,"GENERAL"}</definedName>
    <definedName name="_x7" hidden="1">{"TAB1",#N/A,TRUE,"GENERAL";"TAB2",#N/A,TRUE,"GENERAL";"TAB3",#N/A,TRUE,"GENERAL";"TAB4",#N/A,TRUE,"GENERAL";"TAB5",#N/A,TRUE,"GENERAL"}</definedName>
    <definedName name="_x8" hidden="1">{"via1",#N/A,TRUE,"general";"via2",#N/A,TRUE,"general";"via3",#N/A,TRUE,"general"}</definedName>
    <definedName name="_x9" hidden="1">{"TAB1",#N/A,TRUE,"GENERAL";"TAB2",#N/A,TRUE,"GENERAL";"TAB3",#N/A,TRUE,"GENERAL";"TAB4",#N/A,TRUE,"GENERAL";"TAB5",#N/A,TRUE,"GENERAL"}</definedName>
    <definedName name="_y2" hidden="1">{"TAB1",#N/A,TRUE,"GENERAL";"TAB2",#N/A,TRUE,"GENERAL";"TAB3",#N/A,TRUE,"GENERAL";"TAB4",#N/A,TRUE,"GENERAL";"TAB5",#N/A,TRUE,"GENERAL"}</definedName>
    <definedName name="_y3" hidden="1">{"via1",#N/A,TRUE,"general";"via2",#N/A,TRUE,"general";"via3",#N/A,TRUE,"general"}</definedName>
    <definedName name="_y4" hidden="1">{"via1",#N/A,TRUE,"general";"via2",#N/A,TRUE,"general";"via3",#N/A,TRUE,"general"}</definedName>
    <definedName name="_y5" hidden="1">{"TAB1",#N/A,TRUE,"GENERAL";"TAB2",#N/A,TRUE,"GENERAL";"TAB3",#N/A,TRUE,"GENERAL";"TAB4",#N/A,TRUE,"GENERAL";"TAB5",#N/A,TRUE,"GENERAL"}</definedName>
    <definedName name="_y6" hidden="1">{"via1",#N/A,TRUE,"general";"via2",#N/A,TRUE,"general";"via3",#N/A,TRUE,"general"}</definedName>
    <definedName name="_y7" hidden="1">{"via1",#N/A,TRUE,"general";"via2",#N/A,TRUE,"general";"via3",#N/A,TRUE,"general"}</definedName>
    <definedName name="_y8" hidden="1">{"via1",#N/A,TRUE,"general";"via2",#N/A,TRUE,"general";"via3",#N/A,TRUE,"general"}</definedName>
    <definedName name="_y9" hidden="1">{"TAB1",#N/A,TRUE,"GENERAL";"TAB2",#N/A,TRUE,"GENERAL";"TAB3",#N/A,TRUE,"GENERAL";"TAB4",#N/A,TRUE,"GENERAL";"TAB5",#N/A,TRUE,"GENERAL"}</definedName>
    <definedName name="_z1" hidden="1">{"TAB1",#N/A,TRUE,"GENERAL";"TAB2",#N/A,TRUE,"GENERAL";"TAB3",#N/A,TRUE,"GENERAL";"TAB4",#N/A,TRUE,"GENERAL";"TAB5",#N/A,TRUE,"GENERAL"}</definedName>
    <definedName name="_z2" hidden="1">{"via1",#N/A,TRUE,"general";"via2",#N/A,TRUE,"general";"via3",#N/A,TRUE,"general"}</definedName>
    <definedName name="_z3" hidden="1">{"via1",#N/A,TRUE,"general";"via2",#N/A,TRUE,"general";"via3",#N/A,TRUE,"general"}</definedName>
    <definedName name="_z4" hidden="1">{"TAB1",#N/A,TRUE,"GENERAL";"TAB2",#N/A,TRUE,"GENERAL";"TAB3",#N/A,TRUE,"GENERAL";"TAB4",#N/A,TRUE,"GENERAL";"TAB5",#N/A,TRUE,"GENERAL"}</definedName>
    <definedName name="_z5" hidden="1">{"via1",#N/A,TRUE,"general";"via2",#N/A,TRUE,"general";"via3",#N/A,TRUE,"general"}</definedName>
    <definedName name="_z6" hidden="1">{"TAB1",#N/A,TRUE,"GENERAL";"TAB2",#N/A,TRUE,"GENERAL";"TAB3",#N/A,TRUE,"GENERAL";"TAB4",#N/A,TRUE,"GENERAL";"TAB5",#N/A,TRUE,"GENERAL"}</definedName>
    <definedName name="a">#REF!</definedName>
    <definedName name="A_1">#REF!</definedName>
    <definedName name="A_impresión_IM">#REF!</definedName>
    <definedName name="A18A200">#REF!</definedName>
    <definedName name="a2a" hidden="1">{"TAB1",#N/A,TRUE,"GENERAL";"TAB2",#N/A,TRUE,"GENERAL";"TAB3",#N/A,TRUE,"GENERAL";"TAB4",#N/A,TRUE,"GENERAL";"TAB5",#N/A,TRUE,"GENERAL"}</definedName>
    <definedName name="aa">[0]!ERR</definedName>
    <definedName name="AAA">[0]!ERR</definedName>
    <definedName name="aaaaaa">#REF!</definedName>
    <definedName name="aaaaas" hidden="1">{"TAB1",#N/A,TRUE,"GENERAL";"TAB2",#N/A,TRUE,"GENERAL";"TAB3",#N/A,TRUE,"GENERAL";"TAB4",#N/A,TRUE,"GENERAL";"TAB5",#N/A,TRUE,"GENERAL"}</definedName>
    <definedName name="AAC">#REF!</definedName>
    <definedName name="aas" hidden="1">{"TAB1",#N/A,TRUE,"GENERAL";"TAB2",#N/A,TRUE,"GENERAL";"TAB3",#N/A,TRUE,"GENERAL";"TAB4",#N/A,TRUE,"GENERAL";"TAB5",#N/A,TRUE,"GENERAL"}</definedName>
    <definedName name="AB">#REF!</definedName>
    <definedName name="aba_1">#REF!</definedName>
    <definedName name="aba_2">#REF!</definedName>
    <definedName name="abc">#REF!</definedName>
    <definedName name="ABCD" hidden="1">#REF!</definedName>
    <definedName name="ABCDE" hidden="1">#REF!</definedName>
    <definedName name="ABG">#REF!</definedName>
    <definedName name="absc1">#REF!</definedName>
    <definedName name="ac">#REF!</definedName>
    <definedName name="AccessDatabase" hidden="1">"C:\C-314\VOLUMENES\volfin4.mdb"</definedName>
    <definedName name="acpm">5000</definedName>
    <definedName name="ACT">#REF!</definedName>
    <definedName name="ACT_COMP">#REF!</definedName>
    <definedName name="ACT_COMP2">#REF!</definedName>
    <definedName name="ACT_CONT">#REF!</definedName>
    <definedName name="ACT_CONT2">#REF!</definedName>
    <definedName name="Actividades">#REF!</definedName>
    <definedName name="ACTV">#REF!</definedName>
    <definedName name="acumulado">#REF!,#REF!,#REF!,#REF!</definedName>
    <definedName name="ad">#REF!</definedName>
    <definedName name="adasd">#REF!</definedName>
    <definedName name="ADFGSDB" hidden="1">{"via1",#N/A,TRUE,"general";"via2",#N/A,TRUE,"general";"via3",#N/A,TRUE,"general"}</definedName>
    <definedName name="ADM">#REF!</definedName>
    <definedName name="administrador">#REF!</definedName>
    <definedName name="ADMON">#REF!</definedName>
    <definedName name="ADMON1">#REF!</definedName>
    <definedName name="adoc1">#REF!</definedName>
    <definedName name="ADOC125">#REF!</definedName>
    <definedName name="adoq">#REF!</definedName>
    <definedName name="ADSAD" hidden="1">{"TAB1",#N/A,TRUE,"GENERAL";"TAB2",#N/A,TRUE,"GENERAL";"TAB3",#N/A,TRUE,"GENERAL";"TAB4",#N/A,TRUE,"GENERAL";"TAB5",#N/A,TRUE,"GENERAL"}</definedName>
    <definedName name="aefa" hidden="1">{"via1",#N/A,TRUE,"general";"via2",#N/A,TRUE,"general";"via3",#N/A,TRUE,"general"}</definedName>
    <definedName name="afdsw" hidden="1">{"TAB1",#N/A,TRUE,"GENERAL";"TAB2",#N/A,TRUE,"GENERAL";"TAB3",#N/A,TRUE,"GENERAL";"TAB4",#N/A,TRUE,"GENERAL";"TAB5",#N/A,TRUE,"GENERAL"}</definedName>
    <definedName name="agdsgg" hidden="1">{"via1",#N/A,TRUE,"general";"via2",#N/A,TRUE,"general";"via3",#N/A,TRUE,"general"}</definedName>
    <definedName name="aida">#REF!</definedName>
    <definedName name="aida1">#REF!</definedName>
    <definedName name="AIU">#REF!</definedName>
    <definedName name="AIU_01">#REF!</definedName>
    <definedName name="AIU_1">#REF!</definedName>
    <definedName name="AIU_2">#REF!</definedName>
    <definedName name="AjustDelAIU">#REF!</definedName>
    <definedName name="alam">#REF!</definedName>
    <definedName name="alc">#REF!</definedName>
    <definedName name="AlcanceProyecto">#REF!</definedName>
    <definedName name="ALM">#REF!</definedName>
    <definedName name="ALTO">#REF!</definedName>
    <definedName name="Amount">#REF!</definedName>
    <definedName name="ANCLAJE">#REF!</definedName>
    <definedName name="AND">#REF!</definedName>
    <definedName name="anex7">#REF!</definedName>
    <definedName name="anex8">#REF!</definedName>
    <definedName name="anexo1">#REF!</definedName>
    <definedName name="anexo10">#REF!</definedName>
    <definedName name="anexo11">#REF!</definedName>
    <definedName name="anexo12">#REF!</definedName>
    <definedName name="anexo13">#REF!</definedName>
    <definedName name="anexo14">#REF!</definedName>
    <definedName name="anexo15">#REF!</definedName>
    <definedName name="anexo2">#REF!</definedName>
    <definedName name="anexo3">#REF!</definedName>
    <definedName name="anexo4">#REF!</definedName>
    <definedName name="anexo5">#REF!</definedName>
    <definedName name="anexo6">#REF!</definedName>
    <definedName name="anexo7">#REF!</definedName>
    <definedName name="anexo8">#REF!</definedName>
    <definedName name="anexo9">#REF!</definedName>
    <definedName name="anexů7">#REF!</definedName>
    <definedName name="Antic">#REF!</definedName>
    <definedName name="ANTICIPO">#REF!</definedName>
    <definedName name="AÑO">#REF!</definedName>
    <definedName name="AÑOWUIE">#REF!</definedName>
    <definedName name="apaiy">#REF!</definedName>
    <definedName name="APELLIDOS">#REF!</definedName>
    <definedName name="API">#REF!</definedName>
    <definedName name="APU">#REF!</definedName>
    <definedName name="APU_directos">#REF!</definedName>
    <definedName name="APU221.1">#REF!</definedName>
    <definedName name="APU221.2">#REF!</definedName>
    <definedName name="APURESUMIDOS">#REF!</definedName>
    <definedName name="APUS">#REF!</definedName>
    <definedName name="aq">[0]!ERR</definedName>
    <definedName name="aqaq" hidden="1">{"TAB1",#N/A,TRUE,"GENERAL";"TAB2",#N/A,TRUE,"GENERAL";"TAB3",#N/A,TRUE,"GENERAL";"TAB4",#N/A,TRUE,"GENERAL";"TAB5",#N/A,TRUE,"GENERAL"}</definedName>
    <definedName name="AQW">#REF!</definedName>
    <definedName name="ARANCEL">#REF!</definedName>
    <definedName name="AREA">#REF!</definedName>
    <definedName name="_xlnm.Extract">#REF!</definedName>
    <definedName name="_xlnm.Print_Area" localSheetId="0">'Oferta Economica'!$A$1:$T$337</definedName>
    <definedName name="_xlnm.Print_Area">#REF!</definedName>
    <definedName name="AREAI">[1]PRESUPUESTO!$K$9</definedName>
    <definedName name="AREAL">[1]PRESUPUESTO!$K$10</definedName>
    <definedName name="AreaLimpiar">#REF!,#REF!,#REF!,#REF!,#REF!,#REF!,#REF!,#REF!,#REF!,#REF!</definedName>
    <definedName name="Areatotal">#REF!</definedName>
    <definedName name="Aref">#REF!</definedName>
    <definedName name="armuve">[0]!ERR</definedName>
    <definedName name="ARP">#REF!</definedName>
    <definedName name="ARS">#REF!</definedName>
    <definedName name="as">[0]!ERR</definedName>
    <definedName name="ASB">#REF!</definedName>
    <definedName name="ASD" hidden="1">{"via1",#N/A,TRUE,"general";"via2",#N/A,TRUE,"general";"via3",#N/A,TRUE,"general"}</definedName>
    <definedName name="ASDA" hidden="1">{"via1",#N/A,TRUE,"general";"via2",#N/A,TRUE,"general";"via3",#N/A,TRUE,"general"}</definedName>
    <definedName name="asdasd" hidden="1">{"TAB1",#N/A,TRUE,"GENERAL";"TAB2",#N/A,TRUE,"GENERAL";"TAB3",#N/A,TRUE,"GENERAL";"TAB4",#N/A,TRUE,"GENERAL";"TAB5",#N/A,TRUE,"GENERAL"}</definedName>
    <definedName name="aSDDAAAAAAAAAAAAAAAA">#N/A</definedName>
    <definedName name="asdf" hidden="1">{"via1",#N/A,TRUE,"general";"via2",#N/A,TRUE,"general";"via3",#N/A,TRUE,"general"}</definedName>
    <definedName name="asdfa" hidden="1">{"via1",#N/A,TRUE,"general";"via2",#N/A,TRUE,"general";"via3",#N/A,TRUE,"general"}</definedName>
    <definedName name="ASDFGHJKLÑ">[0]!ERR</definedName>
    <definedName name="asfasd" hidden="1">{"via1",#N/A,TRUE,"general";"via2",#N/A,TRUE,"general";"via3",#N/A,TRUE,"general"}</definedName>
    <definedName name="asfasdl" hidden="1">{"via1",#N/A,TRUE,"general";"via2",#N/A,TRUE,"general";"via3",#N/A,TRUE,"general"}</definedName>
    <definedName name="asfdfe" hidden="1">{#N/A,#N/A,TRUE,"INGENIERIA";#N/A,#N/A,TRUE,"COMPRAS";#N/A,#N/A,TRUE,"DIRECCION";#N/A,#N/A,TRUE,"RESUMEN"}</definedName>
    <definedName name="asff" hidden="1">{"TAB1",#N/A,TRUE,"GENERAL";"TAB2",#N/A,TRUE,"GENERAL";"TAB3",#N/A,TRUE,"GENERAL";"TAB4",#N/A,TRUE,"GENERAL";"TAB5",#N/A,TRUE,"GENERAL"}</definedName>
    <definedName name="asfghjoi" hidden="1">{"via1",#N/A,TRUE,"general";"via2",#N/A,TRUE,"general";"via3",#N/A,TRUE,"general"}</definedName>
    <definedName name="asojkdr" hidden="1">{"TAB1",#N/A,TRUE,"GENERAL";"TAB2",#N/A,TRUE,"GENERAL";"TAB3",#N/A,TRUE,"GENERAL";"TAB4",#N/A,TRUE,"GENERAL";"TAB5",#N/A,TRUE,"GENERAL"}</definedName>
    <definedName name="asSASAAAAAAAAAAAAAA">#N/A</definedName>
    <definedName name="Atp">#REF!</definedName>
    <definedName name="_xlnm.Auto_Open" localSheetId="0">MODULO10.auto_abrir</definedName>
    <definedName name="_xlnm.Auto_Open">MODULO10.auto_abrir</definedName>
    <definedName name="auto1">#REF!</definedName>
    <definedName name="auto123">#REF!</definedName>
    <definedName name="auto2">#REF!</definedName>
    <definedName name="AUTOMOTOR">#REF!</definedName>
    <definedName name="AUTOMOTOR1">#REF!</definedName>
    <definedName name="AuxAlim">#REF!</definedName>
    <definedName name="auxalimentacion">#REF!</definedName>
    <definedName name="AuxCom">#REF!</definedName>
    <definedName name="auxcomisariato">#REF!</definedName>
    <definedName name="AuxDot">#REF!</definedName>
    <definedName name="auxdotacion">#REF!</definedName>
    <definedName name="AuxHab">#REF!</definedName>
    <definedName name="auxhabi">#REF!</definedName>
    <definedName name="auxhabitacion">#REF!</definedName>
    <definedName name="auxtransporte">#REF!</definedName>
    <definedName name="Avance_por_item">#REF!,#REF!,#REF!,#REF!,#REF!,#REF!,#REF!,#REF!,#REF!,#REF!,#REF!,#REF!,#REF!,#REF!,#REF!,#REF!,#REF!,#REF!</definedName>
    <definedName name="Avances_Totales">#REF!,#REF!,#REF!,#REF!,#REF!,#REF!,#REF!,#REF!,#REF!,#REF!,#REF!,#REF!,#REF!,#REF!,#REF!,#REF!,#REF!,#REF!</definedName>
    <definedName name="AW">#REF!</definedName>
    <definedName name="azaz" hidden="1">{"TAB1",#N/A,TRUE,"GENERAL";"TAB2",#N/A,TRUE,"GENERAL";"TAB3",#N/A,TRUE,"GENERAL";"TAB4",#N/A,TRUE,"GENERAL";"TAB5",#N/A,TRUE,"GENERAL"}</definedName>
    <definedName name="B" hidden="1">{"via1",#N/A,TRUE,"general";"via2",#N/A,TRUE,"general";"via3",#N/A,TRUE,"general"}</definedName>
    <definedName name="Bajo_L">#REF!</definedName>
    <definedName name="Base">#REF!</definedName>
    <definedName name="Base_datos_IM">#REF!</definedName>
    <definedName name="base1">#REF!</definedName>
    <definedName name="base2">#REF!</definedName>
    <definedName name="basedatos">#REF!</definedName>
    <definedName name="_xlnm.Database">#REF!</definedName>
    <definedName name="BaseDeDatos1">#REF!</definedName>
    <definedName name="basep">#REF!</definedName>
    <definedName name="Basica_Centro_costo_2001">#REF!</definedName>
    <definedName name="Basica_Facturacion_2001">#REF!</definedName>
    <definedName name="Basica_Reserva_2001">#REF!</definedName>
    <definedName name="Básico">#REF!</definedName>
    <definedName name="BB">[0]!ERR</definedName>
    <definedName name="bbbbbb" hidden="1">{"via1",#N/A,TRUE,"general";"via2",#N/A,TRUE,"general";"via3",#N/A,TRUE,"general"}</definedName>
    <definedName name="bbbbbh" hidden="1">{"TAB1",#N/A,TRUE,"GENERAL";"TAB2",#N/A,TRUE,"GENERAL";"TAB3",#N/A,TRUE,"GENERAL";"TAB4",#N/A,TRUE,"GENERAL";"TAB5",#N/A,TRUE,"GENERAL"}</definedName>
    <definedName name="bbd" hidden="1">{"TAB1",#N/A,TRUE,"GENERAL";"TAB2",#N/A,TRUE,"GENERAL";"TAB3",#N/A,TRUE,"GENERAL";"TAB4",#N/A,TRUE,"GENERAL";"TAB5",#N/A,TRUE,"GENERAL"}</definedName>
    <definedName name="BC">#REF!</definedName>
    <definedName name="BCXBDFG" hidden="1">{"TAB1",#N/A,TRUE,"GENERAL";"TAB2",#N/A,TRUE,"GENERAL";"TAB3",#N/A,TRUE,"GENERAL";"TAB4",#N/A,TRUE,"GENERAL";"TAB5",#N/A,TRUE,"GENERAL"}</definedName>
    <definedName name="BDD">#REF!</definedName>
    <definedName name="BDFB" hidden="1">{"via1",#N/A,TRUE,"general";"via2",#N/A,TRUE,"general";"via3",#N/A,TRUE,"general"}</definedName>
    <definedName name="BDFGDG" hidden="1">{"TAB1",#N/A,TRUE,"GENERAL";"TAB2",#N/A,TRUE,"GENERAL";"TAB3",#N/A,TRUE,"GENERAL";"TAB4",#N/A,TRUE,"GENERAL";"TAB5",#N/A,TRUE,"GENERAL"}</definedName>
    <definedName name="be" hidden="1">{"TAB1",#N/A,TRUE,"GENERAL";"TAB2",#N/A,TRUE,"GENERAL";"TAB3",#N/A,TRUE,"GENERAL";"TAB4",#N/A,TRUE,"GENERAL";"TAB5",#N/A,TRUE,"GENERAL"}</definedName>
    <definedName name="Beg_Bal">#REF!</definedName>
    <definedName name="BENEF.UNIT.">#REF!</definedName>
    <definedName name="bfnfv" hidden="1">{"TAB1",#N/A,TRUE,"GENERAL";"TAB2",#N/A,TRUE,"GENERAL";"TAB3",#N/A,TRUE,"GENERAL";"TAB4",#N/A,TRUE,"GENERAL";"TAB5",#N/A,TRUE,"GENERAL"}</definedName>
    <definedName name="bgb" hidden="1">{"TAB1",#N/A,TRUE,"GENERAL";"TAB2",#N/A,TRUE,"GENERAL";"TAB3",#N/A,TRUE,"GENERAL";"TAB4",#N/A,TRUE,"GENERAL";"TAB5",#N/A,TRUE,"GENERAL"}</definedName>
    <definedName name="BGDGFRT" hidden="1">{"via1",#N/A,TRUE,"general";"via2",#N/A,TRUE,"general";"via3",#N/A,TRUE,"general"}</definedName>
    <definedName name="BGFBFH" hidden="1">{"via1",#N/A,TRUE,"general";"via2",#N/A,TRUE,"general";"via3",#N/A,TRUE,"general"}</definedName>
    <definedName name="BGT">#REF!</definedName>
    <definedName name="bgvfcdx" hidden="1">{"via1",#N/A,TRUE,"general";"via2",#N/A,TRUE,"general";"via3",#N/A,TRUE,"general"}</definedName>
    <definedName name="BHT_F">#REF!</definedName>
    <definedName name="bi">#REF!</definedName>
    <definedName name="blActividadesDiarias">#REF!</definedName>
    <definedName name="blCantidades">#REF!</definedName>
    <definedName name="blCantidades1">#REF!</definedName>
    <definedName name="blCantidades2">#REF!</definedName>
    <definedName name="blComentarioInf1">#REF!</definedName>
    <definedName name="blComentarioInf2">#REF!</definedName>
    <definedName name="blEjecutado">#REF!</definedName>
    <definedName name="blEjecutadoPorcen">#REF!</definedName>
    <definedName name="blEqCantiInf1">#REF!</definedName>
    <definedName name="blEqCantiInf2">#REF!</definedName>
    <definedName name="blEqClaseInf1">#REF!</definedName>
    <definedName name="blEqClaseInf2">#REF!</definedName>
    <definedName name="blEqTiemiInf1">#REF!</definedName>
    <definedName name="blEqTiemiInf2">#REF!</definedName>
    <definedName name="blFechaInforme">#REF!</definedName>
    <definedName name="blFechaInicio">#REF!</definedName>
    <definedName name="blFisico">#REF!</definedName>
    <definedName name="blHoraEqInf1">#REF!</definedName>
    <definedName name="blHoraEqInf2">#REF!</definedName>
    <definedName name="blHoraPerIntInf">#REF!</definedName>
    <definedName name="blHoraPerObraInf">#REF!</definedName>
    <definedName name="blHorasLluviaInf">#REF!</definedName>
    <definedName name="blImagen1">#REF!</definedName>
    <definedName name="blImagen2">#REF!</definedName>
    <definedName name="blNombreArchivo">#REF!</definedName>
    <definedName name="blObservacionesInf">#REF!</definedName>
    <definedName name="blPDT">#REF!</definedName>
    <definedName name="blPerAdmiCantInf">#REF!</definedName>
    <definedName name="blPerAdmiTiemInf">#REF!</definedName>
    <definedName name="blPerObraCantInf">#REF!</definedName>
    <definedName name="blPerObraTiemInf">#REF!</definedName>
    <definedName name="blPersonalAdminInf">#REF!</definedName>
    <definedName name="blPersonalObraInf">#REF!</definedName>
    <definedName name="BLPH1" hidden="1">#REF!</definedName>
    <definedName name="blProgramadoPesos">#REF!</definedName>
    <definedName name="blReferenciaInforme">#REF!</definedName>
    <definedName name="bn">#REF!</definedName>
    <definedName name="Bombas">#REF!</definedName>
    <definedName name="BONO">#REF!</definedName>
    <definedName name="BORDER1">#REF!</definedName>
    <definedName name="BORDET">#REF!</definedName>
    <definedName name="BORSHE">#REF!</definedName>
    <definedName name="BORSUM">#REF!</definedName>
    <definedName name="boxes">#REF!</definedName>
    <definedName name="BQ">#REF!</definedName>
    <definedName name="br" hidden="1">{"TAB1",#N/A,TRUE,"GENERAL";"TAB2",#N/A,TRUE,"GENERAL";"TAB3",#N/A,TRUE,"GENERAL";"TAB4",#N/A,TRUE,"GENERAL";"TAB5",#N/A,TRUE,"GENERAL"}</definedName>
    <definedName name="BREAKER">#REF!</definedName>
    <definedName name="BREAKERS">#REF!</definedName>
    <definedName name="Breakers_Switches">#REF!</definedName>
    <definedName name="Breakers_y_Switches">#REF!</definedName>
    <definedName name="bsb" hidden="1">{"via1",#N/A,TRUE,"general";"via2",#N/A,TRUE,"general";"via3",#N/A,TRUE,"general"}</definedName>
    <definedName name="bspoi" hidden="1">{"TAB1",#N/A,TRUE,"GENERAL";"TAB2",#N/A,TRUE,"GENERAL";"TAB3",#N/A,TRUE,"GENERAL";"TAB4",#N/A,TRUE,"GENERAL";"TAB5",#N/A,TRUE,"GENERAL"}</definedName>
    <definedName name="BSW">#REF!</definedName>
    <definedName name="bt" hidden="1">{"via1",#N/A,TRUE,"general";"via2",#N/A,TRUE,"general";"via3",#N/A,TRUE,"general"}</definedName>
    <definedName name="BTYJHTR" hidden="1">{"TAB1",#N/A,TRUE,"GENERAL";"TAB2",#N/A,TRUE,"GENERAL";"TAB3",#N/A,TRUE,"GENERAL";"TAB4",#N/A,TRUE,"GENERAL";"TAB5",#N/A,TRUE,"GENERAL"}</definedName>
    <definedName name="BuiltIn_Print_Area">#REF!</definedName>
    <definedName name="BuiltIn_Print_Area___0">#REF!</definedName>
    <definedName name="bvbc" hidden="1">{"TAB1",#N/A,TRUE,"GENERAL";"TAB2",#N/A,TRUE,"GENERAL";"TAB3",#N/A,TRUE,"GENERAL";"TAB4",#N/A,TRUE,"GENERAL";"TAB5",#N/A,TRUE,"GENERAL"}</definedName>
    <definedName name="bvcb" hidden="1">{"via1",#N/A,TRUE,"general";"via2",#N/A,TRUE,"general";"via3",#N/A,TRUE,"general"}</definedName>
    <definedName name="bvn" hidden="1">{"via1",#N/A,TRUE,"general";"via2",#N/A,TRUE,"general";"via3",#N/A,TRUE,"general"}</definedName>
    <definedName name="by" hidden="1">{"via1",#N/A,TRUE,"general";"via2",#N/A,TRUE,"general";"via3",#N/A,TRUE,"general"}</definedName>
    <definedName name="C._C.">#REF!</definedName>
    <definedName name="C_">#REF!</definedName>
    <definedName name="CA">#REF!</definedName>
    <definedName name="Cableado">#REF!</definedName>
    <definedName name="CajDol1">#REF!</definedName>
    <definedName name="CajDol10">#REF!</definedName>
    <definedName name="CajDol11">#REF!</definedName>
    <definedName name="CajDol12">#REF!</definedName>
    <definedName name="CajDol2">#REF!</definedName>
    <definedName name="CajDol3">#REF!</definedName>
    <definedName name="CajDol4">#REF!</definedName>
    <definedName name="CajDol5">#REF!</definedName>
    <definedName name="CajDol6">#REF!</definedName>
    <definedName name="CajDol7">#REF!</definedName>
    <definedName name="CajDol8">#REF!</definedName>
    <definedName name="CajDol9">#REF!</definedName>
    <definedName name="CAMPO">#REF!</definedName>
    <definedName name="CANT">#REF!</definedName>
    <definedName name="cantidad">#REF!,#REF!,#REF!,#REF!,#REF!,#REF!,#REF!,#REF!,#REF!,#REF!,#REF!,#REF!,#REF!,#REF!,#REF!,#REF!</definedName>
    <definedName name="CAP">#REF!</definedName>
    <definedName name="CAPAC._HSE">#REF!</definedName>
    <definedName name="CARGA">#REF!</definedName>
    <definedName name="CARGOS">#REF!</definedName>
    <definedName name="carlos" localSheetId="0">MODULO10.auto_abrir</definedName>
    <definedName name="carlos">MODULO10.auto_abrir</definedName>
    <definedName name="CBLES">#REF!</definedName>
    <definedName name="CBLES1">#REF!</definedName>
    <definedName name="CBRDISEÑO">#REF!</definedName>
    <definedName name="CBWorkbookPriority" hidden="1">-1602700874</definedName>
    <definedName name="CC">#REF!</definedName>
    <definedName name="ccccc" hidden="1">{"TAB1",#N/A,TRUE,"GENERAL";"TAB2",#N/A,TRUE,"GENERAL";"TAB3",#N/A,TRUE,"GENERAL";"TAB4",#N/A,TRUE,"GENERAL";"TAB5",#N/A,TRUE,"GENERAL"}</definedName>
    <definedName name="CCCCCC">#REF!</definedName>
    <definedName name="CCT">#REF!</definedName>
    <definedName name="ccto210">#REF!</definedName>
    <definedName name="cd">#REF!</definedName>
    <definedName name="cdcdc" hidden="1">{"via1",#N/A,TRUE,"general";"via2",#N/A,TRUE,"general";"via3",#N/A,TRUE,"general"}</definedName>
    <definedName name="CDctrl">#REF!</definedName>
    <definedName name="CDE">#REF!</definedName>
    <definedName name="cdfgrtfd" hidden="1">#REF!</definedName>
    <definedName name="ceerf" hidden="1">{"TAB1",#N/A,TRUE,"GENERAL";"TAB2",#N/A,TRUE,"GENERAL";"TAB3",#N/A,TRUE,"GENERAL";"TAB4",#N/A,TRUE,"GENERAL";"TAB5",#N/A,TRUE,"GENERAL"}</definedName>
    <definedName name="CEMENTO">#REF!</definedName>
    <definedName name="CGDI01">#REF!</definedName>
    <definedName name="CGDI02">#REF!</definedName>
    <definedName name="CGDI03">#REF!</definedName>
    <definedName name="CGDI04">#REF!</definedName>
    <definedName name="CGDI05">#REF!</definedName>
    <definedName name="CGDI06">#REF!</definedName>
    <definedName name="CGDI07">#REF!</definedName>
    <definedName name="CGDI08">#REF!</definedName>
    <definedName name="CGEX01">#REF!</definedName>
    <definedName name="CGEX02">#REF!</definedName>
    <definedName name="CGEX031">#REF!</definedName>
    <definedName name="CGEX04">#REF!</definedName>
    <definedName name="CGFI011">#REF!</definedName>
    <definedName name="CGFI012">#REF!</definedName>
    <definedName name="CGFI021">#REF!</definedName>
    <definedName name="CGFI022">#REF!</definedName>
    <definedName name="CGFI023">#REF!</definedName>
    <definedName name="CGFI024">#REF!</definedName>
    <definedName name="CGFI031">#REF!</definedName>
    <definedName name="CGFI032">#REF!</definedName>
    <definedName name="CGFI0331">#REF!</definedName>
    <definedName name="CGFI0332">#REF!</definedName>
    <definedName name="CGFI0333">#REF!</definedName>
    <definedName name="CGFI0334">#REF!</definedName>
    <definedName name="CGFI0335">#REF!</definedName>
    <definedName name="CGFI0341">#REF!</definedName>
    <definedName name="CGFI0343">#REF!</definedName>
    <definedName name="CGFI0344">#REF!</definedName>
    <definedName name="CGPR01">#REF!</definedName>
    <definedName name="CGPR021">#REF!</definedName>
    <definedName name="CGPR022">#REF!</definedName>
    <definedName name="CGPR023">#REF!</definedName>
    <definedName name="CGPR024">#REF!</definedName>
    <definedName name="CGPR031">#REF!</definedName>
    <definedName name="CGPR032">#REF!</definedName>
    <definedName name="CGPR0331">#REF!</definedName>
    <definedName name="CGPR0332">#REF!</definedName>
    <definedName name="CGPR0333">#REF!</definedName>
    <definedName name="CGPR041">#REF!</definedName>
    <definedName name="CGPR042">#REF!</definedName>
    <definedName name="CGPR043">#REF!</definedName>
    <definedName name="CGPR051">#REF!</definedName>
    <definedName name="CGPR052">#REF!</definedName>
    <definedName name="CGPR0531">#REF!</definedName>
    <definedName name="CGPR0532">#REF!</definedName>
    <definedName name="CGPR0533">#REF!</definedName>
    <definedName name="CGPR0534">#REF!</definedName>
    <definedName name="CGPR0541">#REF!</definedName>
    <definedName name="CGPR0542">#REF!</definedName>
    <definedName name="CGPR0543">#REF!</definedName>
    <definedName name="CGPR061">#REF!</definedName>
    <definedName name="CGPR062">#REF!</definedName>
    <definedName name="CGPR0621">#REF!</definedName>
    <definedName name="CGPR0622">#REF!</definedName>
    <definedName name="CGPR0631">#REF!</definedName>
    <definedName name="CGPR0632">#REF!</definedName>
    <definedName name="CGPR0633">#REF!</definedName>
    <definedName name="CGPR0641">#REF!</definedName>
    <definedName name="CGPR0642">#REF!</definedName>
    <definedName name="CGPR0643">#REF!</definedName>
    <definedName name="CGRF01">#REF!</definedName>
    <definedName name="CGRF02">#REF!</definedName>
    <definedName name="CGRF031">#REF!</definedName>
    <definedName name="CGRF032">#REF!</definedName>
    <definedName name="CGRF0331">#REF!</definedName>
    <definedName name="CGRF0332">#REF!</definedName>
    <definedName name="CGRF0333">#REF!</definedName>
    <definedName name="CGRF0334">#REF!</definedName>
    <definedName name="CGRF0335">#REF!</definedName>
    <definedName name="CGRF0336">#REF!</definedName>
    <definedName name="CGRF0337">#REF!</definedName>
    <definedName name="CGRF0338">#REF!</definedName>
    <definedName name="CGRF0341">#REF!</definedName>
    <definedName name="CGRF0342">#REF!</definedName>
    <definedName name="CGRF0343">#REF!</definedName>
    <definedName name="CGRF041">#REF!</definedName>
    <definedName name="CGRF042">#REF!</definedName>
    <definedName name="CGRF0431">#REF!</definedName>
    <definedName name="CGRF0432">#REF!</definedName>
    <definedName name="CGRF0433">#REF!</definedName>
    <definedName name="CGRF0441">#REF!</definedName>
    <definedName name="CGRF0442">#REF!</definedName>
    <definedName name="CGRF0443">#REF!</definedName>
    <definedName name="CGSM01">#REF!</definedName>
    <definedName name="CGSM02">#REF!</definedName>
    <definedName name="CGSM03">#REF!</definedName>
    <definedName name="CGSM04">#REF!</definedName>
    <definedName name="CGSM05">#REF!</definedName>
    <definedName name="CGSO011">#REF!</definedName>
    <definedName name="CGSO012">#REF!</definedName>
    <definedName name="CGSO013">#REF!</definedName>
    <definedName name="CGSO014">#REF!</definedName>
    <definedName name="CGSO02">#REF!</definedName>
    <definedName name="CGSO031">#REF!</definedName>
    <definedName name="CGSO032">#REF!</definedName>
    <definedName name="CGSO033">#REF!</definedName>
    <definedName name="CGSO034">#REF!</definedName>
    <definedName name="CGSO041">#REF!</definedName>
    <definedName name="CGSO042">#REF!</definedName>
    <definedName name="CGSO043">#REF!</definedName>
    <definedName name="CGSO044">#REF!</definedName>
    <definedName name="CGSO051">#REF!</definedName>
    <definedName name="CGSO052">#REF!</definedName>
    <definedName name="CGSO053">#REF!</definedName>
    <definedName name="CGSO054">#REF!</definedName>
    <definedName name="CGSO055">#REF!</definedName>
    <definedName name="CGSO061">#REF!</definedName>
    <definedName name="CGSO062">#REF!</definedName>
    <definedName name="CGSO063">#REF!</definedName>
    <definedName name="CGSO064">#REF!</definedName>
    <definedName name="CGTR011">#REF!</definedName>
    <definedName name="CGTR012">#REF!</definedName>
    <definedName name="CGTR021">#REF!</definedName>
    <definedName name="CGTR022">#REF!</definedName>
    <definedName name="CGTR023">#REF!</definedName>
    <definedName name="CGTR031">#REF!</definedName>
    <definedName name="CGTR032">#REF!</definedName>
    <definedName name="CGTR033">#REF!</definedName>
    <definedName name="CGTR034">#REF!</definedName>
    <definedName name="CGTR035">#REF!</definedName>
    <definedName name="CGTR036">#REF!</definedName>
    <definedName name="CGTR037">#REF!</definedName>
    <definedName name="CGTR038">#REF!</definedName>
    <definedName name="CGTR039">#REF!</definedName>
    <definedName name="CGTR041">#REF!</definedName>
    <definedName name="CGTR042">#REF!</definedName>
    <definedName name="CGTR043">#REF!</definedName>
    <definedName name="CGTR044">#REF!</definedName>
    <definedName name="CGTR051">#REF!</definedName>
    <definedName name="Ch">#REF!</definedName>
    <definedName name="CHK_PU">#REF!</definedName>
    <definedName name="CHP">#REF!</definedName>
    <definedName name="CISNEROS">#REF!</definedName>
    <definedName name="cjsa" hidden="1">#REF!</definedName>
    <definedName name="CL">#REF!</definedName>
    <definedName name="cmf">#REF!</definedName>
    <definedName name="CMIBLE">#REF!</definedName>
    <definedName name="CMIBLE1">#REF!</definedName>
    <definedName name="Cod">#REF!</definedName>
    <definedName name="CodActEco">#REF!</definedName>
    <definedName name="codigo">#REF!,#REF!</definedName>
    <definedName name="CodigoInversion">#REF!</definedName>
    <definedName name="CodigoProyecto">#REF!</definedName>
    <definedName name="Codigos">#REF!</definedName>
    <definedName name="CODOS">#REF!</definedName>
    <definedName name="cogvsiruj">#REF!</definedName>
    <definedName name="COLON">#REF!</definedName>
    <definedName name="ColTap">#REF!</definedName>
    <definedName name="Com">#REF!</definedName>
    <definedName name="COMIDA">#REF!</definedName>
    <definedName name="Compresores">#REF!</definedName>
    <definedName name="ConseqCat">0</definedName>
    <definedName name="ConseqForMitRisk">3</definedName>
    <definedName name="CONT">#REF!</definedName>
    <definedName name="Contratante">#REF!</definedName>
    <definedName name="CONTRATO">#REF!</definedName>
    <definedName name="COPIA">[0]!ERR</definedName>
    <definedName name="COPIA1">#REF!</definedName>
    <definedName name="COPIA2">#REF!</definedName>
    <definedName name="copiao4">[0]!ERR</definedName>
    <definedName name="corri">[0]!ERR</definedName>
    <definedName name="COSTO_FRENTE">#REF!</definedName>
    <definedName name="costo2" hidden="1">#REF!</definedName>
    <definedName name="COSTODIRECTO">#REF!</definedName>
    <definedName name="COSTOS">#REF!</definedName>
    <definedName name="CRIT">#REF!</definedName>
    <definedName name="CRIT_APIAY">#REF!</definedName>
    <definedName name="CRIT_CHICHI">#REF!</definedName>
    <definedName name="CRIT_CHICHI1">#REF!</definedName>
    <definedName name="CRIT_DOL">#REF!</definedName>
    <definedName name="CRIT_DOL1">#REF!</definedName>
    <definedName name="CRIT1">#REF!</definedName>
    <definedName name="Criteria_MI">#REF!</definedName>
    <definedName name="Criterios_IM">#REF!</definedName>
    <definedName name="Criticidad">#REF!</definedName>
    <definedName name="cs">#REF!</definedName>
    <definedName name="CS_AVG_SIZE">#REF!</definedName>
    <definedName name="CS_WELDING">#REF!</definedName>
    <definedName name="CTA">#REF!</definedName>
    <definedName name="CTE">#REF!</definedName>
    <definedName name="CTR">#REF!</definedName>
    <definedName name="CTRPAG">#REF!</definedName>
    <definedName name="CUAL">[0]!ERR</definedName>
    <definedName name="CUBS">#REF!</definedName>
    <definedName name="CUNET" hidden="1">{"via1",#N/A,TRUE,"general";"via2",#N/A,TRUE,"general";"via3",#N/A,TRUE,"general"}</definedName>
    <definedName name="Customize">#REF!</definedName>
    <definedName name="cv">#REF!</definedName>
    <definedName name="CVa">#REF!</definedName>
    <definedName name="cvbcvbf" hidden="1">{#N/A,#N/A,TRUE,"INGENIERIA";#N/A,#N/A,TRUE,"COMPRAS";#N/A,#N/A,TRUE,"DIRECCION";#N/A,#N/A,TRUE,"RESUMEN"}</definedName>
    <definedName name="cvfvd" hidden="1">{"via1",#N/A,TRUE,"general";"via2",#N/A,TRUE,"general";"via3",#N/A,TRUE,"general"}</definedName>
    <definedName name="cvn" hidden="1">{"TAB1",#N/A,TRUE,"GENERAL";"TAB2",#N/A,TRUE,"GENERAL";"TAB3",#N/A,TRUE,"GENERAL";"TAB4",#N/A,TRUE,"GENERAL";"TAB5",#N/A,TRUE,"GENERAL"}</definedName>
    <definedName name="CVXC" hidden="1">{"via1",#N/A,TRUE,"general";"via2",#N/A,TRUE,"general";"via3",#N/A,TRUE,"general"}</definedName>
    <definedName name="d" hidden="1">{"TAB1",#N/A,TRUE,"GENERAL";"TAB2",#N/A,TRUE,"GENERAL";"TAB3",#N/A,TRUE,"GENERAL";"TAB4",#N/A,TRUE,"GENERAL";"TAB5",#N/A,TRUE,"GENERAL"}</definedName>
    <definedName name="D_1">#REF!</definedName>
    <definedName name="DAFT">#REF!</definedName>
    <definedName name="DANODO">#REF!</definedName>
    <definedName name="DANODOF">#REF!</definedName>
    <definedName name="DANODOFT">#REF!</definedName>
    <definedName name="dario">#REF!</definedName>
    <definedName name="DASD" hidden="1">{"TAB1",#N/A,TRUE,"GENERAL";"TAB2",#N/A,TRUE,"GENERAL";"TAB3",#N/A,TRUE,"GENERAL";"TAB4",#N/A,TRUE,"GENERAL";"TAB5",#N/A,TRUE,"GENERAL"}</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Database_MI">#REF!</definedName>
    <definedName name="DATO1">#REF!</definedName>
    <definedName name="datos">#REF!</definedName>
    <definedName name="DBASE1">#REF!</definedName>
    <definedName name="DBASE2">#REF!</definedName>
    <definedName name="DBASE3">#REF!</definedName>
    <definedName name="dbfdfbi" hidden="1">{"TAB1",#N/A,TRUE,"GENERAL";"TAB2",#N/A,TRUE,"GENERAL";"TAB3",#N/A,TRUE,"GENERAL";"TAB4",#N/A,TRUE,"GENERAL";"TAB5",#N/A,TRUE,"GENERAL"}</definedName>
    <definedName name="Dbgcm">#REF!</definedName>
    <definedName name="dc">#REF!</definedName>
    <definedName name="Dcacm">#REF!</definedName>
    <definedName name="DCI">#REF!</definedName>
    <definedName name="DCI1_1">#REF!</definedName>
    <definedName name="DCI1_1_1">#REF!</definedName>
    <definedName name="DCI1_1_2">#REF!</definedName>
    <definedName name="DCI1_1_3">#REF!</definedName>
    <definedName name="DCI1_1_4">#REF!</definedName>
    <definedName name="DCI1_2">#REF!</definedName>
    <definedName name="DCI1_3">#REF!</definedName>
    <definedName name="DCI1_4">#REF!</definedName>
    <definedName name="DCorriente">#REF!</definedName>
    <definedName name="Dcorriente1">#REF!</definedName>
    <definedName name="DCSDCTV" hidden="1">{"via1",#N/A,TRUE,"general";"via2",#N/A,TRUE,"general";"via3",#N/A,TRUE,"general"}</definedName>
    <definedName name="dd">#REF!</definedName>
    <definedName name="ddd" hidden="1">{"via1",#N/A,TRUE,"general";"via2",#N/A,TRUE,"general";"via3",#N/A,TRUE,"general"}</definedName>
    <definedName name="DDDD" hidden="1">{#N/A,#N/A,FALSE,"Estatico";#N/A,#N/A,FALSE,"Tuberia";#N/A,#N/A,FALSE,"Instrumentación";#N/A,#N/A,FALSE,"Mecanica";#N/A,#N/A,FALSE,"Electrico";#N/A,#N/A,FALSE,"Ofic.Civiles"}</definedName>
    <definedName name="DDDDDDD" hidden="1">{#N/A,#N/A,FALSE,"orthoflow";#N/A,#N/A,FALSE,"Miscelaneos";#N/A,#N/A,FALSE,"Instrumentacio";#N/A,#N/A,FALSE,"Electrico";#N/A,#N/A,FALSE,"Valv. Seguridad"}</definedName>
    <definedName name="ddddt" hidden="1">{"via1",#N/A,TRUE,"general";"via2",#N/A,TRUE,"general";"via3",#N/A,TRUE,"general"}</definedName>
    <definedName name="ddewdw" hidden="1">{"TAB1",#N/A,TRUE,"GENERAL";"TAB2",#N/A,TRUE,"GENERAL";"TAB3",#N/A,TRUE,"GENERAL";"TAB4",#N/A,TRUE,"GENERAL";"TAB5",#N/A,TRUE,"GENERAL"}</definedName>
    <definedName name="ddfdh" hidden="1">{"TAB1",#N/A,TRUE,"GENERAL";"TAB2",#N/A,TRUE,"GENERAL";"TAB3",#N/A,TRUE,"GENERAL";"TAB4",#N/A,TRUE,"GENERAL";"TAB5",#N/A,TRUE,"GENERAL"}</definedName>
    <definedName name="DDGSDP" hidden="1">{"TAB1",#N/A,TRUE,"GENERAL";"TAB2",#N/A,TRUE,"GENERAL";"TAB3",#N/A,TRUE,"GENERAL";"TAB4",#N/A,TRUE,"GENERAL";"TAB5",#N/A,TRUE,"GENERAL"}</definedName>
    <definedName name="DDS">#REF!</definedName>
    <definedName name="DDS1_1">#REF!</definedName>
    <definedName name="DDS1_1_1">#REF!</definedName>
    <definedName name="deded" hidden="1">{"TAB1",#N/A,TRUE,"GENERAL";"TAB2",#N/A,TRUE,"GENERAL";"TAB3",#N/A,TRUE,"GENERAL";"TAB4",#N/A,TRUE,"GENERAL";"TAB5",#N/A,TRUE,"GENERAL"}</definedName>
    <definedName name="defd" hidden="1">{"via1",#N/A,TRUE,"general";"via2",#N/A,TRUE,"general";"via3",#N/A,TRUE,"general"}</definedName>
    <definedName name="demanto">#REF!</definedName>
    <definedName name="DEMOLICIÓN">#REF!</definedName>
    <definedName name="DEP_VPR_GRM">#REF!</definedName>
    <definedName name="DEP_VPR_GRN">#REF!</definedName>
    <definedName name="DEP_VPR_GRS">#REF!</definedName>
    <definedName name="DEP_VPR_GTP">#REF!</definedName>
    <definedName name="DEP_VPR_NA">#REF!</definedName>
    <definedName name="DEPEND">#REF!</definedName>
    <definedName name="DEPENDENCIA">#REF!</definedName>
    <definedName name="DEPENDENCIAS">#REF!</definedName>
    <definedName name="DERFE">#REF!</definedName>
    <definedName name="desarrolladas">#REF!,#REF!,#REF!,#REF!</definedName>
    <definedName name="DESCUNMI">#REF!</definedName>
    <definedName name="DEST_ART">#REF!</definedName>
    <definedName name="DESTCOD">#REF!</definedName>
    <definedName name="DESTFG">#REF!</definedName>
    <definedName name="DESTQTY">#REF!</definedName>
    <definedName name="DETAIL">#REF!</definedName>
    <definedName name="Detalle_Reserva">#REF!</definedName>
    <definedName name="DEX">#REF!</definedName>
    <definedName name="DF">#REF!</definedName>
    <definedName name="dfa" hidden="1">{"TAB1",#N/A,TRUE,"GENERAL";"TAB2",#N/A,TRUE,"GENERAL";"TAB3",#N/A,TRUE,"GENERAL";"TAB4",#N/A,TRUE,"GENERAL";"TAB5",#N/A,TRUE,"GENERAL"}</definedName>
    <definedName name="dfasd" hidden="1">{"TAB1",#N/A,TRUE,"GENERAL";"TAB2",#N/A,TRUE,"GENERAL";"TAB3",#N/A,TRUE,"GENERAL";"TAB4",#N/A,TRUE,"GENERAL";"TAB5",#N/A,TRUE,"GENERAL"}</definedName>
    <definedName name="DFBNJ" hidden="1">{"via1",#N/A,TRUE,"general";"via2",#N/A,TRUE,"general";"via3",#N/A,TRUE,"general"}</definedName>
    <definedName name="dfds" hidden="1">{"TAB1",#N/A,TRUE,"GENERAL";"TAB2",#N/A,TRUE,"GENERAL";"TAB3",#N/A,TRUE,"GENERAL";"TAB4",#N/A,TRUE,"GENERAL";"TAB5",#N/A,TRUE,"GENERAL"}</definedName>
    <definedName name="dfdsfi" hidden="1">{"via1",#N/A,TRUE,"general";"via2",#N/A,TRUE,"general";"via3",#N/A,TRUE,"general"}</definedName>
    <definedName name="dffffe" hidden="1">{"TAB1",#N/A,TRUE,"GENERAL";"TAB2",#N/A,TRUE,"GENERAL";"TAB3",#N/A,TRUE,"GENERAL";"TAB4",#N/A,TRUE,"GENERAL";"TAB5",#N/A,TRUE,"GENERAL"}</definedName>
    <definedName name="DFG" hidden="1">{"via1",#N/A,TRUE,"general";"via2",#N/A,TRUE,"general";"via3",#N/A,TRUE,"general"}</definedName>
    <definedName name="DFGBHJ" hidden="1">{"via1",#N/A,TRUE,"general";"via2",#N/A,TRUE,"general";"via3",#N/A,TRUE,"general"}</definedName>
    <definedName name="DFGDFG" hidden="1">{"via1",#N/A,TRUE,"general";"via2",#N/A,TRUE,"general";"via3",#N/A,TRUE,"general"}</definedName>
    <definedName name="DFGDYYB" hidden="1">{"TAB1",#N/A,TRUE,"GENERAL";"TAB2",#N/A,TRUE,"GENERAL";"TAB3",#N/A,TRUE,"GENERAL";"TAB4",#N/A,TRUE,"GENERAL";"TAB5",#N/A,TRUE,"GENERAL"}</definedName>
    <definedName name="dfgf" hidden="1">{"via1",#N/A,TRUE,"general";"via2",#N/A,TRUE,"general";"via3",#N/A,TRUE,"general"}</definedName>
    <definedName name="DFGFBOP" hidden="1">{"TAB1",#N/A,TRUE,"GENERAL";"TAB2",#N/A,TRUE,"GENERAL";"TAB3",#N/A,TRUE,"GENERAL";"TAB4",#N/A,TRUE,"GENERAL";"TAB5",#N/A,TRUE,"GENERAL"}</definedName>
    <definedName name="DFGFDG" hidden="1">{"TAB1",#N/A,TRUE,"GENERAL";"TAB2",#N/A,TRUE,"GENERAL";"TAB3",#N/A,TRUE,"GENERAL";"TAB4",#N/A,TRUE,"GENERAL";"TAB5",#N/A,TRUE,"GENERAL"}</definedName>
    <definedName name="DFGV" hidden="1">{"TAB1",#N/A,TRUE,"GENERAL";"TAB2",#N/A,TRUE,"GENERAL";"TAB3",#N/A,TRUE,"GENERAL";"TAB4",#N/A,TRUE,"GENERAL";"TAB5",#N/A,TRUE,"GENERAL"}</definedName>
    <definedName name="dfgypuj" hidden="1">{"TAB1",#N/A,TRUE,"GENERAL";"TAB2",#N/A,TRUE,"GENERAL";"TAB3",#N/A,TRUE,"GENERAL";"TAB4",#N/A,TRUE,"GENERAL";"TAB5",#N/A,TRUE,"GENERAL"}</definedName>
    <definedName name="dfh" hidden="1">{"TAB1",#N/A,TRUE,"GENERAL";"TAB2",#N/A,TRUE,"GENERAL";"TAB3",#N/A,TRUE,"GENERAL";"TAB4",#N/A,TRUE,"GENERAL";"TAB5",#N/A,TRUE,"GENERAL"}</definedName>
    <definedName name="dfhdr" hidden="1">{"via1",#N/A,TRUE,"general";"via2",#N/A,TRUE,"general";"via3",#N/A,TRUE,"general"}</definedName>
    <definedName name="dfhgh" hidden="1">{"via1",#N/A,TRUE,"general";"via2",#N/A,TRUE,"general";"via3",#N/A,TRUE,"general"}</definedName>
    <definedName name="dfj" hidden="1">{"via1",#N/A,TRUE,"general";"via2",#N/A,TRUE,"general";"via3",#N/A,TRUE,"general"}</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RFRF" hidden="1">{"via1",#N/A,TRUE,"general";"via2",#N/A,TRUE,"general";"via3",#N/A,TRUE,"general"}</definedName>
    <definedName name="DFVUI" hidden="1">{"via1",#N/A,TRUE,"general";"via2",#N/A,TRUE,"general";"via3",#N/A,TRUE,"general"}</definedName>
    <definedName name="dg" hidden="1">{"via1",#N/A,TRUE,"general";"via2",#N/A,TRUE,"general";"via3",#N/A,TRUE,"general"}</definedName>
    <definedName name="dgdgr" hidden="1">{"via1",#N/A,TRUE,"general";"via2",#N/A,TRUE,"general";"via3",#N/A,TRUE,"general"}</definedName>
    <definedName name="dgfd" hidden="1">{"TAB1",#N/A,TRUE,"GENERAL";"TAB2",#N/A,TRUE,"GENERAL";"TAB3",#N/A,TRUE,"GENERAL";"TAB4",#N/A,TRUE,"GENERAL";"TAB5",#N/A,TRUE,"GENERAL"}</definedName>
    <definedName name="DGFDFVSDF" hidden="1">{"via1",#N/A,TRUE,"general";"via2",#N/A,TRUE,"general";"via3",#N/A,TRUE,"general"}</definedName>
    <definedName name="dgfdg" hidden="1">{"via1",#N/A,TRUE,"general";"via2",#N/A,TRUE,"general";"via3",#N/A,TRUE,"general"}</definedName>
    <definedName name="DGFG" hidden="1">{"via1",#N/A,TRUE,"general";"via2",#N/A,TRUE,"general";"via3",#N/A,TRUE,"general"}</definedName>
    <definedName name="dgfsado" hidden="1">{"TAB1",#N/A,TRUE,"GENERAL";"TAB2",#N/A,TRUE,"GENERAL";"TAB3",#N/A,TRUE,"GENERAL";"TAB4",#N/A,TRUE,"GENERAL";"TAB5",#N/A,TRUE,"GENERAL"}</definedName>
    <definedName name="DGO">#REF!</definedName>
    <definedName name="DGO1_1">#REF!</definedName>
    <definedName name="DGO1_1_1">#REF!</definedName>
    <definedName name="DGP">#REF!</definedName>
    <definedName name="DGP1_1">#REF!</definedName>
    <definedName name="DGP1_1_1">#REF!</definedName>
    <definedName name="dgrdeb" hidden="1">{"TAB1",#N/A,TRUE,"GENERAL";"TAB2",#N/A,TRUE,"GENERAL";"TAB3",#N/A,TRUE,"GENERAL";"TAB4",#N/A,TRUE,"GENERAL";"TAB5",#N/A,TRUE,"GENERAL"}</definedName>
    <definedName name="dgreg" hidden="1">{"via1",#N/A,TRUE,"general";"via2",#N/A,TRUE,"general";"via3",#N/A,TRUE,"general"}</definedName>
    <definedName name="DH" hidden="1">{"via1",#N/A,TRUE,"general";"via2",#N/A,TRUE,"general";"via3",#N/A,TRUE,"general"}</definedName>
    <definedName name="dhdth" hidden="1">{"TAB1",#N/A,TRUE,"GENERAL";"TAB2",#N/A,TRUE,"GENERAL";"TAB3",#N/A,TRUE,"GENERAL";"TAB4",#N/A,TRUE,"GENERAL";"TAB5",#N/A,TRUE,"GENERAL"}</definedName>
    <definedName name="dhgh" hidden="1">{"via1",#N/A,TRUE,"general";"via2",#N/A,TRUE,"general";"via3",#N/A,TRUE,"general"}</definedName>
    <definedName name="DIA">#REF!</definedName>
    <definedName name="Diámetro">#REF!</definedName>
    <definedName name="diámetroft">#REF!</definedName>
    <definedName name="diametros">#REF!</definedName>
    <definedName name="diferencia">#REF!,#REF!,#REF!,#REF!,#REF!,#REF!,#REF!,#REF!,#REF!,#REF!</definedName>
    <definedName name="DIJ">#REF!</definedName>
    <definedName name="DIJ1_1">#REF!</definedName>
    <definedName name="DIJ1_1_1">#REF!</definedName>
    <definedName name="DIJ1_1_2">#REF!</definedName>
    <definedName name="DIJ1_1_3">#REF!</definedName>
    <definedName name="DIJ1_1_4">#REF!</definedName>
    <definedName name="DIJ1_1_5">#REF!</definedName>
    <definedName name="DIJ1_2">#REF!</definedName>
    <definedName name="DIJ1_3">#REF!</definedName>
    <definedName name="DIJ1_4">#REF!</definedName>
    <definedName name="DIJ1_5">#REF!</definedName>
    <definedName name="Direccion">#REF!</definedName>
    <definedName name="display_area_2">#REF!</definedName>
    <definedName name="djdytj" hidden="1">{"TAB1",#N/A,TRUE,"GENERAL";"TAB2",#N/A,TRUE,"GENERAL";"TAB3",#N/A,TRUE,"GENERAL";"TAB4",#N/A,TRUE,"GENERAL";"TAB5",#N/A,TRUE,"GENERAL"}</definedName>
    <definedName name="DMxUS">#REF!</definedName>
    <definedName name="do">#REF!</definedName>
    <definedName name="dolar">#REF!</definedName>
    <definedName name="DOLLAR">#REF!</definedName>
    <definedName name="DOTACIÓN">#REF!</definedName>
    <definedName name="DPI">#REF!</definedName>
    <definedName name="DPI1_1">#REF!</definedName>
    <definedName name="DPI1_1_1">#REF!</definedName>
    <definedName name="DPY">#REF!</definedName>
    <definedName name="DPY1_1">#REF!</definedName>
    <definedName name="DPY1_1_1">#REF!</definedName>
    <definedName name="DRI">#REF!</definedName>
    <definedName name="DRI1_1">#REF!</definedName>
    <definedName name="DRI1_1_1">#REF!</definedName>
    <definedName name="DRI1_1_2">#REF!</definedName>
    <definedName name="DRI1_1_3">#REF!</definedName>
    <definedName name="DRI1_1_4">#REF!</definedName>
    <definedName name="DRI1_2">#REF!</definedName>
    <definedName name="DRI1_3">#REF!</definedName>
    <definedName name="DRI1_4">#REF!</definedName>
    <definedName name="DRL">#REF!</definedName>
    <definedName name="DRL1_1">#REF!</definedName>
    <definedName name="DRL1_1_1">#REF!</definedName>
    <definedName name="DRL1_1_2">#REF!</definedName>
    <definedName name="DRL1_1_3">#REF!</definedName>
    <definedName name="DRL1_1_4">#REF!</definedName>
    <definedName name="DRL1_2">#REF!</definedName>
    <definedName name="DRL1_3">#REF!</definedName>
    <definedName name="DRL1_4">#REF!</definedName>
    <definedName name="dry" hidden="1">{"via1",#N/A,TRUE,"general";"via2",#N/A,TRUE,"general";"via3",#N/A,TRUE,"general"}</definedName>
    <definedName name="DS">#REF!</definedName>
    <definedName name="DSAD" hidden="1">{"via1",#N/A,TRUE,"general";"via2",#N/A,TRUE,"general";"via3",#N/A,TRUE,"general"}</definedName>
    <definedName name="dsadfp" hidden="1">{"TAB1",#N/A,TRUE,"GENERAL";"TAB2",#N/A,TRUE,"GENERAL";"TAB3",#N/A,TRUE,"GENERAL";"TAB4",#N/A,TRUE,"GENERAL";"TAB5",#N/A,TRUE,"GENERAL"}</definedName>
    <definedName name="Dsbcm">#REF!</definedName>
    <definedName name="DsctoFondo">#REF!</definedName>
    <definedName name="DsctoPension">#REF!</definedName>
    <definedName name="DsctoSalud">#REF!</definedName>
    <definedName name="DSD" hidden="1">{"via1",#N/A,TRUE,"general";"via2",#N/A,TRUE,"general";"via3",#N/A,TRUE,"general"}</definedName>
    <definedName name="dsdads4" hidden="1">{"TAB1",#N/A,TRUE,"GENERAL";"TAB2",#N/A,TRUE,"GENERAL";"TAB3",#N/A,TRUE,"GENERAL";"TAB4",#N/A,TRUE,"GENERAL";"TAB5",#N/A,TRUE,"GENERAL"}</definedName>
    <definedName name="DSF" hidden="1">{"via1",#N/A,TRUE,"general";"via2",#N/A,TRUE,"general";"via3",#N/A,TRUE,"general"}</definedName>
    <definedName name="DSFCVTY" hidden="1">{"TAB1",#N/A,TRUE,"GENERAL";"TAB2",#N/A,TRUE,"GENERAL";"TAB3",#N/A,TRUE,"GENERAL";"TAB4",#N/A,TRUE,"GENERAL";"TAB5",#N/A,TRUE,"GENERAL"}</definedName>
    <definedName name="dsfg" hidden="1">{"via1",#N/A,TRUE,"general";"via2",#N/A,TRUE,"general";"via3",#N/A,TRUE,"general"}</definedName>
    <definedName name="dsfhgfdh" hidden="1">{"TAB1",#N/A,TRUE,"GENERAL";"TAB2",#N/A,TRUE,"GENERAL";"TAB3",#N/A,TRUE,"GENERAL";"TAB4",#N/A,TRUE,"GENERAL";"TAB5",#N/A,TRUE,"GENERAL"}</definedName>
    <definedName name="dsfsdf" hidden="1">{"via1",#N/A,TRUE,"general";"via2",#N/A,TRUE,"general";"via3",#N/A,TRUE,"general"}</definedName>
    <definedName name="DSFSDFCXV" hidden="1">{"TAB1",#N/A,TRUE,"GENERAL";"TAB2",#N/A,TRUE,"GENERAL";"TAB3",#N/A,TRUE,"GENERAL";"TAB4",#N/A,TRUE,"GENERAL";"TAB5",#N/A,TRUE,"GENERAL"}</definedName>
    <definedName name="dsfsvm" hidden="1">{"TAB1",#N/A,TRUE,"GENERAL";"TAB2",#N/A,TRUE,"GENERAL";"TAB3",#N/A,TRUE,"GENERAL";"TAB4",#N/A,TRUE,"GENERAL";"TAB5",#N/A,TRUE,"GENERAL"}</definedName>
    <definedName name="dsftbv" hidden="1">{"via1",#N/A,TRUE,"general";"via2",#N/A,TRUE,"general";"via3",#N/A,TRUE,"general"}</definedName>
    <definedName name="DSP">#REF!</definedName>
    <definedName name="DSP1_1">#REF!</definedName>
    <definedName name="DSP1_1_1">#REF!</definedName>
    <definedName name="dt">#REF!</definedName>
    <definedName name="dtrhj" hidden="1">{"via1",#N/A,TRUE,"general";"via2",#N/A,TRUE,"general";"via3",#N/A,TRUE,"general"}</definedName>
    <definedName name="dxfgg" hidden="1">{"via1",#N/A,TRUE,"general";"via2",#N/A,TRUE,"general";"via3",#N/A,TRUE,"general"}</definedName>
    <definedName name="E">#REF!</definedName>
    <definedName name="e3e33" hidden="1">{"via1",#N/A,TRUE,"general";"via2",#N/A,TRUE,"general";"via3",#N/A,TRUE,"general"}</definedName>
    <definedName name="ECP">#REF!</definedName>
    <definedName name="ECP1_1">#REF!</definedName>
    <definedName name="ECP1_1_1">#REF!</definedName>
    <definedName name="EDC">#REF!</definedName>
    <definedName name="EDEDWSWQA" hidden="1">{"TAB1",#N/A,TRUE,"GENERAL";"TAB2",#N/A,TRUE,"GENERAL";"TAB3",#N/A,TRUE,"GENERAL";"TAB4",#N/A,TRUE,"GENERAL";"TAB5",#N/A,TRUE,"GENERAL"}</definedName>
    <definedName name="edgfhmn" hidden="1">{"via1",#N/A,TRUE,"general";"via2",#N/A,TRUE,"general";"via3",#N/A,TRUE,"general"}</definedName>
    <definedName name="EE">[0]!ERR</definedName>
    <definedName name="eeedfr" hidden="1">{"TAB1",#N/A,TRUE,"GENERAL";"TAB2",#N/A,TRUE,"GENERAL";"TAB3",#N/A,TRUE,"GENERAL";"TAB4",#N/A,TRUE,"GENERAL";"TAB5",#N/A,TRUE,"GENERAL"}</definedName>
    <definedName name="eeeeer" hidden="1">{"TAB1",#N/A,TRUE,"GENERAL";"TAB2",#N/A,TRUE,"GENERAL";"TAB3",#N/A,TRUE,"GENERAL";"TAB4",#N/A,TRUE,"GENERAL";"TAB5",#N/A,TRUE,"GENERAL"}</definedName>
    <definedName name="eeerfd" hidden="1">{"via1",#N/A,TRUE,"general";"via2",#N/A,TRUE,"general";"via3",#N/A,TRUE,"general"}</definedName>
    <definedName name="EF">#REF!</definedName>
    <definedName name="EFA">#REF!</definedName>
    <definedName name="efef" hidden="1">{"TAB1",#N/A,TRUE,"GENERAL";"TAB2",#N/A,TRUE,"GENERAL";"TAB3",#N/A,TRUE,"GENERAL";"TAB4",#N/A,TRUE,"GENERAL";"TAB5",#N/A,TRUE,"GENERAL"}</definedName>
    <definedName name="efer" hidden="1">{"via1",#N/A,TRUE,"general";"via2",#N/A,TRUE,"general";"via3",#N/A,TRUE,"general"}</definedName>
    <definedName name="egeg" hidden="1">{"TAB1",#N/A,TRUE,"GENERAL";"TAB2",#N/A,TRUE,"GENERAL";"TAB3",#N/A,TRUE,"GENERAL";"TAB4",#N/A,TRUE,"GENERAL";"TAB5",#N/A,TRUE,"GENERAL"}</definedName>
    <definedName name="egtrgthrt" hidden="1">{"TAB1",#N/A,TRUE,"GENERAL";"TAB2",#N/A,TRUE,"GENERAL";"TAB3",#N/A,TRUE,"GENERAL";"TAB4",#N/A,TRUE,"GENERAL";"TAB5",#N/A,TRUE,"GENERAL"}</definedName>
    <definedName name="EJEC">#REF!</definedName>
    <definedName name="Ejecutivo">#REF!</definedName>
    <definedName name="ELIMINACIONPROYC">#REF!</definedName>
    <definedName name="emanto">#REF!</definedName>
    <definedName name="eme">[0]!ERR</definedName>
    <definedName name="EMPLEADO">#REF!</definedName>
    <definedName name="Empresa">#REF!</definedName>
    <definedName name="EMULSION">#REF!</definedName>
    <definedName name="End_Bal">#REF!</definedName>
    <definedName name="ene">#REF!</definedName>
    <definedName name="Ensayos">#REF!</definedName>
    <definedName name="ENTRADASP">#REF!</definedName>
    <definedName name="EPECIALIDAD_SIDOE">#REF!</definedName>
    <definedName name="equipo">#REF!</definedName>
    <definedName name="EQUIPO1">#REF!</definedName>
    <definedName name="Equipos">#REF!</definedName>
    <definedName name="EQUIPOS1">#REF!</definedName>
    <definedName name="eqw" hidden="1">{"via1",#N/A,TRUE,"general";"via2",#N/A,TRUE,"general";"via3",#N/A,TRUE,"general"}</definedName>
    <definedName name="ERE_ART">#REF!</definedName>
    <definedName name="erfg" hidden="1">{#N/A,#N/A,FALSE,"Hoja1";#N/A,#N/A,FALSE,"Hoja2"}</definedName>
    <definedName name="erg" hidden="1">{"TAB1",#N/A,TRUE,"GENERAL";"TAB2",#N/A,TRUE,"GENERAL";"TAB3",#N/A,TRUE,"GENERAL";"TAB4",#N/A,TRUE,"GENERAL";"TAB5",#N/A,TRUE,"GENERAL"}</definedName>
    <definedName name="erger" hidden="1">{"via1",#N/A,TRUE,"general";"via2",#N/A,TRUE,"general";"via3",#N/A,TRUE,"general"}</definedName>
    <definedName name="ergerg" hidden="1">{"via1",#N/A,TRUE,"general";"via2",#N/A,TRUE,"general";"via3",#N/A,TRUE,"general"}</definedName>
    <definedName name="ergfegr" hidden="1">{"via1",#N/A,TRUE,"general";"via2",#N/A,TRUE,"general";"via3",#N/A,TRUE,"general"}</definedName>
    <definedName name="ergge" hidden="1">{"TAB1",#N/A,TRUE,"GENERAL";"TAB2",#N/A,TRUE,"GENERAL";"TAB3",#N/A,TRUE,"GENERAL";"TAB4",#N/A,TRUE,"GENERAL";"TAB5",#N/A,TRUE,"GENERAL"}</definedName>
    <definedName name="erggewg" hidden="1">{"via1",#N/A,TRUE,"general";"via2",#N/A,TRUE,"general";"via3",#N/A,TRUE,"general"}</definedName>
    <definedName name="ergreg" hidden="1">{"TAB1",#N/A,TRUE,"GENERAL";"TAB2",#N/A,TRUE,"GENERAL";"TAB3",#N/A,TRUE,"GENERAL";"TAB4",#N/A,TRUE,"GENERAL";"TAB5",#N/A,TRUE,"GENERAL"}</definedName>
    <definedName name="ergregerg" hidden="1">{"via1",#N/A,TRUE,"general";"via2",#N/A,TRUE,"general";"via3",#N/A,TRUE,"general"}</definedName>
    <definedName name="ergrg" hidden="1">{"TAB1",#N/A,TRUE,"GENERAL";"TAB2",#N/A,TRUE,"GENERAL";"TAB3",#N/A,TRUE,"GENERAL";"TAB4",#N/A,TRUE,"GENERAL";"TAB5",#N/A,TRUE,"GENERAL"}</definedName>
    <definedName name="ergweg" hidden="1">{"TAB1",#N/A,TRUE,"GENERAL";"TAB2",#N/A,TRUE,"GENERAL";"TAB3",#N/A,TRUE,"GENERAL";"TAB4",#N/A,TRUE,"GENERAL";"TAB5",#N/A,TRUE,"GENERAL"}</definedName>
    <definedName name="ergwreg" hidden="1">{"via1",#N/A,TRUE,"general";"via2",#N/A,TRUE,"general";"via3",#N/A,TRUE,"general"}</definedName>
    <definedName name="erheyh" hidden="1">{"TAB1",#N/A,TRUE,"GENERAL";"TAB2",#N/A,TRUE,"GENERAL";"TAB3",#N/A,TRUE,"GENERAL";"TAB4",#N/A,TRUE,"GENERAL";"TAB5",#N/A,TRUE,"GENERAL"}</definedName>
    <definedName name="eririutriuthd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R">{"TAB1",#N/A,TRUE,"GENERAL";"TAB2",#N/A,TRUE,"GENERAL";"TAB3",#N/A,TRUE,"GENERAL";"TAB4",#N/A,TRUE,"GENERAL";"TAB5",#N/A,TRUE,"GENERAL"}</definedName>
    <definedName name="ERRORE">#REF!</definedName>
    <definedName name="ert" hidden="1">{"via1",#N/A,TRUE,"general";"via2",#N/A,TRUE,"general";"via3",#N/A,TRUE,"general"}</definedName>
    <definedName name="erte" hidden="1">{"via1",#N/A,TRUE,"general";"via2",#N/A,TRUE,"general";"via3",#N/A,TRUE,"general"}</definedName>
    <definedName name="erter" hidden="1">{"TAB1",#N/A,TRUE,"GENERAL";"TAB2",#N/A,TRUE,"GENERAL";"TAB3",#N/A,TRUE,"GENERAL";"TAB4",#N/A,TRUE,"GENERAL";"TAB5",#N/A,TRUE,"GENERAL"}</definedName>
    <definedName name="ertert" hidden="1">{"via1",#N/A,TRUE,"general";"via2",#N/A,TRUE,"general";"via3",#N/A,TRUE,"general"}</definedName>
    <definedName name="ertgyhik" hidden="1">{"TAB1",#N/A,TRUE,"GENERAL";"TAB2",#N/A,TRUE,"GENERAL";"TAB3",#N/A,TRUE,"GENERAL";"TAB4",#N/A,TRUE,"GENERAL";"TAB5",#N/A,TRUE,"GENERAL"}</definedName>
    <definedName name="ertreb" hidden="1">{"via1",#N/A,TRUE,"general";"via2",#N/A,TRUE,"general";"via3",#N/A,TRUE,"general"}</definedName>
    <definedName name="ertret" hidden="1">{"TAB1",#N/A,TRUE,"GENERAL";"TAB2",#N/A,TRUE,"GENERAL";"TAB3",#N/A,TRUE,"GENERAL";"TAB4",#N/A,TRUE,"GENERAL";"TAB5",#N/A,TRUE,"GENERAL"}</definedName>
    <definedName name="erttret" hidden="1">{"via1",#N/A,TRUE,"general";"via2",#N/A,TRUE,"general";"via3",#N/A,TRUE,"general"}</definedName>
    <definedName name="ertuiy" hidden="1">{"via1",#N/A,TRUE,"general";"via2",#N/A,TRUE,"general";"via3",#N/A,TRUE,"general"}</definedName>
    <definedName name="ertwert" hidden="1">{"TAB1",#N/A,TRUE,"GENERAL";"TAB2",#N/A,TRUE,"GENERAL";"TAB3",#N/A,TRUE,"GENERAL";"TAB4",#N/A,TRUE,"GENERAL";"TAB5",#N/A,TRUE,"GENERAL"}</definedName>
    <definedName name="eru" hidden="1">{"TAB1",#N/A,TRUE,"GENERAL";"TAB2",#N/A,TRUE,"GENERAL";"TAB3",#N/A,TRUE,"GENERAL";"TAB4",#N/A,TRUE,"GENERAL";"TAB5",#N/A,TRUE,"GENERAL"}</definedName>
    <definedName name="ERV" hidden="1">{"via1",#N/A,TRUE,"general";"via2",#N/A,TRUE,"general";"via3",#N/A,TRUE,"general"}</definedName>
    <definedName name="erware" hidden="1">{"via1",#N/A,TRUE,"general";"via2",#N/A,TRUE,"general";"via3",#N/A,TRUE,"general"}</definedName>
    <definedName name="ERWER" hidden="1">{"via1",#N/A,TRUE,"general";"via2",#N/A,TRUE,"general";"via3",#N/A,TRUE,"general"}</definedName>
    <definedName name="erwertd" hidden="1">{"TAB1",#N/A,TRUE,"GENERAL";"TAB2",#N/A,TRUE,"GENERAL";"TAB3",#N/A,TRUE,"GENERAL";"TAB4",#N/A,TRUE,"GENERAL";"TAB5",#N/A,TRUE,"GENERAL"}</definedName>
    <definedName name="erwr" hidden="1">{"TAB1",#N/A,TRUE,"GENERAL";"TAB2",#N/A,TRUE,"GENERAL";"TAB3",#N/A,TRUE,"GENERAL";"TAB4",#N/A,TRUE,"GENERAL";"TAB5",#N/A,TRUE,"GENERAL"}</definedName>
    <definedName name="ERWRL" hidden="1">{"via1",#N/A,TRUE,"general";"via2",#N/A,TRUE,"general";"via3",#N/A,TRUE,"general"}</definedName>
    <definedName name="ery" hidden="1">{"via1",#N/A,TRUE,"general";"via2",#N/A,TRUE,"general";"via3",#N/A,TRUE,"general"}</definedName>
    <definedName name="eryhd" hidden="1">{"via1",#N/A,TRUE,"general";"via2",#N/A,TRUE,"general";"via3",#N/A,TRUE,"general"}</definedName>
    <definedName name="eryhdf" hidden="1">{"TAB1",#N/A,TRUE,"GENERAL";"TAB2",#N/A,TRUE,"GENERAL";"TAB3",#N/A,TRUE,"GENERAL";"TAB4",#N/A,TRUE,"GENERAL";"TAB5",#N/A,TRUE,"GENERAL"}</definedName>
    <definedName name="eryhk" hidden="1">{"TAB1",#N/A,TRUE,"GENERAL";"TAB2",#N/A,TRUE,"GENERAL";"TAB3",#N/A,TRUE,"GENERAL";"TAB4",#N/A,TRUE,"GENERAL";"TAB5",#N/A,TRUE,"GENERAL"}</definedName>
    <definedName name="eryhrf" hidden="1">{"TAB1",#N/A,TRUE,"GENERAL";"TAB2",#N/A,TRUE,"GENERAL";"TAB3",#N/A,TRUE,"GENERAL";"TAB4",#N/A,TRUE,"GENERAL";"TAB5",#N/A,TRUE,"GENERAL"}</definedName>
    <definedName name="eryre" hidden="1">{"TAB1",#N/A,TRUE,"GENERAL";"TAB2",#N/A,TRUE,"GENERAL";"TAB3",#N/A,TRUE,"GENERAL";"TAB4",#N/A,TRUE,"GENERAL";"TAB5",#N/A,TRUE,"GENERAL"}</definedName>
    <definedName name="erytd" hidden="1">{"via1",#N/A,TRUE,"general";"via2",#N/A,TRUE,"general";"via3",#N/A,TRUE,"general"}</definedName>
    <definedName name="eryty" hidden="1">{"via1",#N/A,TRUE,"general";"via2",#N/A,TRUE,"general";"via3",#N/A,TRUE,"general"}</definedName>
    <definedName name="eryy" hidden="1">{"via1",#N/A,TRUE,"general";"via2",#N/A,TRUE,"general";"via3",#N/A,TRUE,"general"}</definedName>
    <definedName name="ES">[0]!ERR</definedName>
    <definedName name="ESA">#REF!</definedName>
    <definedName name="ESE">#REF!</definedName>
    <definedName name="ESPE">#REF!</definedName>
    <definedName name="ESPECIFICACION">#REF!</definedName>
    <definedName name="Especificación">#REF!</definedName>
    <definedName name="ESTA">#REF!</definedName>
    <definedName name="Estados">#REF!</definedName>
    <definedName name="Estimate_Factor">1</definedName>
    <definedName name="ESTRAE">#REF!</definedName>
    <definedName name="ESTRU">#REF!</definedName>
    <definedName name="ESTRUCTURA" hidden="1">{#N/A,#N/A,TRUE,"INGENIERIA";#N/A,#N/A,TRUE,"COMPRAS";#N/A,#N/A,TRUE,"DIRECCION";#N/A,#N/A,TRUE,"RESUMEN"}</definedName>
    <definedName name="ESTRUCTURAS">#REF!</definedName>
    <definedName name="ETAP">#REF!</definedName>
    <definedName name="ETAPA_PACC">#REF!</definedName>
    <definedName name="etertgg" hidden="1">{"via1",#N/A,TRUE,"general";"via2",#N/A,TRUE,"general";"via3",#N/A,TRUE,"general"}</definedName>
    <definedName name="etertt" hidden="1">{#N/A,#N/A,TRUE,"1842CWN0"}</definedName>
    <definedName name="etewt" hidden="1">{"TAB1",#N/A,TRUE,"GENERAL";"TAB2",#N/A,TRUE,"GENERAL";"TAB3",#N/A,TRUE,"GENERAL";"TAB4",#N/A,TRUE,"GENERAL";"TAB5",#N/A,TRUE,"GENERAL"}</definedName>
    <definedName name="etu" hidden="1">{"via1",#N/A,TRUE,"general";"via2",#N/A,TRUE,"general";"via3",#N/A,TRUE,"general"}</definedName>
    <definedName name="etueh" hidden="1">{"via1",#N/A,TRUE,"general";"via2",#N/A,TRUE,"general";"via3",#N/A,TRUE,"general"}</definedName>
    <definedName name="etyty" hidden="1">{"via1",#N/A,TRUE,"general";"via2",#N/A,TRUE,"general";"via3",#N/A,TRUE,"general"}</definedName>
    <definedName name="etyu" hidden="1">{"TAB1",#N/A,TRUE,"GENERAL";"TAB2",#N/A,TRUE,"GENERAL";"TAB3",#N/A,TRUE,"GENERAL";"TAB4",#N/A,TRUE,"GENERAL";"TAB5",#N/A,TRUE,"GENERAL"}</definedName>
    <definedName name="eu" hidden="1">{"via1",#N/A,TRUE,"general";"via2",#N/A,TRUE,"general";"via3",#N/A,TRUE,"general"}</definedName>
    <definedName name="eut" hidden="1">{"via1",#N/A,TRUE,"general";"via2",#N/A,TRUE,"general";"via3",#N/A,TRUE,"general"}</definedName>
    <definedName name="euyt" hidden="1">{"TAB1",#N/A,TRUE,"GENERAL";"TAB2",#N/A,TRUE,"GENERAL";"TAB3",#N/A,TRUE,"GENERAL";"TAB4",#N/A,TRUE,"GENERAL";"TAB5",#N/A,TRUE,"GENERAL"}</definedName>
    <definedName name="EW">#REF!</definedName>
    <definedName name="ewegt" hidden="1">{"TAB1",#N/A,TRUE,"GENERAL";"TAB2",#N/A,TRUE,"GENERAL";"TAB3",#N/A,TRUE,"GENERAL";"TAB4",#N/A,TRUE,"GENERAL";"TAB5",#N/A,TRUE,"GENERAL"}</definedName>
    <definedName name="ewfewfg" hidden="1">{"TAB1",#N/A,TRUE,"GENERAL";"TAB2",#N/A,TRUE,"GENERAL";"TAB3",#N/A,TRUE,"GENERAL";"TAB4",#N/A,TRUE,"GENERAL";"TAB5",#N/A,TRUE,"GENERAL"}</definedName>
    <definedName name="ewre" hidden="1">{"TAB1",#N/A,TRUE,"GENERAL";"TAB2",#N/A,TRUE,"GENERAL";"TAB3",#N/A,TRUE,"GENERAL";"TAB4",#N/A,TRUE,"GENERAL";"TAB5",#N/A,TRUE,"GENERAL"}</definedName>
    <definedName name="ewrewf" hidden="1">{"TAB1",#N/A,TRUE,"GENERAL";"TAB2",#N/A,TRUE,"GENERAL";"TAB3",#N/A,TRUE,"GENERAL";"TAB4",#N/A,TRUE,"GENERAL";"TAB5",#N/A,TRUE,"GENERAL"}</definedName>
    <definedName name="ewrr" hidden="1">{"TAB1",#N/A,TRUE,"GENERAL";"TAB2",#N/A,TRUE,"GENERAL";"TAB3",#N/A,TRUE,"GENERAL";"TAB4",#N/A,TRUE,"GENERAL";"TAB5",#N/A,TRUE,"GENERAL"}</definedName>
    <definedName name="ewrt" hidden="1">{"TAB1",#N/A,TRUE,"GENERAL";"TAB2",#N/A,TRUE,"GENERAL";"TAB3",#N/A,TRUE,"GENERAL";"TAB4",#N/A,TRUE,"GENERAL";"TAB5",#N/A,TRUE,"GENERAL"}</definedName>
    <definedName name="ewrwer" hidden="1">{"TAB1",#N/A,TRUE,"GENERAL";"TAB2",#N/A,TRUE,"GENERAL";"TAB3",#N/A,TRUE,"GENERAL";"TAB4",#N/A,TRUE,"GENERAL";"TAB5",#N/A,TRUE,"GENERAL"}</definedName>
    <definedName name="EX" hidden="1">#REF!</definedName>
    <definedName name="EX_1" hidden="1">#REF!</definedName>
    <definedName name="EXC">#REF!</definedName>
    <definedName name="EXCAV_1">#REF!</definedName>
    <definedName name="EXCAV_2">#REF!</definedName>
    <definedName name="exCEL">#REF!</definedName>
    <definedName name="Excel_BuiltIn_Print_Area_3">#REF!</definedName>
    <definedName name="Excel_BuiltIn_Print_Area_3_X">#REF!</definedName>
    <definedName name="Excel_BuiltIn_Print_Titles_10">#REF!</definedName>
    <definedName name="Excel_BuiltIn_Print_Titles_11">#REF!</definedName>
    <definedName name="Excel_BuiltIn_Print_Titles_12">#REF!</definedName>
    <definedName name="Excel_BuiltIn_Print_Titles_13">#REF!</definedName>
    <definedName name="Excel_BuiltIn_Print_Titles_14">#REF!</definedName>
    <definedName name="Excel_BuiltIn_Print_Titles_15">#REF!</definedName>
    <definedName name="Excel_BuiltIn_Print_Titles_16">#REF!</definedName>
    <definedName name="Excel_BuiltIn_Print_Titles_17">#REF!</definedName>
    <definedName name="Excel_BuiltIn_Print_Titles_18">#REF!</definedName>
    <definedName name="Excel_BuiltIn_Print_Titles_19">#REF!</definedName>
    <definedName name="Excel_BuiltIn_Print_Titles_20">#REF!</definedName>
    <definedName name="Excel_BuiltIn_Print_Titles_21">#REF!</definedName>
    <definedName name="Excel_BuiltIn_Print_Titles_23">#REF!</definedName>
    <definedName name="Excel_BuiltIn_Print_Titles_3">#REF!</definedName>
    <definedName name="Excel_BuiltIn_Print_Titles_5">#REF!</definedName>
    <definedName name="Excel_BuiltIn_Print_Titles_5_XX">#REF!</definedName>
    <definedName name="Excel_BuiltIn_Print_Titles_6">#REF!</definedName>
    <definedName name="Excel_BuiltIn_Print_Titles_7">#REF!</definedName>
    <definedName name="Excel_BuiltIn_Print_Titles_8">#REF!</definedName>
    <definedName name="Excel_BuiltIn_Print_Titles_9">#REF!</definedName>
    <definedName name="EXCROC">#REF!</definedName>
    <definedName name="ExtensionCoordinador">#REF!</definedName>
    <definedName name="Extra_Pay">#REF!</definedName>
    <definedName name="Extracción_IM">#REF!</definedName>
    <definedName name="Extras">#REF!</definedName>
    <definedName name="F._INGRESO">#REF!</definedName>
    <definedName name="F._RETIRO">#REF!</definedName>
    <definedName name="F.L">#REF!</definedName>
    <definedName name="Facilidades">#REF!</definedName>
    <definedName name="factor">#REF!</definedName>
    <definedName name="FACTURADO">#REF!</definedName>
    <definedName name="FareWellStmnt">#REF!</definedName>
    <definedName name="FaseProyecto">#REF!</definedName>
    <definedName name="FD">[0]!ERR</definedName>
    <definedName name="fda" hidden="1">{"TAB1",#N/A,TRUE,"GENERAL";"TAB2",#N/A,TRUE,"GENERAL";"TAB3",#N/A,TRUE,"GENERAL";"TAB4",#N/A,TRUE,"GENERAL";"TAB5",#N/A,TRUE,"GENERAL"}</definedName>
    <definedName name="fdbjp" hidden="1">{"TAB1",#N/A,TRUE,"GENERAL";"TAB2",#N/A,TRUE,"GENERAL";"TAB3",#N/A,TRUE,"GENERAL";"TAB4",#N/A,TRUE,"GENERAL";"TAB5",#N/A,TRUE,"GENERAL"}</definedName>
    <definedName name="fdf" hidden="1">{"TAB1",#N/A,TRUE,"GENERAL";"TAB2",#N/A,TRUE,"GENERAL";"TAB3",#N/A,TRUE,"GENERAL";"TAB4",#N/A,TRUE,"GENERAL";"TAB5",#N/A,TRUE,"GENERAL"}</definedName>
    <definedName name="fdg" hidden="1">{"via1",#N/A,TRUE,"general";"via2",#N/A,TRUE,"general";"via3",#N/A,TRUE,"general"}</definedName>
    <definedName name="FDGD" hidden="1">{"TAB1",#N/A,TRUE,"GENERAL";"TAB2",#N/A,TRUE,"GENERAL";"TAB3",#N/A,TRUE,"GENERAL";"TAB4",#N/A,TRUE,"GENERAL";"TAB5",#N/A,TRUE,"GENERAL"}</definedName>
    <definedName name="FDGFDBBP" hidden="1">{"TAB1",#N/A,TRUE,"GENERAL";"TAB2",#N/A,TRUE,"GENERAL";"TAB3",#N/A,TRUE,"GENERAL";"TAB4",#N/A,TRUE,"GENERAL";"TAB5",#N/A,TRUE,"GENERAL"}</definedName>
    <definedName name="fdh" hidden="1">{"TAB1",#N/A,TRUE,"GENERAL";"TAB2",#N/A,TRUE,"GENERAL";"TAB3",#N/A,TRUE,"GENERAL";"TAB4",#N/A,TRUE,"GENERAL";"TAB5",#N/A,TRUE,"GENERAL"}</definedName>
    <definedName name="fdsf" hidden="1">{"TAB1",#N/A,TRUE,"GENERAL";"TAB2",#N/A,TRUE,"GENERAL";"TAB3",#N/A,TRUE,"GENERAL";"TAB4",#N/A,TRUE,"GENERAL";"TAB5",#N/A,TRUE,"GENERAL"}</definedName>
    <definedName name="fdsfds" hidden="1">{"TAB1",#N/A,TRUE,"GENERAL";"TAB2",#N/A,TRUE,"GENERAL";"TAB3",#N/A,TRUE,"GENERAL";"TAB4",#N/A,TRUE,"GENERAL";"TAB5",#N/A,TRUE,"GENERAL"}</definedName>
    <definedName name="fdsfdsf" hidden="1">{"via1",#N/A,TRUE,"general";"via2",#N/A,TRUE,"general";"via3",#N/A,TRUE,"general"}</definedName>
    <definedName name="fdsgfds" hidden="1">{"via1",#N/A,TRUE,"general";"via2",#N/A,TRUE,"general";"via3",#N/A,TRUE,"general"}</definedName>
    <definedName name="fdsgsdfu" hidden="1">{"TAB1",#N/A,TRUE,"GENERAL";"TAB2",#N/A,TRUE,"GENERAL";"TAB3",#N/A,TRUE,"GENERAL";"TAB4",#N/A,TRUE,"GENERAL";"TAB5",#N/A,TRUE,"GENERAL"}</definedName>
    <definedName name="FDSIO" hidden="1">{"TAB1",#N/A,TRUE,"GENERAL";"TAB2",#N/A,TRUE,"GENERAL";"TAB3",#N/A,TRUE,"GENERAL";"TAB4",#N/A,TRUE,"GENERAL";"TAB5",#N/A,TRUE,"GENERAL"}</definedName>
    <definedName name="fdwssf">#REF!</definedName>
    <definedName name="FE">1.32</definedName>
    <definedName name="Fecha">#REF!</definedName>
    <definedName name="FechaInicio">#REF!</definedName>
    <definedName name="FechaTermina">#REF!</definedName>
    <definedName name="FechaTerminacion">#REF!</definedName>
    <definedName name="fer">#REF!</definedName>
    <definedName name="ferfer" hidden="1">{"via1",#N/A,TRUE,"general";"via2",#N/A,TRUE,"general";"via3",#N/A,TRUE,"general"}</definedName>
    <definedName name="ff">[0]!ERR</definedName>
    <definedName name="fff" hidden="1">{"via1",#N/A,TRUE,"general";"via2",#N/A,TRUE,"general";"via3",#N/A,TRUE,"general"}</definedName>
    <definedName name="ffffd" hidden="1">{"via1",#N/A,TRUE,"general";"via2",#N/A,TRUE,"general";"via3",#N/A,TRUE,"general"}</definedName>
    <definedName name="fffffft" hidden="1">{"TAB1",#N/A,TRUE,"GENERAL";"TAB2",#N/A,TRUE,"GENERAL";"TAB3",#N/A,TRUE,"GENERAL";"TAB4",#N/A,TRUE,"GENERAL";"TAB5",#N/A,TRUE,"GENERAL"}</definedName>
    <definedName name="fffffik" hidden="1">{"TAB1",#N/A,TRUE,"GENERAL";"TAB2",#N/A,TRUE,"GENERAL";"TAB3",#N/A,TRUE,"GENERAL";"TAB4",#N/A,TRUE,"GENERAL";"TAB5",#N/A,TRUE,"GENERAL"}</definedName>
    <definedName name="fffffj" hidden="1">{"TAB1",#N/A,TRUE,"GENERAL";"TAB2",#N/A,TRUE,"GENERAL";"TAB3",#N/A,TRUE,"GENERAL";"TAB4",#N/A,TRUE,"GENERAL";"TAB5",#N/A,TRUE,"GENERAL"}</definedName>
    <definedName name="ffffrd" hidden="1">{"via1",#N/A,TRUE,"general";"via2",#N/A,TRUE,"general";"via3",#N/A,TRUE,"general"}</definedName>
    <definedName name="ffffy" hidden="1">{"TAB1",#N/A,TRUE,"GENERAL";"TAB2",#N/A,TRUE,"GENERAL";"TAB3",#N/A,TRUE,"GENERAL";"TAB4",#N/A,TRUE,"GENERAL";"TAB5",#N/A,TRUE,"GENERAL"}</definedName>
    <definedName name="fffrfr" hidden="1">{"TAB1",#N/A,TRUE,"GENERAL";"TAB2",#N/A,TRUE,"GENERAL";"TAB3",#N/A,TRUE,"GENERAL";"TAB4",#N/A,TRUE,"GENERAL";"TAB5",#N/A,TRUE,"GENERAL"}</definedName>
    <definedName name="fffs" hidden="1">{"TAB1",#N/A,TRUE,"GENERAL";"TAB2",#N/A,TRUE,"GENERAL";"TAB3",#N/A,TRUE,"GENERAL";"TAB4",#N/A,TRUE,"GENERAL";"TAB5",#N/A,TRUE,"GENERAL"}</definedName>
    <definedName name="fg">[0]!ERR</definedName>
    <definedName name="fgdfg" hidden="1">{"TAB1",#N/A,TRUE,"GENERAL";"TAB2",#N/A,TRUE,"GENERAL";"TAB3",#N/A,TRUE,"GENERAL";"TAB4",#N/A,TRUE,"GENERAL";"TAB5",#N/A,TRUE,"GENERAL"}</definedName>
    <definedName name="fgdfsgr" hidden="1">{"via1",#N/A,TRUE,"general";"via2",#N/A,TRUE,"general";"via3",#N/A,TRUE,"general"}</definedName>
    <definedName name="fgdsfg" hidden="1">{"TAB1",#N/A,TRUE,"GENERAL";"TAB2",#N/A,TRUE,"GENERAL";"TAB3",#N/A,TRUE,"GENERAL";"TAB4",#N/A,TRUE,"GENERAL";"TAB5",#N/A,TRUE,"GENERAL"}</definedName>
    <definedName name="FGFDH" hidden="1">{"via1",#N/A,TRUE,"general";"via2",#N/A,TRUE,"general";"via3",#N/A,TRUE,"general"}</definedName>
    <definedName name="fgghhj" hidden="1">{"via1",#N/A,TRUE,"general";"via2",#N/A,TRUE,"general";"via3",#N/A,TRUE,"general"}</definedName>
    <definedName name="fgh">#REF!</definedName>
    <definedName name="FGHFBC" hidden="1">{"via1",#N/A,TRUE,"general";"via2",#N/A,TRUE,"general";"via3",#N/A,TRUE,"general"}</definedName>
    <definedName name="fghfg" hidden="1">{"TAB1",#N/A,TRUE,"GENERAL";"TAB2",#N/A,TRUE,"GENERAL";"TAB3",#N/A,TRUE,"GENERAL";"TAB4",#N/A,TRUE,"GENERAL";"TAB5",#N/A,TRUE,"GENERAL"}</definedName>
    <definedName name="fghfgh" hidden="1">{"via1",#N/A,TRUE,"general";"via2",#N/A,TRUE,"general";"via3",#N/A,TRUE,"general"}</definedName>
    <definedName name="FGHFW" hidden="1">{"via1",#N/A,TRUE,"general";"via2",#N/A,TRUE,"general";"via3",#N/A,TRUE,"general"}</definedName>
    <definedName name="fghhh" hidden="1">{"TAB1",#N/A,TRUE,"GENERAL";"TAB2",#N/A,TRUE,"GENERAL";"TAB3",#N/A,TRUE,"GENERAL";"TAB4",#N/A,TRUE,"GENERAL";"TAB5",#N/A,TRUE,"GENERAL"}</definedName>
    <definedName name="fghsfgh" hidden="1">{"via1",#N/A,TRUE,"general";"via2",#N/A,TRUE,"general";"via3",#N/A,TRUE,"general"}</definedName>
    <definedName name="fght" hidden="1">{"TAB1",#N/A,TRUE,"GENERAL";"TAB2",#N/A,TRUE,"GENERAL";"TAB3",#N/A,TRUE,"GENERAL";"TAB4",#N/A,TRUE,"GENERAL";"TAB5",#N/A,TRUE,"GENERAL"}</definedName>
    <definedName name="fgjgryi" hidden="1">{"TAB1",#N/A,TRUE,"GENERAL";"TAB2",#N/A,TRUE,"GENERAL";"TAB3",#N/A,TRUE,"GENERAL";"TAB4",#N/A,TRUE,"GENERAL";"TAB5",#N/A,TRUE,"GENERAL"}</definedName>
    <definedName name="fhfg" hidden="1">{"TAB1",#N/A,TRUE,"GENERAL";"TAB2",#N/A,TRUE,"GENERAL";"TAB3",#N/A,TRUE,"GENERAL";"TAB4",#N/A,TRUE,"GENERAL";"TAB5",#N/A,TRUE,"GENERAL"}</definedName>
    <definedName name="fhfgh" hidden="1">{"via1",#N/A,TRUE,"general";"via2",#N/A,TRUE,"general";"via3",#N/A,TRUE,"general"}</definedName>
    <definedName name="fhg" hidden="1">{#N/A,#N/A,TRUE,"1842CWN0"}</definedName>
    <definedName name="fhgh" hidden="1">{"via1",#N/A,TRUE,"general";"via2",#N/A,TRUE,"general";"via3",#N/A,TRUE,"general"}</definedName>
    <definedName name="fhpltyunh" hidden="1">{"via1",#N/A,TRUE,"general";"via2",#N/A,TRUE,"general";"via3",#N/A,TRUE,"general"}</definedName>
    <definedName name="fi">#REF!</definedName>
    <definedName name="FIBER">#REF!</definedName>
    <definedName name="Fil_Fechas">#REF!</definedName>
    <definedName name="fill1" hidden="1">#REF!</definedName>
    <definedName name="FILTROS">#REF!</definedName>
    <definedName name="FINANCIACION">[0]!ERR</definedName>
    <definedName name="FinePrint">#REF!</definedName>
    <definedName name="FM">1.18</definedName>
    <definedName name="fnic">#REF!</definedName>
    <definedName name="FO">1.32</definedName>
    <definedName name="FORDESCR">#REF!</definedName>
    <definedName name="FORM_C3">#REF!</definedName>
    <definedName name="FORMOLT">#REF!</definedName>
    <definedName name="formularioCantidades">#REF!</definedName>
    <definedName name="FORSHE">#REF!</definedName>
    <definedName name="FORUNMIS">#REF!</definedName>
    <definedName name="FR">1.15</definedName>
    <definedName name="frbgsd" hidden="1">{"TAB1",#N/A,TRUE,"GENERAL";"TAB2",#N/A,TRUE,"GENERAL";"TAB3",#N/A,TRUE,"GENERAL";"TAB4",#N/A,TRUE,"GENERAL";"TAB5",#N/A,TRUE,"GENERAL"}</definedName>
    <definedName name="frefr" hidden="1">{"via1",#N/A,TRUE,"general";"via2",#N/A,TRUE,"general";"via3",#N/A,TRUE,"general"}</definedName>
    <definedName name="frfa" hidden="1">{"via1",#N/A,TRUE,"general";"via2",#N/A,TRUE,"general";"via3",#N/A,TRUE,"general"}</definedName>
    <definedName name="frfr" hidden="1">{"TAB1",#N/A,TRUE,"GENERAL";"TAB2",#N/A,TRUE,"GENERAL";"TAB3",#N/A,TRUE,"GENERAL";"TAB4",#N/A,TRUE,"GENERAL";"TAB5",#N/A,TRUE,"GENERAL"}</definedName>
    <definedName name="FS">1.32</definedName>
    <definedName name="fu">[0]!ERR</definedName>
    <definedName name="Full_Print">#REF!</definedName>
    <definedName name="fwff" hidden="1">{"via1",#N/A,TRUE,"general";"via2",#N/A,TRUE,"general";"via3",#N/A,TRUE,"general"}</definedName>
    <definedName name="fwwe" hidden="1">{"via1",#N/A,TRUE,"general";"via2",#N/A,TRUE,"general";"via3",#N/A,TRUE,"general"}</definedName>
    <definedName name="G">#REF!</definedName>
    <definedName name="G.Eg">#REF!</definedName>
    <definedName name="G.Em">#REF!</definedName>
    <definedName name="G.Eo">#REF!</definedName>
    <definedName name="G.Ew">#REF!</definedName>
    <definedName name="G_C1">#REF!</definedName>
    <definedName name="G_C10">#REF!</definedName>
    <definedName name="G_C11">#REF!</definedName>
    <definedName name="G_C12">#REF!</definedName>
    <definedName name="G_C13">#REF!</definedName>
    <definedName name="G_C14">#REF!</definedName>
    <definedName name="G_C15">#REF!</definedName>
    <definedName name="G_C16">#REF!</definedName>
    <definedName name="G_C17">#REF!</definedName>
    <definedName name="G_C18">#REF!</definedName>
    <definedName name="G_C19">#REF!</definedName>
    <definedName name="G_C2">#REF!</definedName>
    <definedName name="G_C20">#REF!</definedName>
    <definedName name="G_C21">#REF!</definedName>
    <definedName name="G_C22">#REF!</definedName>
    <definedName name="G_C3">#REF!</definedName>
    <definedName name="G_C4">#REF!</definedName>
    <definedName name="G_C5">#REF!</definedName>
    <definedName name="G_C6">#REF!</definedName>
    <definedName name="G_C7">#REF!</definedName>
    <definedName name="G_C8">#REF!</definedName>
    <definedName name="G_C9">#REF!</definedName>
    <definedName name="G1_">#REF!</definedName>
    <definedName name="GAJ">#REF!</definedName>
    <definedName name="GAS">#REF!</definedName>
    <definedName name="gba" hidden="1">{#N/A,#N/A,FALSE,"orthoflow";#N/A,#N/A,FALSE,"Miscelaneos";#N/A,#N/A,FALSE,"Instrumentacio";#N/A,#N/A,FALSE,"Electrico";#N/A,#N/A,FALSE,"Valv. Seguridad"}</definedName>
    <definedName name="gbac" hidden="1">{#N/A,#N/A,FALSE,"Estatico";#N/A,#N/A,FALSE,"Tuberia";#N/A,#N/A,FALSE,"Instrumentación";#N/A,#N/A,FALSE,"Mecanica";#N/A,#N/A,FALSE,"Electrico";#N/A,#N/A,FALSE,"Ofic.Civiles"}</definedName>
    <definedName name="gbbfghghj" hidden="1">{"TAB1",#N/A,TRUE,"GENERAL";"TAB2",#N/A,TRUE,"GENERAL";"TAB3",#N/A,TRUE,"GENERAL";"TAB4",#N/A,TRUE,"GENERAL";"TAB5",#N/A,TRUE,"GENERAL"}</definedName>
    <definedName name="GCB">#REF!</definedName>
    <definedName name="GCI">#REF!</definedName>
    <definedName name="GCN">#REF!</definedName>
    <definedName name="GCP">#REF!</definedName>
    <definedName name="GDN">#REF!</definedName>
    <definedName name="GDR">#REF!</definedName>
    <definedName name="gdt" hidden="1">{"TAB1",#N/A,TRUE,"GENERAL";"TAB2",#N/A,TRUE,"GENERAL";"TAB3",#N/A,TRUE,"GENERAL";"TAB4",#N/A,TRUE,"GENERAL";"TAB5",#N/A,TRUE,"GENERAL"}</definedName>
    <definedName name="GEA">#REF!</definedName>
    <definedName name="GEA1_1">#REF!</definedName>
    <definedName name="GEA1_1_1">#REF!</definedName>
    <definedName name="GEA1_1_10">#REF!</definedName>
    <definedName name="GEA1_1_2">#REF!</definedName>
    <definedName name="GEA1_1_3">#REF!</definedName>
    <definedName name="GEA1_1_4">#REF!</definedName>
    <definedName name="GEA1_1_5">#REF!</definedName>
    <definedName name="GEA1_1_6">#REF!</definedName>
    <definedName name="GEA1_1_7">#REF!</definedName>
    <definedName name="GEA1_1_8">#REF!</definedName>
    <definedName name="GEA1_1_9">#REF!</definedName>
    <definedName name="GEA1_2">#REF!</definedName>
    <definedName name="GEA1_3">#REF!</definedName>
    <definedName name="GEA1_4">#REF!</definedName>
    <definedName name="GEC">#REF!</definedName>
    <definedName name="GEC_ON_DAPIAY">#REF!</definedName>
    <definedName name="GEC_ON_GER">#REF!</definedName>
    <definedName name="geg" hidden="1">{"via1",#N/A,TRUE,"general";"via2",#N/A,TRUE,"general";"via3",#N/A,TRUE,"general"}</definedName>
    <definedName name="GENERAL">#REF!</definedName>
    <definedName name="GENERAL1">#REF!</definedName>
    <definedName name="Geotex">#REF!</definedName>
    <definedName name="GERENCIA">#REF!</definedName>
    <definedName name="GERENCIA1">#REF!</definedName>
    <definedName name="GERENCIA2">#REF!</definedName>
    <definedName name="Gerente">#REF!</definedName>
    <definedName name="gerg" hidden="1">{"TAB1",#N/A,TRUE,"GENERAL";"TAB2",#N/A,TRUE,"GENERAL";"TAB3",#N/A,TRUE,"GENERAL";"TAB4",#N/A,TRUE,"GENERAL";"TAB5",#N/A,TRUE,"GENERAL"}</definedName>
    <definedName name="gerg54" hidden="1">{"via1",#N/A,TRUE,"general";"via2",#N/A,TRUE,"general";"via3",#N/A,TRUE,"general"}</definedName>
    <definedName name="gergew" hidden="1">{"TAB1",#N/A,TRUE,"GENERAL";"TAB2",#N/A,TRUE,"GENERAL";"TAB3",#N/A,TRUE,"GENERAL";"TAB4",#N/A,TRUE,"GENERAL";"TAB5",#N/A,TRUE,"GENERAL"}</definedName>
    <definedName name="gergw" hidden="1">{"TAB1",#N/A,TRUE,"GENERAL";"TAB2",#N/A,TRUE,"GENERAL";"TAB3",#N/A,TRUE,"GENERAL";"TAB4",#N/A,TRUE,"GENERAL";"TAB5",#N/A,TRUE,"GENERAL"}</definedName>
    <definedName name="gfd" hidden="1">{"TAB1",#N/A,TRUE,"GENERAL";"TAB2",#N/A,TRUE,"GENERAL";"TAB3",#N/A,TRUE,"GENERAL";"TAB4",#N/A,TRUE,"GENERAL";"TAB5",#N/A,TRUE,"GENERAL"}</definedName>
    <definedName name="gfdg" hidden="1">{"via1",#N/A,TRUE,"general";"via2",#N/A,TRUE,"general";"via3",#N/A,TRUE,"general"}</definedName>
    <definedName name="gffgfhhf" hidden="1">{#N/A,#N/A,TRUE,"INGENIERIA";#N/A,#N/A,TRUE,"COMPRAS";#N/A,#N/A,TRUE,"DIRECCION";#N/A,#N/A,TRUE,"RESUMEN"}</definedName>
    <definedName name="gfgfgr" hidden="1">{"via1",#N/A,TRUE,"general";"via2",#N/A,TRUE,"general";"via3",#N/A,TRUE,"general"}</definedName>
    <definedName name="gfhf" hidden="1">{"via1",#N/A,TRUE,"general";"via2",#N/A,TRUE,"general";"via3",#N/A,TRUE,"general"}</definedName>
    <definedName name="gfhfdh" hidden="1">{"TAB1",#N/A,TRUE,"GENERAL";"TAB2",#N/A,TRUE,"GENERAL";"TAB3",#N/A,TRUE,"GENERAL";"TAB4",#N/A,TRUE,"GENERAL";"TAB5",#N/A,TRUE,"GENERAL"}</definedName>
    <definedName name="gfhgfh" hidden="1">{"TAB1",#N/A,TRUE,"GENERAL";"TAB2",#N/A,TRUE,"GENERAL";"TAB3",#N/A,TRUE,"GENERAL";"TAB4",#N/A,TRUE,"GENERAL";"TAB5",#N/A,TRUE,"GENERAL"}</definedName>
    <definedName name="GFJHGJ" hidden="1">{"TAB1",#N/A,TRUE,"GENERAL";"TAB2",#N/A,TRUE,"GENERAL";"TAB3",#N/A,TRUE,"GENERAL";"TAB4",#N/A,TRUE,"GENERAL";"TAB5",#N/A,TRUE,"GENERAL"}</definedName>
    <definedName name="gfjjh" hidden="1">{"via1",#N/A,TRUE,"general";"via2",#N/A,TRUE,"general";"via3",#N/A,TRUE,"general"}</definedName>
    <definedName name="GFN">#REF!</definedName>
    <definedName name="gfutyj6" hidden="1">{"via1",#N/A,TRUE,"general";"via2",#N/A,TRUE,"general";"via3",#N/A,TRUE,"general"}</definedName>
    <definedName name="gg" hidden="1">{"TAB1",#N/A,TRUE,"GENERAL";"TAB2",#N/A,TRUE,"GENERAL";"TAB3",#N/A,TRUE,"GENERAL";"TAB4",#N/A,TRUE,"GENERAL";"TAB5",#N/A,TRUE,"GENERAL"}</definedName>
    <definedName name="ggdr" hidden="1">{"via1",#N/A,TRUE,"general";"via2",#N/A,TRUE,"general";"via3",#N/A,TRUE,"general"}</definedName>
    <definedName name="ggerg" hidden="1">{"TAB1",#N/A,TRUE,"GENERAL";"TAB2",#N/A,TRUE,"GENERAL";"TAB3",#N/A,TRUE,"GENERAL";"TAB4",#N/A,TRUE,"GENERAL";"TAB5",#N/A,TRUE,"GENERAL"}</definedName>
    <definedName name="GGG">[0]!ERR</definedName>
    <definedName name="gggb" hidden="1">{"TAB1",#N/A,TRUE,"GENERAL";"TAB2",#N/A,TRUE,"GENERAL";"TAB3",#N/A,TRUE,"GENERAL";"TAB4",#N/A,TRUE,"GENERAL";"TAB5",#N/A,TRUE,"GENERAL"}</definedName>
    <definedName name="gggg" hidden="1">{"via1",#N/A,TRUE,"general";"via2",#N/A,TRUE,"general";"via3",#N/A,TRUE,"general"}</definedName>
    <definedName name="ggggd" hidden="1">{"TAB1",#N/A,TRUE,"GENERAL";"TAB2",#N/A,TRUE,"GENERAL";"TAB3",#N/A,TRUE,"GENERAL";"TAB4",#N/A,TRUE,"GENERAL";"TAB5",#N/A,TRUE,"GENERAL"}</definedName>
    <definedName name="gggggt" hidden="1">{"via1",#N/A,TRUE,"general";"via2",#N/A,TRUE,"general";"via3",#N/A,TRUE,"general"}</definedName>
    <definedName name="gggghn" hidden="1">{"TAB1",#N/A,TRUE,"GENERAL";"TAB2",#N/A,TRUE,"GENERAL";"TAB3",#N/A,TRUE,"GENERAL";"TAB4",#N/A,TRUE,"GENERAL";"TAB5",#N/A,TRUE,"GENERAL"}</definedName>
    <definedName name="ggggt" hidden="1">{"TAB1",#N/A,TRUE,"GENERAL";"TAB2",#N/A,TRUE,"GENERAL";"TAB3",#N/A,TRUE,"GENERAL";"TAB4",#N/A,TRUE,"GENERAL";"TAB5",#N/A,TRUE,"GENERAL"}</definedName>
    <definedName name="ggggy" hidden="1">{"TAB1",#N/A,TRUE,"GENERAL";"TAB2",#N/A,TRUE,"GENERAL";"TAB3",#N/A,TRUE,"GENERAL";"TAB4",#N/A,TRUE,"GENERAL";"TAB5",#N/A,TRUE,"GENERAL"}</definedName>
    <definedName name="gggtgd" hidden="1">{"via1",#N/A,TRUE,"general";"via2",#N/A,TRUE,"general";"via3",#N/A,TRUE,"general"}</definedName>
    <definedName name="ggjgjkg" hidden="1">{#N/A,#N/A,TRUE,"1842CWN0"}</definedName>
    <definedName name="ggtgt" hidden="1">{"via1",#N/A,TRUE,"general";"via2",#N/A,TRUE,"general";"via3",#N/A,TRUE,"general"}</definedName>
    <definedName name="ghdghuy" hidden="1">{"via1",#N/A,TRUE,"general";"via2",#N/A,TRUE,"general";"via3",#N/A,TRUE,"general"}</definedName>
    <definedName name="GHDP" hidden="1">{"via1",#N/A,TRUE,"general";"via2",#N/A,TRUE,"general";"via3",#N/A,TRUE,"general"}</definedName>
    <definedName name="ghf">#REF!</definedName>
    <definedName name="ghfg" hidden="1">{"via1",#N/A,TRUE,"general";"via2",#N/A,TRUE,"general";"via3",#N/A,TRUE,"general"}</definedName>
    <definedName name="ghghy">#REF!</definedName>
    <definedName name="ghjghj" hidden="1">{"TAB1",#N/A,TRUE,"GENERAL";"TAB2",#N/A,TRUE,"GENERAL";"TAB3",#N/A,TRUE,"GENERAL";"TAB4",#N/A,TRUE,"GENERAL";"TAB5",#N/A,TRUE,"GENERAL"}</definedName>
    <definedName name="GHKJHK" hidden="1">{"TAB1",#N/A,TRUE,"GENERAL";"TAB2",#N/A,TRUE,"GENERAL";"TAB3",#N/A,TRUE,"GENERAL";"TAB4",#N/A,TRUE,"GENERAL";"TAB5",#N/A,TRUE,"GENERAL"}</definedName>
    <definedName name="ghnbbfr" hidden="1">{#N/A,#N/A,TRUE,"1842CWN0"}</definedName>
    <definedName name="GJHVCB" hidden="1">{"TAB1",#N/A,TRUE,"GENERAL";"TAB2",#N/A,TRUE,"GENERAL";"TAB3",#N/A,TRUE,"GENERAL";"TAB4",#N/A,TRUE,"GENERAL";"TAB5",#N/A,TRUE,"GENERAL"}</definedName>
    <definedName name="gk" hidden="1">{"via1",#N/A,TRUE,"general";"via2",#N/A,TRUE,"general";"via3",#N/A,TRUE,"general"}</definedName>
    <definedName name="GKJDGDIJZ">"Imagen 3"</definedName>
    <definedName name="GMM_ON_ASO">#REF!</definedName>
    <definedName name="GMM_ON_DMARES">#REF!</definedName>
    <definedName name="GMM_ON_DRIO">#REF!</definedName>
    <definedName name="GOR">#REF!</definedName>
    <definedName name="GOT">#REF!</definedName>
    <definedName name="GPO">#REF!</definedName>
    <definedName name="GPR">#REF!</definedName>
    <definedName name="_xlnm.Recorder">#REF!</definedName>
    <definedName name="GRAF1ANO" hidden="1">{"via1",#N/A,TRUE,"general";"via2",#N/A,TRUE,"general";"via3",#N/A,TRUE,"general"}</definedName>
    <definedName name="GRAF1AÑO" hidden="1">{"TAB1",#N/A,TRUE,"GENERAL";"TAB2",#N/A,TRUE,"GENERAL";"TAB3",#N/A,TRUE,"GENERAL";"TAB4",#N/A,TRUE,"GENERAL";"TAB5",#N/A,TRUE,"GENERAL"}</definedName>
    <definedName name="GRAF2">#REF!</definedName>
    <definedName name="GRAF3">#REF!</definedName>
    <definedName name="GRC">#REF!</definedName>
    <definedName name="GRC_ON_ASO">#REF!</definedName>
    <definedName name="GRC_ON_DAPIAY">#REF!</definedName>
    <definedName name="GRC_ON_GER">#REF!</definedName>
    <definedName name="gregds" hidden="1">{"TAB1",#N/A,TRUE,"GENERAL";"TAB2",#N/A,TRUE,"GENERAL";"TAB3",#N/A,TRUE,"GENERAL";"TAB4",#N/A,TRUE,"GENERAL";"TAB5",#N/A,TRUE,"GENERAL"}</definedName>
    <definedName name="grehrtyh" hidden="1">{"TAB1",#N/A,TRUE,"GENERAL";"TAB2",#N/A,TRUE,"GENERAL";"TAB3",#N/A,TRUE,"GENERAL";"TAB4",#N/A,TRUE,"GENERAL";"TAB5",#N/A,TRUE,"GENERAL"}</definedName>
    <definedName name="grggwero" hidden="1">{"via1",#N/A,TRUE,"general";"via2",#N/A,TRUE,"general";"via3",#N/A,TRUE,"general"}</definedName>
    <definedName name="GRM">#REF!</definedName>
    <definedName name="GRM_ON_DMARES">#REF!</definedName>
    <definedName name="GRM_ON_DRIO">#REF!</definedName>
    <definedName name="GRN">#REF!</definedName>
    <definedName name="GRN_ON_ASO">#REF!</definedName>
    <definedName name="GRN_ON_DIREC">#REF!</definedName>
    <definedName name="GRS">#REF!</definedName>
    <definedName name="GRS_ON_ASO">#REF!</definedName>
    <definedName name="GRS_ON_DIREC">#REF!</definedName>
    <definedName name="GRS_ON_HUIL">#REF!</definedName>
    <definedName name="grtyerh" hidden="1">{"TAB1",#N/A,TRUE,"GENERAL";"TAB2",#N/A,TRUE,"GENERAL";"TAB3",#N/A,TRUE,"GENERAL";"TAB4",#N/A,TRUE,"GENERAL";"TAB5",#N/A,TRUE,"GENERAL"}</definedName>
    <definedName name="GRUPO1">#REF!</definedName>
    <definedName name="GRUPO123">#REF!</definedName>
    <definedName name="GRUPO13">#REF!</definedName>
    <definedName name="GRUPO2">#REF!</definedName>
    <definedName name="grupo3">#REF!</definedName>
    <definedName name="grupo4">#REF!</definedName>
    <definedName name="grupo5">#REF!</definedName>
    <definedName name="grupo6">#REF!</definedName>
    <definedName name="grupo7">#REF!</definedName>
    <definedName name="grupo8">#REF!</definedName>
    <definedName name="grupo9">#REF!</definedName>
    <definedName name="GSDG" hidden="1">{"TAB1",#N/A,TRUE,"GENERAL";"TAB2",#N/A,TRUE,"GENERAL";"TAB3",#N/A,TRUE,"GENERAL";"TAB4",#N/A,TRUE,"GENERAL";"TAB5",#N/A,TRUE,"GENERAL"}</definedName>
    <definedName name="gsfsf" hidden="1">{"via1",#N/A,TRUE,"general";"via2",#N/A,TRUE,"general";"via3",#N/A,TRUE,"general"}</definedName>
    <definedName name="GT">#REF!</definedName>
    <definedName name="GTC">#REF!</definedName>
    <definedName name="GTE">#REF!</definedName>
    <definedName name="gtgt" hidden="1">{"via1",#N/A,TRUE,"general";"via2",#N/A,TRUE,"general";"via3",#N/A,TRUE,"general"}</definedName>
    <definedName name="gtgtg" hidden="1">{"via1",#N/A,TRUE,"general";"via2",#N/A,TRUE,"general";"via3",#N/A,TRUE,"general"}</definedName>
    <definedName name="gtgtgff" hidden="1">{"via1",#N/A,TRUE,"general";"via2",#N/A,TRUE,"general";"via3",#N/A,TRUE,"general"}</definedName>
    <definedName name="gtgtgyh" hidden="1">{"TAB1",#N/A,TRUE,"GENERAL";"TAB2",#N/A,TRUE,"GENERAL";"TAB3",#N/A,TRUE,"GENERAL";"TAB4",#N/A,TRUE,"GENERAL";"TAB5",#N/A,TRUE,"GENERAL"}</definedName>
    <definedName name="gtgth" hidden="1">{"TAB1",#N/A,TRUE,"GENERAL";"TAB2",#N/A,TRUE,"GENERAL";"TAB3",#N/A,TRUE,"GENERAL";"TAB4",#N/A,TRUE,"GENERAL";"TAB5",#N/A,TRUE,"GENERAL"}</definedName>
    <definedName name="GTO_ADMON">#REF!</definedName>
    <definedName name="GTO_INVEST">#REF!</definedName>
    <definedName name="GTO_OPERA">#REF!</definedName>
    <definedName name="GTP">#REF!</definedName>
    <definedName name="GTRE">#REF!</definedName>
    <definedName name="h">#REF!</definedName>
    <definedName name="H_pump">#REF!</definedName>
    <definedName name="h9h" hidden="1">{"via1",#N/A,TRUE,"general";"via2",#N/A,TRUE,"general";"via3",#N/A,TRUE,"general"}</definedName>
    <definedName name="Hazards">#REF!</definedName>
    <definedName name="hbfdhrw" hidden="1">{"TAB1",#N/A,TRUE,"GENERAL";"TAB2",#N/A,TRUE,"GENERAL";"TAB3",#N/A,TRUE,"GENERAL";"TAB4",#N/A,TRUE,"GENERAL";"TAB5",#N/A,TRUE,"GENERAL"}</definedName>
    <definedName name="hdfh" hidden="1">{"via1",#N/A,TRUE,"general";"via2",#N/A,TRUE,"general";"via3",#N/A,TRUE,"general"}</definedName>
    <definedName name="hdfh4" hidden="1">{"TAB1",#N/A,TRUE,"GENERAL";"TAB2",#N/A,TRUE,"GENERAL";"TAB3",#N/A,TRUE,"GENERAL";"TAB4",#N/A,TRUE,"GENERAL";"TAB5",#N/A,TRUE,"GENERAL"}</definedName>
    <definedName name="hdfhwq" hidden="1">{"TAB1",#N/A,TRUE,"GENERAL";"TAB2",#N/A,TRUE,"GENERAL";"TAB3",#N/A,TRUE,"GENERAL";"TAB4",#N/A,TRUE,"GENERAL";"TAB5",#N/A,TRUE,"GENERAL"}</definedName>
    <definedName name="hdgh" hidden="1">{"via1",#N/A,TRUE,"general";"via2",#N/A,TRUE,"general";"via3",#N/A,TRUE,"general"}</definedName>
    <definedName name="hdhf" hidden="1">{"TAB1",#N/A,TRUE,"GENERAL";"TAB2",#N/A,TRUE,"GENERAL";"TAB3",#N/A,TRUE,"GENERAL";"TAB4",#N/A,TRUE,"GENERAL";"TAB5",#N/A,TRUE,"GENERAL"}</definedName>
    <definedName name="Header_Row">ROW(#REF!)</definedName>
    <definedName name="hed">#REF!</definedName>
    <definedName name="hen">#REF!</definedName>
    <definedName name="HERRERO">#REF!</definedName>
    <definedName name="hfgh" hidden="1">{"via1",#N/A,TRUE,"general";"via2",#N/A,TRUE,"general";"via3",#N/A,TRUE,"general"}</definedName>
    <definedName name="hfh" hidden="1">{"TAB1",#N/A,TRUE,"GENERAL";"TAB2",#N/A,TRUE,"GENERAL";"TAB3",#N/A,TRUE,"GENERAL";"TAB4",#N/A,TRUE,"GENERAL";"TAB5",#N/A,TRUE,"GENERAL"}</definedName>
    <definedName name="hfhg" hidden="1">{"TAB1",#N/A,TRUE,"GENERAL";"TAB2",#N/A,TRUE,"GENERAL";"TAB3",#N/A,TRUE,"GENERAL";"TAB4",#N/A,TRUE,"GENERAL";"TAB5",#N/A,TRUE,"GENERAL"}</definedName>
    <definedName name="hfthr" hidden="1">{"via1",#N/A,TRUE,"general";"via2",#N/A,TRUE,"general";"via3",#N/A,TRUE,"general"}</definedName>
    <definedName name="hg" hidden="1">{"via1",#N/A,TRUE,"general";"via2",#N/A,TRUE,"general";"via3",#N/A,TRUE,"general"}</definedName>
    <definedName name="HGFH" hidden="1">{"via1",#N/A,TRUE,"general";"via2",#N/A,TRUE,"general";"via3",#N/A,TRUE,"general"}</definedName>
    <definedName name="hgfhty" hidden="1">{"via1",#N/A,TRUE,"general";"via2",#N/A,TRUE,"general";"via3",#N/A,TRUE,"general"}</definedName>
    <definedName name="HGHFH7" hidden="1">{"TAB1",#N/A,TRUE,"GENERAL";"TAB2",#N/A,TRUE,"GENERAL";"TAB3",#N/A,TRUE,"GENERAL";"TAB4",#N/A,TRUE,"GENERAL";"TAB5",#N/A,TRUE,"GENERAL"}</definedName>
    <definedName name="hghhj" hidden="1">{"TAB1",#N/A,TRUE,"GENERAL";"TAB2",#N/A,TRUE,"GENERAL";"TAB3",#N/A,TRUE,"GENERAL";"TAB4",#N/A,TRUE,"GENERAL";"TAB5",#N/A,TRUE,"GENERAL"}</definedName>
    <definedName name="hghydj" hidden="1">{"via1",#N/A,TRUE,"general";"via2",#N/A,TRUE,"general";"via3",#N/A,TRUE,"general"}</definedName>
    <definedName name="hgjfjw" hidden="1">{"via1",#N/A,TRUE,"general";"via2",#N/A,TRUE,"general";"via3",#N/A,TRUE,"general"}</definedName>
    <definedName name="HGJG" hidden="1">{"TAB1",#N/A,TRUE,"GENERAL";"TAB2",#N/A,TRUE,"GENERAL";"TAB3",#N/A,TRUE,"GENERAL";"TAB4",#N/A,TRUE,"GENERAL";"TAB5",#N/A,TRUE,"GENERAL"}</definedName>
    <definedName name="hh">[0]!ERR</definedName>
    <definedName name="hhg" hidden="1">{#N/A,#N/A,TRUE,"1842CWN0"}</definedName>
    <definedName name="hhh" hidden="1">{"TAB1",#N/A,TRUE,"GENERAL";"TAB2",#N/A,TRUE,"GENERAL";"TAB3",#N/A,TRUE,"GENERAL";"TAB4",#N/A,TRUE,"GENERAL";"TAB5",#N/A,TRUE,"GENERAL"}</definedName>
    <definedName name="hhhhhh" hidden="1">{"via1",#N/A,TRUE,"general";"via2",#N/A,TRUE,"general";"via3",#N/A,TRUE,"general"}</definedName>
    <definedName name="hhhhhho" hidden="1">{"TAB1",#N/A,TRUE,"GENERAL";"TAB2",#N/A,TRUE,"GENERAL";"TAB3",#N/A,TRUE,"GENERAL";"TAB4",#N/A,TRUE,"GENERAL";"TAB5",#N/A,TRUE,"GENERAL"}</definedName>
    <definedName name="hhhhhpy" hidden="1">{"TAB1",#N/A,TRUE,"GENERAL";"TAB2",#N/A,TRUE,"GENERAL";"TAB3",#N/A,TRUE,"GENERAL";"TAB4",#N/A,TRUE,"GENERAL";"TAB5",#N/A,TRUE,"GENERAL"}</definedName>
    <definedName name="hhhhth" hidden="1">{"via1",#N/A,TRUE,"general";"via2",#N/A,TRUE,"general";"via3",#N/A,TRUE,"general"}</definedName>
    <definedName name="hhhyhyh" hidden="1">{"TAB1",#N/A,TRUE,"GENERAL";"TAB2",#N/A,TRUE,"GENERAL";"TAB3",#N/A,TRUE,"GENERAL";"TAB4",#N/A,TRUE,"GENERAL";"TAB5",#N/A,TRUE,"GENERAL"}</definedName>
    <definedName name="hhtrhreh" hidden="1">{"via1",#N/A,TRUE,"general";"via2",#N/A,TRUE,"general";"via3",#N/A,TRUE,"general"}</definedName>
    <definedName name="Hid">#REF!</definedName>
    <definedName name="HIDE1">#REF!</definedName>
    <definedName name="hjfg" hidden="1">{"via1",#N/A,TRUE,"general";"via2",#N/A,TRUE,"general";"via3",#N/A,TRUE,"general"}</definedName>
    <definedName name="hjgh" hidden="1">{"TAB1",#N/A,TRUE,"GENERAL";"TAB2",#N/A,TRUE,"GENERAL";"TAB3",#N/A,TRUE,"GENERAL";"TAB4",#N/A,TRUE,"GENERAL";"TAB5",#N/A,TRUE,"GENERAL"}</definedName>
    <definedName name="hjghj" hidden="1">{"TAB1",#N/A,TRUE,"GENERAL";"TAB2",#N/A,TRUE,"GENERAL";"TAB3",#N/A,TRUE,"GENERAL";"TAB4",#N/A,TRUE,"GENERAL";"TAB5",#N/A,TRUE,"GENERAL"}</definedName>
    <definedName name="hjhjhg" hidden="1">{"TAB1",#N/A,TRUE,"GENERAL";"TAB2",#N/A,TRUE,"GENERAL";"TAB3",#N/A,TRUE,"GENERAL";"TAB4",#N/A,TRUE,"GENERAL";"TAB5",#N/A,TRUE,"GENERAL"}</definedName>
    <definedName name="HJKH" hidden="1">{"via1",#N/A,TRUE,"general";"via2",#N/A,TRUE,"general";"via3",#N/A,TRUE,"general"}</definedName>
    <definedName name="hjkjk" hidden="1">{"via1",#N/A,TRUE,"general";"via2",#N/A,TRUE,"general";"via3",#N/A,TRUE,"general"}</definedName>
    <definedName name="HK">[0]!ERR</definedName>
    <definedName name="HM">#REF!</definedName>
    <definedName name="hn" hidden="1">{"TAB1",#N/A,TRUE,"GENERAL";"TAB2",#N/A,TRUE,"GENERAL";"TAB3",#N/A,TRUE,"GENERAL";"TAB4",#N/A,TRUE,"GENERAL";"TAB5",#N/A,TRUE,"GENERAL"}</definedName>
    <definedName name="HOJA1">#REF!</definedName>
    <definedName name="horat">#REF!</definedName>
    <definedName name="Hornos">#REF!</definedName>
    <definedName name="HP_stg_Hz">#REF!</definedName>
    <definedName name="hreer" hidden="1">{"TAB1",#N/A,TRUE,"GENERAL";"TAB2",#N/A,TRUE,"GENERAL";"TAB3",#N/A,TRUE,"GENERAL";"TAB4",#N/A,TRUE,"GENERAL";"TAB5",#N/A,TRUE,"GENERAL"}</definedName>
    <definedName name="hrhth" hidden="1">{"TAB1",#N/A,TRUE,"GENERAL";"TAB2",#N/A,TRUE,"GENERAL";"TAB3",#N/A,TRUE,"GENERAL";"TAB4",#N/A,TRUE,"GENERAL";"TAB5",#N/A,TRUE,"GENERAL"}</definedName>
    <definedName name="hrn">#REF!</definedName>
    <definedName name="hrthtrh" hidden="1">{"TAB1",#N/A,TRUE,"GENERAL";"TAB2",#N/A,TRUE,"GENERAL";"TAB3",#N/A,TRUE,"GENERAL";"TAB4",#N/A,TRUE,"GENERAL";"TAB5",#N/A,TRUE,"GENERAL"}</definedName>
    <definedName name="hs">#REF!</definedName>
    <definedName name="hsfg" hidden="1">{"via1",#N/A,TRUE,"general";"via2",#N/A,TRUE,"general";"via3",#N/A,TRUE,"general"}</definedName>
    <definedName name="HTAS">#REF!</definedName>
    <definedName name="HTAS1">#REF!</definedName>
    <definedName name="hthdrf" hidden="1">{"TAB1",#N/A,TRUE,"GENERAL";"TAB2",#N/A,TRUE,"GENERAL";"TAB3",#N/A,TRUE,"GENERAL";"TAB4",#N/A,TRUE,"GENERAL";"TAB5",#N/A,TRUE,"GENERAL"}</definedName>
    <definedName name="htryrt7" hidden="1">{"via1",#N/A,TRUE,"general";"via2",#N/A,TRUE,"general";"via3",#N/A,TRUE,"general"}</definedName>
    <definedName name="hut">#REF!</definedName>
    <definedName name="hxdfk">#REF!</definedName>
    <definedName name="hyhjop" hidden="1">{"TAB1",#N/A,TRUE,"GENERAL";"TAB2",#N/A,TRUE,"GENERAL";"TAB3",#N/A,TRUE,"GENERAL";"TAB4",#N/A,TRUE,"GENERAL";"TAB5",#N/A,TRUE,"GENERAL"}</definedName>
    <definedName name="hyhyh" hidden="1">{"TAB1",#N/A,TRUE,"GENERAL";"TAB2",#N/A,TRUE,"GENERAL";"TAB3",#N/A,TRUE,"GENERAL";"TAB4",#N/A,TRUE,"GENERAL";"TAB5",#N/A,TRUE,"GENERAL"}</definedName>
    <definedName name="hytirs" hidden="1">{"via1",#N/A,TRUE,"general";"via2",#N/A,TRUE,"general";"via3",#N/A,TRUE,"general"}</definedName>
    <definedName name="I">#REF!</definedName>
    <definedName name="i0">#REF!</definedName>
    <definedName name="i8i" hidden="1">{"TAB1",#N/A,TRUE,"GENERAL";"TAB2",#N/A,TRUE,"GENERAL";"TAB3",#N/A,TRUE,"GENERAL";"TAB4",#N/A,TRUE,"GENERAL";"TAB5",#N/A,TRUE,"GENERAL"}</definedName>
    <definedName name="ic">#REF!</definedName>
    <definedName name="icbf">#REF!</definedName>
    <definedName name="Icct">#REF!</definedName>
    <definedName name="ICP">#REF!</definedName>
    <definedName name="ICP1_1">#REF!</definedName>
    <definedName name="ICP1_1_1">#REF!</definedName>
    <definedName name="ICP1_1_2">#REF!</definedName>
    <definedName name="ICP1_1_3">#REF!</definedName>
    <definedName name="ICP1_1_4">#REF!</definedName>
    <definedName name="ICP1_2">#REF!</definedName>
    <definedName name="ICP1_3">#REF!</definedName>
    <definedName name="ICP1_4">#REF!</definedName>
    <definedName name="ID">[0]!ERR</definedName>
    <definedName name="IF">#REF!</definedName>
    <definedName name="Ig">#REF!</definedName>
    <definedName name="ii" hidden="1">{"TAB1",#N/A,TRUE,"GENERAL";"TAB2",#N/A,TRUE,"GENERAL";"TAB3",#N/A,TRUE,"GENERAL";"TAB4",#N/A,TRUE,"GENERAL";"TAB5",#N/A,TRUE,"GENERAL"}</definedName>
    <definedName name="iii" hidden="1">{"via1",#N/A,TRUE,"general";"via2",#N/A,TRUE,"general";"via3",#N/A,TRUE,"general"}</definedName>
    <definedName name="iiii" hidden="1">{"via1",#N/A,TRUE,"general";"via2",#N/A,TRUE,"general";"via3",#N/A,TRUE,"general"}</definedName>
    <definedName name="iiiiiiik" hidden="1">{"via1",#N/A,TRUE,"general";"via2",#N/A,TRUE,"general";"via3",#N/A,TRUE,"general"}</definedName>
    <definedName name="iiiiuh" hidden="1">{"TAB1",#N/A,TRUE,"GENERAL";"TAB2",#N/A,TRUE,"GENERAL";"TAB3",#N/A,TRUE,"GENERAL";"TAB4",#N/A,TRUE,"GENERAL";"TAB5",#N/A,TRUE,"GENERAL"}</definedName>
    <definedName name="iktgvfmu" hidden="1">{"TAB1",#N/A,TRUE,"GENERAL";"TAB2",#N/A,TRUE,"GENERAL";"TAB3",#N/A,TRUE,"GENERAL";"TAB4",#N/A,TRUE,"GENERAL";"TAB5",#N/A,TRUE,"GENERAL"}</definedName>
    <definedName name="IL">#REF!</definedName>
    <definedName name="im">#REF!</definedName>
    <definedName name="IMP">#REF!</definedName>
    <definedName name="IMPRESSION">#REF!</definedName>
    <definedName name="imprimir">#REF!</definedName>
    <definedName name="IMPTOS">#REF!</definedName>
    <definedName name="IMPTOS1">#REF!</definedName>
    <definedName name="INC">#REF!</definedName>
    <definedName name="INCR._PRODC.">#REF!</definedName>
    <definedName name="INDICE">#REF!</definedName>
    <definedName name="inf">#REF!</definedName>
    <definedName name="INFORME">#REF!</definedName>
    <definedName name="Informe_semanal">#REF!</definedName>
    <definedName name="INGENIERIA1" hidden="1">#REF!</definedName>
    <definedName name="INGENIERIA11" hidden="1">#REF!</definedName>
    <definedName name="iniciales">#REF!,#REF!,#REF!,#REF!</definedName>
    <definedName name="Inicio">#REF!</definedName>
    <definedName name="INPU">#REF!</definedName>
    <definedName name="INPUT">#REF!</definedName>
    <definedName name="INSU">#REF!</definedName>
    <definedName name="INSUMOS">#REF!</definedName>
    <definedName name="Insumos_auxiliares">#REF!</definedName>
    <definedName name="Insumos_basicos">#REF!</definedName>
    <definedName name="Int">#REF!</definedName>
    <definedName name="InTap">#REF!</definedName>
    <definedName name="INTER">#REF!</definedName>
    <definedName name="Intercambiadores">#REF!</definedName>
    <definedName name="Interest_Rate">#REF!</definedName>
    <definedName name="INTERMEDIA_I">#REF!</definedName>
    <definedName name="Interventor">#REF!</definedName>
    <definedName name="IntVal">#REF!</definedName>
    <definedName name="INV_11">#REF!</definedName>
    <definedName name="INV_Payments">#REF!</definedName>
    <definedName name="InvDol1">#REF!</definedName>
    <definedName name="InvDol2">#REF!</definedName>
    <definedName name="InvDol3">#REF!</definedName>
    <definedName name="InvDol4">#REF!</definedName>
    <definedName name="InvDol5">#REF!</definedName>
    <definedName name="InvDol6">#REF!</definedName>
    <definedName name="InvDol7">#REF!</definedName>
    <definedName name="InvDol8">#REF!</definedName>
    <definedName name="IOU">#REF!</definedName>
    <definedName name="IOUHH">[0]!ERR</definedName>
    <definedName name="IP">#REF!</definedName>
    <definedName name="irng" hidden="1">#REF!</definedName>
    <definedName name="Iss">#REF!</definedName>
    <definedName name="issafp">#REF!</definedName>
    <definedName name="isscs">#REF!</definedName>
    <definedName name="isseps">#REF!</definedName>
    <definedName name="ITEM">#REF!</definedName>
    <definedName name="ITEM1">#REF!</definedName>
    <definedName name="ITEM15">#REF!</definedName>
    <definedName name="ITEM2">#REF!</definedName>
    <definedName name="item210.3">#REF!</definedName>
    <definedName name="item230.1">#REF!</definedName>
    <definedName name="ITEM3">#REF!</definedName>
    <definedName name="item310">#REF!</definedName>
    <definedName name="item320.2">#REF!</definedName>
    <definedName name="item330.1">#REF!</definedName>
    <definedName name="item420">#REF!</definedName>
    <definedName name="item450.2P">#REF!</definedName>
    <definedName name="item600.1">#REF!</definedName>
    <definedName name="item610.1">#REF!</definedName>
    <definedName name="item610.2">#REF!</definedName>
    <definedName name="item630.4">#REF!</definedName>
    <definedName name="item630.6">#REF!</definedName>
    <definedName name="item630.7">#REF!</definedName>
    <definedName name="item640.3">#REF!</definedName>
    <definedName name="item661">#REF!</definedName>
    <definedName name="item671">#REF!</definedName>
    <definedName name="item673.1">#REF!</definedName>
    <definedName name="item673.3">#REF!</definedName>
    <definedName name="item681">#REF!</definedName>
    <definedName name="item700.1">#REF!</definedName>
    <definedName name="item710.1">#REF!</definedName>
    <definedName name="item710.2">#REF!</definedName>
    <definedName name="item730.1">#REF!</definedName>
    <definedName name="item730.2">#REF!</definedName>
    <definedName name="item730.2.4">#REF!</definedName>
    <definedName name="item900.2">#REF!</definedName>
    <definedName name="ItemCodos">#REF!</definedName>
    <definedName name="IUI" hidden="1">{"TAB1",#N/A,TRUE,"GENERAL";"TAB2",#N/A,TRUE,"GENERAL";"TAB3",#N/A,TRUE,"GENERAL";"TAB4",#N/A,TRUE,"GENERAL";"TAB5",#N/A,TRUE,"GENERAL"}</definedName>
    <definedName name="iuit7" hidden="1">{"TAB1",#N/A,TRUE,"GENERAL";"TAB2",#N/A,TRUE,"GENERAL";"TAB3",#N/A,TRUE,"GENERAL";"TAB4",#N/A,TRUE,"GENERAL";"TAB5",#N/A,TRUE,"GENERAL"}</definedName>
    <definedName name="iul" hidden="1">{"via1",#N/A,TRUE,"general";"via2",#N/A,TRUE,"general";"via3",#N/A,TRUE,"general"}</definedName>
    <definedName name="iuouio" hidden="1">{"via1",#N/A,TRUE,"general";"via2",#N/A,TRUE,"general";"via3",#N/A,TRUE,"general"}</definedName>
    <definedName name="iuyi9" hidden="1">{"TAB1",#N/A,TRUE,"GENERAL";"TAB2",#N/A,TRUE,"GENERAL";"TAB3",#N/A,TRUE,"GENERAL";"TAB4",#N/A,TRUE,"GENERAL";"TAB5",#N/A,TRUE,"GENERAL"}</definedName>
    <definedName name="IVA">#REF!</definedName>
    <definedName name="iwjer">#REF!</definedName>
    <definedName name="iyuiuyi" hidden="1">{"via1",#N/A,TRUE,"general";"via2",#N/A,TRUE,"general";"via3",#N/A,TRUE,"general"}</definedName>
    <definedName name="j" hidden="1">{"TAB1",#N/A,TRUE,"GENERAL";"TAB2",#N/A,TRUE,"GENERAL";"TAB3",#N/A,TRUE,"GENERAL";"TAB4",#N/A,TRUE,"GENERAL";"TAB5",#N/A,TRUE,"GENERAL"}</definedName>
    <definedName name="jd" hidden="1">{"via1",#N/A,TRUE,"general";"via2",#N/A,TRUE,"general";"via3",#N/A,TRUE,"general"}</definedName>
    <definedName name="jdh" hidden="1">{"TAB1",#N/A,TRUE,"GENERAL";"TAB2",#N/A,TRUE,"GENERAL";"TAB3",#N/A,TRUE,"GENERAL";"TAB4",#N/A,TRUE,"GENERAL";"TAB5",#N/A,TRUE,"GENERAL"}</definedName>
    <definedName name="jeytj" hidden="1">{"TAB1",#N/A,TRUE,"GENERAL";"TAB2",#N/A,TRUE,"GENERAL";"TAB3",#N/A,TRUE,"GENERAL";"TAB4",#N/A,TRUE,"GENERAL";"TAB5",#N/A,TRUE,"GENERAL"}</definedName>
    <definedName name="jfç" hidden="1">#REF!</definedName>
    <definedName name="jfhjfrt" hidden="1">{"TAB1",#N/A,TRUE,"GENERAL";"TAB2",#N/A,TRUE,"GENERAL";"TAB3",#N/A,TRUE,"GENERAL";"TAB4",#N/A,TRUE,"GENERAL";"TAB5",#N/A,TRUE,"GENERAL"}</definedName>
    <definedName name="jgfj" hidden="1">{"via1",#N/A,TRUE,"general";"via2",#N/A,TRUE,"general";"via3",#N/A,TRUE,"general"}</definedName>
    <definedName name="jghj" hidden="1">{"TAB1",#N/A,TRUE,"GENERAL";"TAB2",#N/A,TRUE,"GENERAL";"TAB3",#N/A,TRUE,"GENERAL";"TAB4",#N/A,TRUE,"GENERAL";"TAB5",#N/A,TRUE,"GENERAL"}</definedName>
    <definedName name="jgj" hidden="1">{"TAB1",#N/A,TRUE,"GENERAL";"TAB2",#N/A,TRUE,"GENERAL";"TAB3",#N/A,TRUE,"GENERAL";"TAB4",#N/A,TRUE,"GENERAL";"TAB5",#N/A,TRUE,"GENERAL"}</definedName>
    <definedName name="jhg" hidden="1">{"TAB1",#N/A,TRUE,"GENERAL";"TAB2",#N/A,TRUE,"GENERAL";"TAB3",#N/A,TRUE,"GENERAL";"TAB4",#N/A,TRUE,"GENERAL";"TAB5",#N/A,TRUE,"GENERAL"}</definedName>
    <definedName name="jhjyj" hidden="1">{"via1",#N/A,TRUE,"general";"via2",#N/A,TRUE,"general";"via3",#N/A,TRUE,"general"}</definedName>
    <definedName name="JHK" hidden="1">{"TAB1",#N/A,TRUE,"GENERAL";"TAB2",#N/A,TRUE,"GENERAL";"TAB3",#N/A,TRUE,"GENERAL";"TAB4",#N/A,TRUE,"GENERAL";"TAB5",#N/A,TRUE,"GENERAL"}</definedName>
    <definedName name="jhkgjkvf" hidden="1">{"TAB1",#N/A,TRUE,"GENERAL";"TAB2",#N/A,TRUE,"GENERAL";"TAB3",#N/A,TRUE,"GENERAL";"TAB4",#N/A,TRUE,"GENERAL";"TAB5",#N/A,TRUE,"GENERAL"}</definedName>
    <definedName name="jj">[0]!ERR</definedName>
    <definedName name="jjfq" hidden="1">{"via1",#N/A,TRUE,"general";"via2",#N/A,TRUE,"general";"via3",#N/A,TRUE,"general"}</definedName>
    <definedName name="JJJ" hidden="1">{#N/A,#N/A,FALSE,"Hoja1";#N/A,#N/A,FALSE,"Hoja2"}</definedName>
    <definedName name="jjjhjddfg" hidden="1">{"via1",#N/A,TRUE,"general";"via2",#N/A,TRUE,"general";"via3",#N/A,TRUE,"general"}</definedName>
    <definedName name="jjjjju" hidden="1">{"via1",#N/A,TRUE,"general";"via2",#N/A,TRUE,"general";"via3",#N/A,TRUE,"general"}</definedName>
    <definedName name="jjujujty" hidden="1">{"TAB1",#N/A,TRUE,"GENERAL";"TAB2",#N/A,TRUE,"GENERAL";"TAB3",#N/A,TRUE,"GENERAL";"TAB4",#N/A,TRUE,"GENERAL";"TAB5",#N/A,TRUE,"GENERAL"}</definedName>
    <definedName name="jjyjy" hidden="1">{"via1",#N/A,TRUE,"general";"via2",#N/A,TRUE,"general";"via3",#N/A,TRUE,"general"}</definedName>
    <definedName name="jkk" hidden="1">{"TAB1",#N/A,TRUE,"GENERAL";"TAB2",#N/A,TRUE,"GENERAL";"TAB3",#N/A,TRUE,"GENERAL";"TAB4",#N/A,TRUE,"GENERAL";"TAB5",#N/A,TRUE,"GENERAL"}</definedName>
    <definedName name="jkl">#REF!</definedName>
    <definedName name="JOHNNY">[0]!ERR</definedName>
    <definedName name="JRYJ" hidden="1">{"via1",#N/A,TRUE,"general";"via2",#N/A,TRUE,"general";"via3",#N/A,TRUE,"general"}</definedName>
    <definedName name="jtyj" hidden="1">{"TAB1",#N/A,TRUE,"GENERAL";"TAB2",#N/A,TRUE,"GENERAL";"TAB3",#N/A,TRUE,"GENERAL";"TAB4",#N/A,TRUE,"GENERAL";"TAB5",#N/A,TRUE,"GENERAL"}</definedName>
    <definedName name="jtyry" hidden="1">{"TAB1",#N/A,TRUE,"GENERAL";"TAB2",#N/A,TRUE,"GENERAL";"TAB3",#N/A,TRUE,"GENERAL";"TAB4",#N/A,TRUE,"GENERAL";"TAB5",#N/A,TRUE,"GENERAL"}</definedName>
    <definedName name="juj" hidden="1">{"via1",#N/A,TRUE,"general";"via2",#N/A,TRUE,"general";"via3",#N/A,TRUE,"general"}</definedName>
    <definedName name="jujcx" hidden="1">{"via1",#N/A,TRUE,"general";"via2",#N/A,TRUE,"general";"via3",#N/A,TRUE,"general"}</definedName>
    <definedName name="jujuj" hidden="1">{"via1",#N/A,TRUE,"general";"via2",#N/A,TRUE,"general";"via3",#N/A,TRUE,"general"}</definedName>
    <definedName name="jujujuju" hidden="1">{"TAB1",#N/A,TRUE,"GENERAL";"TAB2",#N/A,TRUE,"GENERAL";"TAB3",#N/A,TRUE,"GENERAL";"TAB4",#N/A,TRUE,"GENERAL";"TAB5",#N/A,TRUE,"GENERAL"}</definedName>
    <definedName name="juuuhb" hidden="1">{"TAB1",#N/A,TRUE,"GENERAL";"TAB2",#N/A,TRUE,"GENERAL";"TAB3",#N/A,TRUE,"GENERAL";"TAB4",#N/A,TRUE,"GENERAL";"TAB5",#N/A,TRUE,"GENERAL"}</definedName>
    <definedName name="jvv">#REF!</definedName>
    <definedName name="jyjt7" hidden="1">{"via1",#N/A,TRUE,"general";"via2",#N/A,TRUE,"general";"via3",#N/A,TRUE,"general"}</definedName>
    <definedName name="jyt" hidden="1">{"via1",#N/A,TRUE,"general";"via2",#N/A,TRUE,"general";"via3",#N/A,TRUE,"general"}</definedName>
    <definedName name="jytj" hidden="1">{"via1",#N/A,TRUE,"general";"via2",#N/A,TRUE,"general";"via3",#N/A,TRUE,"general"}</definedName>
    <definedName name="jyuju" hidden="1">{"via1",#N/A,TRUE,"general";"via2",#N/A,TRUE,"general";"via3",#N/A,TRUE,"general"}</definedName>
    <definedName name="jyujyuj" hidden="1">{"via1",#N/A,TRUE,"general";"via2",#N/A,TRUE,"general";"via3",#N/A,TRUE,"general"}</definedName>
    <definedName name="K0F1">#REF!</definedName>
    <definedName name="K0F2">#REF!</definedName>
    <definedName name="K10ALO">#REF!</definedName>
    <definedName name="K11ALO">#REF!</definedName>
    <definedName name="K1F1">#REF!</definedName>
    <definedName name="K1F2">#REF!</definedName>
    <definedName name="K2F1">#REF!</definedName>
    <definedName name="K2F2">#REF!</definedName>
    <definedName name="K3F1">#REF!</definedName>
    <definedName name="K3F2">#REF!</definedName>
    <definedName name="K4F1">#REF!</definedName>
    <definedName name="K4F2">#REF!</definedName>
    <definedName name="K5F1">#REF!</definedName>
    <definedName name="K5F2">#REF!</definedName>
    <definedName name="K6F1">#REF!</definedName>
    <definedName name="K6F2">#REF!</definedName>
    <definedName name="K7F1">#REF!</definedName>
    <definedName name="K7F2">#REF!</definedName>
    <definedName name="K8ALO">#REF!</definedName>
    <definedName name="K8F1">#REF!</definedName>
    <definedName name="K8F2">#REF!</definedName>
    <definedName name="K9ALO">#REF!</definedName>
    <definedName name="kdmfm" hidden="1">#REF!</definedName>
    <definedName name="kf">#REF!</definedName>
    <definedName name="kh">#REF!</definedName>
    <definedName name="KHGGH" hidden="1">{"via1",#N/A,TRUE,"general";"via2",#N/A,TRUE,"general";"via3",#N/A,TRUE,"general"}</definedName>
    <definedName name="khjk7" hidden="1">{"TAB1",#N/A,TRUE,"GENERAL";"TAB2",#N/A,TRUE,"GENERAL";"TAB3",#N/A,TRUE,"GENERAL";"TAB4",#N/A,TRUE,"GENERAL";"TAB5",#N/A,TRUE,"GENERAL"}</definedName>
    <definedName name="kikik" hidden="1">{"via1",#N/A,TRUE,"general";"via2",#N/A,TRUE,"general";"via3",#N/A,TRUE,"general"}</definedName>
    <definedName name="kj">#REF!</definedName>
    <definedName name="kjhkd" hidden="1">{"via1",#N/A,TRUE,"general";"via2",#N/A,TRUE,"general";"via3",#N/A,TRUE,"general"}</definedName>
    <definedName name="kjj">#REF!</definedName>
    <definedName name="kjk" hidden="1">{"via1",#N/A,TRUE,"general";"via2",#N/A,TRUE,"general";"via3",#N/A,TRUE,"general"}</definedName>
    <definedName name="kjtrkjr" hidden="1">{"via1",#N/A,TRUE,"general";"via2",#N/A,TRUE,"general";"via3",#N/A,TRUE,"general"}</definedName>
    <definedName name="kk">#REF!</definedName>
    <definedName name="kkkki" hidden="1">{"via1",#N/A,TRUE,"general";"via2",#N/A,TRUE,"general";"via3",#N/A,TRUE,"general"}</definedName>
    <definedName name="kkkkkki" hidden="1">{"TAB1",#N/A,TRUE,"GENERAL";"TAB2",#N/A,TRUE,"GENERAL";"TAB3",#N/A,TRUE,"GENERAL";"TAB4",#N/A,TRUE,"GENERAL";"TAB5",#N/A,TRUE,"GENERAL"}</definedName>
    <definedName name="kl">[0]!ERR</definedName>
    <definedName name="klklk">#REF!</definedName>
    <definedName name="km">#REF!</definedName>
    <definedName name="krtrk" hidden="1">{"via1",#N/A,TRUE,"general";"via2",#N/A,TRUE,"general";"via3",#N/A,TRUE,"general"}</definedName>
    <definedName name="ks">#REF!</definedName>
    <definedName name="ksogtk">#REF!</definedName>
    <definedName name="kuyhgbe">#REF!</definedName>
    <definedName name="kyr" hidden="1">{"TAB1",#N/A,TRUE,"GENERAL";"TAB2",#N/A,TRUE,"GENERAL";"TAB3",#N/A,TRUE,"GENERAL";"TAB4",#N/A,TRUE,"GENERAL";"TAB5",#N/A,TRUE,"GENERAL"}</definedName>
    <definedName name="L">#REF!</definedName>
    <definedName name="la">#REF!</definedName>
    <definedName name="LAF">#REF!</definedName>
    <definedName name="lal">#REF!</definedName>
    <definedName name="lame" hidden="1">#REF!</definedName>
    <definedName name="LANODO">#REF!</definedName>
    <definedName name="LANODOFT">#REF!</definedName>
    <definedName name="Last_Row">#N/A</definedName>
    <definedName name="lb">#REF!</definedName>
    <definedName name="ld">#REF!</definedName>
    <definedName name="Libro1_Hoja1_Lista">#REF!</definedName>
    <definedName name="LICITACION">#REF!</definedName>
    <definedName name="LINEA">#REF!</definedName>
    <definedName name="ListaCantidad">#REF!</definedName>
    <definedName name="Listado">#REF!</definedName>
    <definedName name="Listado1">#REF!</definedName>
    <definedName name="ListaItem">#REF!</definedName>
    <definedName name="ListaUni">#REF!</definedName>
    <definedName name="liuoo" hidden="1">{"TAB1",#N/A,TRUE,"GENERAL";"TAB2",#N/A,TRUE,"GENERAL";"TAB3",#N/A,TRUE,"GENERAL";"TAB4",#N/A,TRUE,"GENERAL";"TAB5",#N/A,TRUE,"GENERAL"}</definedName>
    <definedName name="lkj" hidden="1">{"via1",#N/A,TRUE,"general";"via2",#N/A,TRUE,"general";"via3",#N/A,TRUE,"general"}</definedName>
    <definedName name="LKJLJK" hidden="1">{"TAB1",#N/A,TRUE,"GENERAL";"TAB2",#N/A,TRUE,"GENERAL";"TAB3",#N/A,TRUE,"GENERAL";"TAB4",#N/A,TRUE,"GENERAL";"TAB5",#N/A,TRUE,"GENERAL"}</definedName>
    <definedName name="LL" hidden="1">{#N/A,#N/A,FALSE,"orthoflow";#N/A,#N/A,FALSE,"Miscelaneos";#N/A,#N/A,FALSE,"Instrumentacio";#N/A,#N/A,FALSE,"Electrico";#N/A,#N/A,FALSE,"Valv. Seguridad"}</definedName>
    <definedName name="llam">#REF!</definedName>
    <definedName name="LLL">#REF!</definedName>
    <definedName name="lllllh" hidden="1">{"via1",#N/A,TRUE,"general";"via2",#N/A,TRUE,"general";"via3",#N/A,TRUE,"general"}</definedName>
    <definedName name="lllllllo" hidden="1">{"via1",#N/A,TRUE,"general";"via2",#N/A,TRUE,"general";"via3",#N/A,TRUE,"general"}</definedName>
    <definedName name="Loan_Amount">#REF!</definedName>
    <definedName name="Loan_Start">#REF!</definedName>
    <definedName name="Loan_Years">#REF!</definedName>
    <definedName name="LOCA">#REF!</definedName>
    <definedName name="LOCA1">#REF!</definedName>
    <definedName name="LOCALIZACION_Y_REPLANTEO">#REF!</definedName>
    <definedName name="LOGO">[0]!ERR</definedName>
    <definedName name="lolol" hidden="1">{"TAB1",#N/A,TRUE,"GENERAL";"TAB2",#N/A,TRUE,"GENERAL";"TAB3",#N/A,TRUE,"GENERAL";"TAB4",#N/A,TRUE,"GENERAL";"TAB5",#N/A,TRUE,"GENERAL"}</definedName>
    <definedName name="Longitud">#REF!</definedName>
    <definedName name="lp">#REF!</definedName>
    <definedName name="lplpl" hidden="1">{"via1",#N/A,TRUE,"general";"via2",#N/A,TRUE,"general";"via3",#N/A,TRUE,"general"}</definedName>
    <definedName name="lt">#REF!</definedName>
    <definedName name="lun">#REF!</definedName>
    <definedName name="lv">#REF!</definedName>
    <definedName name="m">#REF!</definedName>
    <definedName name="MA">#REF!</definedName>
    <definedName name="MACR">#REF!</definedName>
    <definedName name="MACRDEL">#REF!</definedName>
    <definedName name="Macroactividad">#REF!</definedName>
    <definedName name="mafdsf" hidden="1">{"via1",#N/A,TRUE,"general";"via2",#N/A,TRUE,"general";"via3",#N/A,TRUE,"general"}</definedName>
    <definedName name="MANUAL">#REF!</definedName>
    <definedName name="mao" hidden="1">{"TAB1",#N/A,TRUE,"GENERAL";"TAB2",#N/A,TRUE,"GENERAL";"TAB3",#N/A,TRUE,"GENERAL";"TAB4",#N/A,TRUE,"GENERAL";"TAB5",#N/A,TRUE,"GENERAL"}</definedName>
    <definedName name="maow" hidden="1">{"via1",#N/A,TRUE,"general";"via2",#N/A,TRUE,"general";"via3",#N/A,TRUE,"general"}</definedName>
    <definedName name="MAQUINAR">#REF!</definedName>
    <definedName name="mar">#REF!</definedName>
    <definedName name="MARCO_H">#REF!</definedName>
    <definedName name="marina">#REF!</definedName>
    <definedName name="masor" hidden="1">{"via1",#N/A,TRUE,"general";"via2",#N/A,TRUE,"general";"via3",#N/A,TRUE,"general"}</definedName>
    <definedName name="MAT">#REF!</definedName>
    <definedName name="MATERIAL">#REF!</definedName>
    <definedName name="materiales">#REF!</definedName>
    <definedName name="materiales1">#REF!</definedName>
    <definedName name="MaterialTub">#REF!</definedName>
    <definedName name="MATRIZ">#REF!</definedName>
    <definedName name="MATRIZ_DE_DATOS">#REF!</definedName>
    <definedName name="MCCs">#REF!</definedName>
    <definedName name="mdd" hidden="1">{"via1",#N/A,TRUE,"general";"via2",#N/A,TRUE,"general";"via3",#N/A,TRUE,"general"}</definedName>
    <definedName name="mediah_reposo_comida">#REF!</definedName>
    <definedName name="meg" hidden="1">{"TAB1",#N/A,TRUE,"GENERAL";"TAB2",#N/A,TRUE,"GENERAL";"TAB3",#N/A,TRUE,"GENERAL";"TAB4",#N/A,TRUE,"GENERAL";"TAB5",#N/A,TRUE,"GENERAL"}</definedName>
    <definedName name="MENU1">#REF!</definedName>
    <definedName name="MENU2">#REF!</definedName>
    <definedName name="MENU3">#REF!</definedName>
    <definedName name="MENU4">#REF!</definedName>
    <definedName name="MENU5">#REF!</definedName>
    <definedName name="MENU6">#REF!</definedName>
    <definedName name="MES">#REF!</definedName>
    <definedName name="MesCotiz">#REF!</definedName>
    <definedName name="MesCotizacion">#REF!</definedName>
    <definedName name="MESES">#REF!</definedName>
    <definedName name="MesesMora">#REF!</definedName>
    <definedName name="Meta1">#REF!</definedName>
    <definedName name="Meta2">#REF!</definedName>
    <definedName name="Meta3">#REF!</definedName>
    <definedName name="mfgjrdt" hidden="1">{"TAB1",#N/A,TRUE,"GENERAL";"TAB2",#N/A,TRUE,"GENERAL";"TAB3",#N/A,TRUE,"GENERAL";"TAB4",#N/A,TRUE,"GENERAL";"TAB5",#N/A,TRUE,"GENERAL"}</definedName>
    <definedName name="mghm" hidden="1">{"via1",#N/A,TRUE,"general";"via2",#N/A,TRUE,"general";"via3",#N/A,TRUE,"general"}</definedName>
    <definedName name="Mi_Salida">#REF!</definedName>
    <definedName name="Mi_Salida1">#REF!</definedName>
    <definedName name="MICR">#REF!</definedName>
    <definedName name="MIN_MAX_sma">#REF!</definedName>
    <definedName name="mjmj" hidden="1">{"via1",#N/A,TRUE,"general";"via2",#N/A,TRUE,"general";"via3",#N/A,TRUE,"general"}</definedName>
    <definedName name="mjmjmn" hidden="1">{"via1",#N/A,TRUE,"general";"via2",#N/A,TRUE,"general";"via3",#N/A,TRUE,"general"}</definedName>
    <definedName name="mjnhgkio" hidden="1">{"via1",#N/A,TRUE,"general";"via2",#N/A,TRUE,"general";"via3",#N/A,TRUE,"general"}</definedName>
    <definedName name="MJU">#REF!</definedName>
    <definedName name="mmjmjh" hidden="1">{"TAB1",#N/A,TRUE,"GENERAL";"TAB2",#N/A,TRUE,"GENERAL";"TAB3",#N/A,TRUE,"GENERAL";"TAB4",#N/A,TRUE,"GENERAL";"TAB5",#N/A,TRUE,"GENERAL"}</definedName>
    <definedName name="mmm" hidden="1">{"TAB1",#N/A,TRUE,"GENERAL";"TAB2",#N/A,TRUE,"GENERAL";"TAB3",#N/A,TRUE,"GENERAL";"TAB4",#N/A,TRUE,"GENERAL";"TAB5",#N/A,TRUE,"GENERAL"}</definedName>
    <definedName name="mmmh" hidden="1">{"via1",#N/A,TRUE,"general";"via2",#N/A,TRUE,"general";"via3",#N/A,TRUE,"general"}</definedName>
    <definedName name="mmmmmjyt" hidden="1">{"TAB1",#N/A,TRUE,"GENERAL";"TAB2",#N/A,TRUE,"GENERAL";"TAB3",#N/A,TRUE,"GENERAL";"TAB4",#N/A,TRUE,"GENERAL";"TAB5",#N/A,TRUE,"GENERAL"}</definedName>
    <definedName name="mmmmmmg" hidden="1">{"via1",#N/A,TRUE,"general";"via2",#N/A,TRUE,"general";"via3",#N/A,TRUE,"general"}</definedName>
    <definedName name="MN" hidden="1">{"via1",#N/A,TRUE,"general";"via2",#N/A,TRUE,"general";"via3",#N/A,TRUE,"general"}</definedName>
    <definedName name="MOA" hidden="1">{#N/A,#N/A,FALSE,"Hoja1";#N/A,#N/A,FALSE,"Hoja2"}</definedName>
    <definedName name="MOD">#REF!</definedName>
    <definedName name="MODIVejec" hidden="1">{#N/A,#N/A,FALSE,"Hoja1";#N/A,#N/A,FALSE,"Hoja2"}</definedName>
    <definedName name="Módulo3.anexo1">#REF!</definedName>
    <definedName name="Módulo3.anexo10">#REF!</definedName>
    <definedName name="Módulo3.anexo11">#REF!</definedName>
    <definedName name="Módulo3.anexo12">#REF!</definedName>
    <definedName name="Módulo3.anexo3">#REF!</definedName>
    <definedName name="Módulo3.anexo4">#REF!</definedName>
    <definedName name="Módulo3.anexo5">#REF!</definedName>
    <definedName name="Módulo3.anexo6">#REF!</definedName>
    <definedName name="Módulo8.anexo16">#REF!</definedName>
    <definedName name="MOE" hidden="1">{#N/A,#N/A,FALSE,"Hoja1";#N/A,#N/A,FALSE,"Hoja2"}</definedName>
    <definedName name="MONEDA">#REF!</definedName>
    <definedName name="mono">#REF!</definedName>
    <definedName name="MontoVigenciasA1">#REF!</definedName>
    <definedName name="MontoVigenciasA2">#REF!</definedName>
    <definedName name="MontoVigenciasA3">#REF!</definedName>
    <definedName name="MontoVigenciasA4">#REF!</definedName>
    <definedName name="MontoVigenciasA5">#REF!</definedName>
    <definedName name="Mora">#REF!</definedName>
    <definedName name="MORON">#REF!</definedName>
    <definedName name="MRLART">#REF!</definedName>
    <definedName name="MRSUPDET">#REF!</definedName>
    <definedName name="Mtz_Avance">#REF!</definedName>
    <definedName name="Mv">#REF!</definedName>
    <definedName name="n" hidden="1">{"via1",#N/A,TRUE,"general";"via2",#N/A,TRUE,"general";"via3",#N/A,TRUE,"general"}</definedName>
    <definedName name="Nada">#REF!</definedName>
    <definedName name="Nafta_2">#REF!</definedName>
    <definedName name="Nafta2">#REF!</definedName>
    <definedName name="Nafta3">#REF!</definedName>
    <definedName name="nbvnv" hidden="1">{"via1",#N/A,TRUE,"general";"via2",#N/A,TRUE,"general";"via3",#N/A,TRUE,"general"}</definedName>
    <definedName name="NDHS" hidden="1">{"TAB1",#N/A,TRUE,"GENERAL";"TAB2",#N/A,TRUE,"GENERAL";"TAB3",#N/A,TRUE,"GENERAL";"TAB4",#N/A,TRUE,"GENERAL";"TAB5",#N/A,TRUE,"GENERAL"}</definedName>
    <definedName name="nf" hidden="1">{"TAB1",#N/A,TRUE,"GENERAL";"TAB2",#N/A,TRUE,"GENERAL";"TAB3",#N/A,TRUE,"GENERAL";"TAB4",#N/A,TRUE,"GENERAL";"TAB5",#N/A,TRUE,"GENERAL"}</definedName>
    <definedName name="nfg" hidden="1">{"via1",#N/A,TRUE,"general";"via2",#N/A,TRUE,"general";"via3",#N/A,TRUE,"general"}</definedName>
    <definedName name="nfgn" hidden="1">{"via1",#N/A,TRUE,"general";"via2",#N/A,TRUE,"general";"via3",#N/A,TRUE,"general"}</definedName>
    <definedName name="ng">#REF!</definedName>
    <definedName name="ngdn" hidden="1">{"TAB1",#N/A,TRUE,"GENERAL";"TAB2",#N/A,TRUE,"GENERAL";"TAB3",#N/A,TRUE,"GENERAL";"TAB4",#N/A,TRUE,"GENERAL";"TAB5",#N/A,TRUE,"GENERAL"}</definedName>
    <definedName name="ngfh" hidden="1">{"via1",#N/A,TRUE,"general";"via2",#N/A,TRUE,"general";"via3",#N/A,TRUE,"general"}</definedName>
    <definedName name="NH">#REF!</definedName>
    <definedName name="nhn" hidden="1">{"via1",#N/A,TRUE,"general";"via2",#N/A,TRUE,"general";"via3",#N/A,TRUE,"general"}</definedName>
    <definedName name="nhncfgn" hidden="1">{"TAB1",#N/A,TRUE,"GENERAL";"TAB2",#N/A,TRUE,"GENERAL";"TAB3",#N/A,TRUE,"GENERAL";"TAB4",#N/A,TRUE,"GENERAL";"TAB5",#N/A,TRUE,"GENERAL"}</definedName>
    <definedName name="nhndr" hidden="1">{"via1",#N/A,TRUE,"general";"via2",#N/A,TRUE,"general";"via3",#N/A,TRUE,"general"}</definedName>
    <definedName name="Nit">#REF!</definedName>
    <definedName name="Nmax">#REF!</definedName>
    <definedName name="nmdlf">#REF!</definedName>
    <definedName name="nmmmm" hidden="1">{"via1",#N/A,TRUE,"general";"via2",#N/A,TRUE,"general";"via3",#N/A,TRUE,"general"}</definedName>
    <definedName name="NN" hidden="1">{"TAB1",#N/A,TRUE,"GENERAL";"TAB2",#N/A,TRUE,"GENERAL";"TAB3",#N/A,TRUE,"GENERAL";"TAB4",#N/A,TRUE,"GENERAL";"TAB5",#N/A,TRUE,"GENERAL"}</definedName>
    <definedName name="nndng" hidden="1">{"TAB1",#N/A,TRUE,"GENERAL";"TAB2",#N/A,TRUE,"GENERAL";"TAB3",#N/A,TRUE,"GENERAL";"TAB4",#N/A,TRUE,"GENERAL";"TAB5",#N/A,TRUE,"GENERAL"}</definedName>
    <definedName name="nnn" hidden="1">{"TAB1",#N/A,TRUE,"GENERAL";"TAB2",#N/A,TRUE,"GENERAL";"TAB3",#N/A,TRUE,"GENERAL";"TAB4",#N/A,TRUE,"GENERAL";"TAB5",#N/A,TRUE,"GENERAL"}</definedName>
    <definedName name="nnnhd" hidden="1">{"via1",#N/A,TRUE,"general";"via2",#N/A,TRUE,"general";"via3",#N/A,TRUE,"general"}</definedName>
    <definedName name="nnnnn" hidden="1">{"via1",#N/A,TRUE,"general";"via2",#N/A,TRUE,"general";"via3",#N/A,TRUE,"general"}</definedName>
    <definedName name="nnnnnd" hidden="1">{"TAB1",#N/A,TRUE,"GENERAL";"TAB2",#N/A,TRUE,"GENERAL";"TAB3",#N/A,TRUE,"GENERAL";"TAB4",#N/A,TRUE,"GENERAL";"TAB5",#N/A,TRUE,"GENERAL"}</definedName>
    <definedName name="nnnnnf" hidden="1">{"TAB1",#N/A,TRUE,"GENERAL";"TAB2",#N/A,TRUE,"GENERAL";"TAB3",#N/A,TRUE,"GENERAL";"TAB4",#N/A,TRUE,"GENERAL";"TAB5",#N/A,TRUE,"GENERAL"}</definedName>
    <definedName name="nnnnnh" hidden="1">{"via1",#N/A,TRUE,"general";"via2",#N/A,TRUE,"general";"via3",#N/A,TRUE,"general"}</definedName>
    <definedName name="NO">[0]!ERR</definedName>
    <definedName name="No_desarrolladas">#REF!,#REF!,#REF!,#REF!</definedName>
    <definedName name="NOMBRE">#REF!</definedName>
    <definedName name="NombreCoordinador">#REF!</definedName>
    <definedName name="NombreDependencia">#REF!</definedName>
    <definedName name="NombreProyecto">#REF!</definedName>
    <definedName name="NombreVicepresidencia">#REF!</definedName>
    <definedName name="Norte">#REF!</definedName>
    <definedName name="NPAGE">#REF!</definedName>
    <definedName name="NUEVO">#REF!</definedName>
    <definedName name="Num_Pmt_Per_Year">#REF!</definedName>
    <definedName name="Number_of_Payments">MATCH(0.01,End_Bal,-1)+1</definedName>
    <definedName name="nxn" hidden="1">{"via1",#N/A,TRUE,"general";"via2",#N/A,TRUE,"general";"via3",#N/A,TRUE,"general"}</definedName>
    <definedName name="ñpñpñ" hidden="1">{"via1",#N/A,TRUE,"general";"via2",#N/A,TRUE,"general";"via3",#N/A,TRUE,"general"}</definedName>
    <definedName name="º1">#REF!</definedName>
    <definedName name="o9o9" hidden="1">{"via1",#N/A,TRUE,"general";"via2",#N/A,TRUE,"general";"via3",#N/A,TRUE,"general"}</definedName>
    <definedName name="OBJ">#REF!</definedName>
    <definedName name="ObjetivoProyecto">#REF!</definedName>
    <definedName name="Obra">#REF!</definedName>
    <definedName name="obras" hidden="1">#REF!</definedName>
    <definedName name="obras1" localSheetId="0">DATE(YEAR(#REF!),MONTH(#REF!)+Payment_Number,DAY(#REF!))</definedName>
    <definedName name="obras1">DATE(YEAR(#REF!),MONTH(#REF!)+Payment_Number,DAY(#REF!))</definedName>
    <definedName name="obras11" hidden="1">#REF!</definedName>
    <definedName name="obras111" localSheetId="0">DATE(YEAR(#REF!),MONTH(#REF!)+Payment_Number,DAY(#REF!))</definedName>
    <definedName name="obras111">DATE(YEAR(#REF!),MONTH(#REF!)+Payment_Number,DAY(#REF!))</definedName>
    <definedName name="OCD">#REF!</definedName>
    <definedName name="OCD1_1">#REF!</definedName>
    <definedName name="OCD1_1_1">#REF!</definedName>
    <definedName name="OCI">#REF!</definedName>
    <definedName name="OCI1_1">#REF!</definedName>
    <definedName name="OCI1_1_1">#REF!</definedName>
    <definedName name="OCTUBRE" hidden="1">{#N/A,#N/A,FALSE,"orthoflow";#N/A,#N/A,FALSE,"Miscelaneos";#N/A,#N/A,FALSE,"Instrumentacio";#N/A,#N/A,FALSE,"Electrico";#N/A,#N/A,FALSE,"Valv. Seguridad"}</definedName>
    <definedName name="OD">#REF!</definedName>
    <definedName name="oiret" hidden="1">{"TAB1",#N/A,TRUE,"GENERAL";"TAB2",#N/A,TRUE,"GENERAL";"TAB3",#N/A,TRUE,"GENERAL";"TAB4",#N/A,TRUE,"GENERAL";"TAB5",#N/A,TRUE,"GENERAL"}</definedName>
    <definedName name="oirgrth" hidden="1">{"TAB1",#N/A,TRUE,"GENERAL";"TAB2",#N/A,TRUE,"GENERAL";"TAB3",#N/A,TRUE,"GENERAL";"TAB4",#N/A,TRUE,"GENERAL";"TAB5",#N/A,TRUE,"GENERAL"}</definedName>
    <definedName name="OIUOIU" hidden="1">{"via1",#N/A,TRUE,"general";"via2",#N/A,TRUE,"general";"via3",#N/A,TRUE,"general"}</definedName>
    <definedName name="OnceThru">0</definedName>
    <definedName name="OÑ">#REF!</definedName>
    <definedName name="ooo" hidden="1">{"via1",#N/A,TRUE,"general";"via2",#N/A,TRUE,"general";"via3",#N/A,TRUE,"general"}</definedName>
    <definedName name="ooooiii" hidden="1">{"TAB1",#N/A,TRUE,"GENERAL";"TAB2",#N/A,TRUE,"GENERAL";"TAB3",#N/A,TRUE,"GENERAL";"TAB4",#N/A,TRUE,"GENERAL";"TAB5",#N/A,TRUE,"GENERAL"}</definedName>
    <definedName name="oooos" hidden="1">{"via1",#N/A,TRUE,"general";"via2",#N/A,TRUE,"general";"via3",#N/A,TRUE,"general"}</definedName>
    <definedName name="opcion">#REF!</definedName>
    <definedName name="Operario">#REF!</definedName>
    <definedName name="OR">#REF!</definedName>
    <definedName name="ORIGEN">#REF!</definedName>
    <definedName name="ORIGINAL" hidden="1">{#N/A,#N/A,FALSE,"orthoflow";#N/A,#N/A,FALSE,"Miscelaneos";#N/A,#N/A,FALSE,"Instrumentacio";#N/A,#N/A,FALSE,"Electrico";#N/A,#N/A,FALSE,"Valv. Seguridad"}</definedName>
    <definedName name="OROZCO" hidden="1">#REF!</definedName>
    <definedName name="otros">#REF!</definedName>
    <definedName name="OTROS1">#REF!</definedName>
    <definedName name="OUT">#REF!</definedName>
    <definedName name="P">#REF!</definedName>
    <definedName name="P_Yacimiento">#REF!</definedName>
    <definedName name="p0p0" hidden="1">{"via1",#N/A,TRUE,"general";"via2",#N/A,TRUE,"general";"via3",#N/A,TRUE,"general"}</definedName>
    <definedName name="Page____1____of____2">#REF!</definedName>
    <definedName name="Parametro_Peso">#REF!</definedName>
    <definedName name="Pay_Date">#REF!</definedName>
    <definedName name="Pay_Num">#REF!</definedName>
    <definedName name="Payment_Date" localSheetId="0">DATE(YEAR([0]!Loan_Start),MONTH([0]!Loan_Start)+Payment_Number,DAY([0]!Loan_Start))</definedName>
    <definedName name="Payment_Date">DATE(YEAR(Loan_Start),MONTH(Loan_Start)+Payment_Number,DAY(Loan_Start))</definedName>
    <definedName name="Payment_Date1" localSheetId="0">DATE(YEAR(#REF!),MONTH(#REF!)+Payment_Number,DAY(#REF!))</definedName>
    <definedName name="Payment_Date1">DATE(YEAR(#REF!),MONTH(#REF!)+Payment_Number,DAY(#REF!))</definedName>
    <definedName name="Payment_Needed">"Pago necesario"</definedName>
    <definedName name="Pb">#REF!</definedName>
    <definedName name="Pd">#REF!</definedName>
    <definedName name="PEPE">[0]!ERR</definedName>
    <definedName name="Periodo">#REF!</definedName>
    <definedName name="PeriodoPago">#REF!</definedName>
    <definedName name="PeriodoRepago">#REF!</definedName>
    <definedName name="PeriodoRepagoCCP">#REF!</definedName>
    <definedName name="phed">#REF!</definedName>
    <definedName name="phen">#REF!</definedName>
    <definedName name="Pindis">#REF!</definedName>
    <definedName name="pint">#REF!</definedName>
    <definedName name="pintura">#REF!</definedName>
    <definedName name="pintyura">#REF!</definedName>
    <definedName name="PIP">#REF!</definedName>
    <definedName name="Piscinas">#REF!</definedName>
    <definedName name="PKHK" hidden="1">{"TAB1",#N/A,TRUE,"GENERAL";"TAB2",#N/A,TRUE,"GENERAL";"TAB3",#N/A,TRUE,"GENERAL";"TAB4",#N/A,TRUE,"GENERAL";"TAB5",#N/A,TRUE,"GENERAL"}</definedName>
    <definedName name="pkj" hidden="1">{"TAB1",#N/A,TRUE,"GENERAL";"TAB2",#N/A,TRUE,"GENERAL";"TAB3",#N/A,TRUE,"GENERAL";"TAB4",#N/A,TRUE,"GENERAL";"TAB5",#N/A,TRUE,"GENERAL"}</definedName>
    <definedName name="pkwsem">#REF!</definedName>
    <definedName name="PLAD" hidden="1">{"TAB1",#N/A,TRUE,"GENERAL";"TAB2",#N/A,TRUE,"GENERAL";"TAB3",#N/A,TRUE,"GENERAL";"TAB4",#N/A,TRUE,"GENERAL";"TAB5",#N/A,TRUE,"GENERAL"}</definedName>
    <definedName name="Platinas">#REF!</definedName>
    <definedName name="Plazo">#REF!</definedName>
    <definedName name="PlazoAIU">#REF!</definedName>
    <definedName name="PLPLUNN" hidden="1">{"TAB1",#N/A,TRUE,"GENERAL";"TAB2",#N/A,TRUE,"GENERAL";"TAB3",#N/A,TRUE,"GENERAL";"TAB4",#N/A,TRUE,"GENERAL";"TAB5",#N/A,TRUE,"GENERAL"}</definedName>
    <definedName name="PMP">#REF!</definedName>
    <definedName name="POCETAS">#REF!</definedName>
    <definedName name="POIUP" hidden="1">{"via1",#N/A,TRUE,"general";"via2",#N/A,TRUE,"general";"via3",#N/A,TRUE,"general"}</definedName>
    <definedName name="popop" hidden="1">{"via1",#N/A,TRUE,"general";"via2",#N/A,TRUE,"general";"via3",#N/A,TRUE,"general"}</definedName>
    <definedName name="popp" hidden="1">{"via1",#N/A,TRUE,"general";"via2",#N/A,TRUE,"general";"via3",#N/A,TRUE,"general"}</definedName>
    <definedName name="popu">#REF!</definedName>
    <definedName name="popvds" hidden="1">{"TAB1",#N/A,TRUE,"GENERAL";"TAB2",#N/A,TRUE,"GENERAL";"TAB3",#N/A,TRUE,"GENERAL";"TAB4",#N/A,TRUE,"GENERAL";"TAB5",#N/A,TRUE,"GENERAL"}</definedName>
    <definedName name="porc">#REF!</definedName>
    <definedName name="PORCE">#REF!</definedName>
    <definedName name="Porcentaje">#REF!</definedName>
    <definedName name="PORCENTAJE1">#REF!</definedName>
    <definedName name="PORTADA2">#REF!</definedName>
    <definedName name="POSICION_PRESUP">#REF!</definedName>
    <definedName name="POSICIONES">#REF!</definedName>
    <definedName name="pouig" hidden="1">{"via1",#N/A,TRUE,"general";"via2",#N/A,TRUE,"general";"via3",#N/A,TRUE,"general"}</definedName>
    <definedName name="POZO">#REF!</definedName>
    <definedName name="PPPP" hidden="1">{#N/A,#N/A,FALSE,"orthoflow";#N/A,#N/A,FALSE,"Miscelaneos";#N/A,#N/A,FALSE,"Instrumentacio";#N/A,#N/A,FALSE,"Electrico";#N/A,#N/A,FALSE,"Valv. Seguridad"}</definedName>
    <definedName name="ppppp9" hidden="1">{"via1",#N/A,TRUE,"general";"via2",#N/A,TRUE,"general";"via3",#N/A,TRUE,"general"}</definedName>
    <definedName name="pppppd" hidden="1">{"TAB1",#N/A,TRUE,"GENERAL";"TAB2",#N/A,TRUE,"GENERAL";"TAB3",#N/A,TRUE,"GENERAL";"TAB4",#N/A,TRUE,"GENERAL";"TAB5",#N/A,TRUE,"GENERAL"}</definedName>
    <definedName name="PPtoNorte">#REF!</definedName>
    <definedName name="pqroj" hidden="1">{"via1",#N/A,TRUE,"general";"via2",#N/A,TRUE,"general";"via3",#N/A,TRUE,"general"}</definedName>
    <definedName name="Pr">#REF!</definedName>
    <definedName name="PRE">#REF!</definedName>
    <definedName name="Precio">#REF!</definedName>
    <definedName name="precio2">#REF!</definedName>
    <definedName name="PrecioS">#REF!</definedName>
    <definedName name="PREST">#REF!</definedName>
    <definedName name="PRIMER" hidden="1">{"via1",#N/A,TRUE,"general";"via2",#N/A,TRUE,"general";"via3",#N/A,TRUE,"general"}</definedName>
    <definedName name="PRIMERO">#REF!</definedName>
    <definedName name="PRIMET" hidden="1">{"TAB1",#N/A,TRUE,"GENERAL";"TAB2",#N/A,TRUE,"GENERAL";"TAB3",#N/A,TRUE,"GENERAL";"TAB4",#N/A,TRUE,"GENERAL";"TAB5",#N/A,TRUE,"GENERAL"}</definedName>
    <definedName name="Princ">#REF!</definedName>
    <definedName name="Print_Area_MI">#REF!</definedName>
    <definedName name="Print_Area_Reset">OFFSET(Full_Print,0,0,Last_Row)</definedName>
    <definedName name="PRINT_TITLES_MI">#N/A</definedName>
    <definedName name="PRINT1">#REF!</definedName>
    <definedName name="PRINT2">#REF!</definedName>
    <definedName name="PRIVADO">#REF!</definedName>
    <definedName name="prn">#REF!</definedName>
    <definedName name="prnf">#REF!</definedName>
    <definedName name="ProbRange">0</definedName>
    <definedName name="ProbRangeMit">0</definedName>
    <definedName name="PROC">#REF!</definedName>
    <definedName name="PROCEDIM_SELECC">#REF!</definedName>
    <definedName name="PROCESO">#REF!</definedName>
    <definedName name="PRODUCTO">#REF!</definedName>
    <definedName name="PrOfic">#REF!</definedName>
    <definedName name="PROGDES">#REF!</definedName>
    <definedName name="Programa">#REF!</definedName>
    <definedName name="programainv">[0]!ERR</definedName>
    <definedName name="Proponente">#REF!</definedName>
    <definedName name="PRUEBA">#REF!</definedName>
    <definedName name="prueba1">#REF!</definedName>
    <definedName name="PRUEBA2">#REF!</definedName>
    <definedName name="ps">#REF!</definedName>
    <definedName name="PSTRESS_RELIEVI">#REF!</definedName>
    <definedName name="PTAR" hidden="1">{#N/A,#N/A,FALSE,"Estatico";#N/A,#N/A,FALSE,"Tuberia";#N/A,#N/A,FALSE,"Instrumentación";#N/A,#N/A,FALSE,"Mecanica";#N/A,#N/A,FALSE,"Electrico";#N/A,#N/A,FALSE,"Ofic.Civiles"}</definedName>
    <definedName name="ptope" hidden="1">{"TAB1",#N/A,TRUE,"GENERAL";"TAB2",#N/A,TRUE,"GENERAL";"TAB3",#N/A,TRUE,"GENERAL";"TAB4",#N/A,TRUE,"GENERAL";"TAB5",#N/A,TRUE,"GENERAL"}</definedName>
    <definedName name="ptopes" hidden="1">{"via1",#N/A,TRUE,"general";"via2",#N/A,TRUE,"general";"via3",#N/A,TRUE,"general"}</definedName>
    <definedName name="PW">#REF!</definedName>
    <definedName name="Pwf">#REF!</definedName>
    <definedName name="Pwf_actual">#REF!</definedName>
    <definedName name="Pwf_i">#REF!</definedName>
    <definedName name="Pwf_min">#REF!</definedName>
    <definedName name="Pwfd">#REF!</definedName>
    <definedName name="Q">#REF!</definedName>
    <definedName name="Q_actual">#REF!</definedName>
    <definedName name="Q_BRUTO">#REF!</definedName>
    <definedName name="q1q1q" hidden="1">{"via1",#N/A,TRUE,"general";"via2",#N/A,TRUE,"general";"via3",#N/A,TRUE,"general"}</definedName>
    <definedName name="qaedtguj" hidden="1">{"via1",#N/A,TRUE,"general";"via2",#N/A,TRUE,"general";"via3",#N/A,TRUE,"general"}</definedName>
    <definedName name="QAQSWS" hidden="1">{"via1",#N/A,TRUE,"general";"via2",#N/A,TRUE,"general";"via3",#N/A,TRUE,"general"}</definedName>
    <definedName name="qaqwwxcr" hidden="1">{"via1",#N/A,TRUE,"general";"via2",#N/A,TRUE,"general";"via3",#N/A,TRUE,"general"}</definedName>
    <definedName name="qaz">#REF!</definedName>
    <definedName name="qedcd" hidden="1">{"via1",#N/A,TRUE,"general";"via2",#N/A,TRUE,"general";"via3",#N/A,TRUE,"general"}</definedName>
    <definedName name="qeqewe" hidden="1">{"TAB1",#N/A,TRUE,"GENERAL";"TAB2",#N/A,TRUE,"GENERAL";"TAB3",#N/A,TRUE,"GENERAL";"TAB4",#N/A,TRUE,"GENERAL";"TAB5",#N/A,TRUE,"GENERAL"}</definedName>
    <definedName name="qewj" hidden="1">{"via1",#N/A,TRUE,"general";"via2",#N/A,TRUE,"general";"via3",#N/A,TRUE,"general"}</definedName>
    <definedName name="Qmax">#REF!</definedName>
    <definedName name="qqqqqw" hidden="1">{"via1",#N/A,TRUE,"general";"via2",#N/A,TRUE,"general";"via3",#N/A,TRUE,"general"}</definedName>
    <definedName name="QS">#REF!</definedName>
    <definedName name="Qt">#REF!</definedName>
    <definedName name="QTIES">#REF!</definedName>
    <definedName name="QTY">#REF!</definedName>
    <definedName name="qw" hidden="1">{"via1",#N/A,TRUE,"general";"via2",#N/A,TRUE,"general";"via3",#N/A,TRUE,"general"}</definedName>
    <definedName name="qwdas2" hidden="1">{"via1",#N/A,TRUE,"general";"via2",#N/A,TRUE,"general";"via3",#N/A,TRUE,"general"}</definedName>
    <definedName name="QWE">#REF!</definedName>
    <definedName name="qweqe" hidden="1">{"TAB1",#N/A,TRUE,"GENERAL";"TAB2",#N/A,TRUE,"GENERAL";"TAB3",#N/A,TRUE,"GENERAL";"TAB4",#N/A,TRUE,"GENERAL";"TAB5",#N/A,TRUE,"GENERAL"}</definedName>
    <definedName name="QWERTY">[0]!ERR</definedName>
    <definedName name="qwewertet" hidden="1">{#N/A,#N/A,TRUE,"1842CWN0"}</definedName>
    <definedName name="qwqwqwj" hidden="1">{"TAB1",#N/A,TRUE,"GENERAL";"TAB2",#N/A,TRUE,"GENERAL";"TAB3",#N/A,TRUE,"GENERAL";"TAB4",#N/A,TRUE,"GENERAL";"TAB5",#N/A,TRUE,"GENERAL"}</definedName>
    <definedName name="R._SECO">#REF!</definedName>
    <definedName name="R_2">#REF!</definedName>
    <definedName name="R_c">#REF!</definedName>
    <definedName name="RANGO_FECHA">#REF!</definedName>
    <definedName name="Rates">#REF!</definedName>
    <definedName name="RD">#REF!</definedName>
    <definedName name="rdq">#REF!</definedName>
    <definedName name="Reactores">#REF!</definedName>
    <definedName name="Recall_2">#REF!</definedName>
    <definedName name="Recall_3">#REF!</definedName>
    <definedName name="recursos">#REF!</definedName>
    <definedName name="rege" hidden="1">{"TAB1",#N/A,TRUE,"GENERAL";"TAB2",#N/A,TRUE,"GENERAL";"TAB3",#N/A,TRUE,"GENERAL";"TAB4",#N/A,TRUE,"GENERAL";"TAB5",#N/A,TRUE,"GENERAL"}</definedName>
    <definedName name="REGIMEN_CONTRAT">#REF!</definedName>
    <definedName name="REGIONAL">#REF!</definedName>
    <definedName name="RegistroCoordinador">#REF!</definedName>
    <definedName name="regresd" hidden="1">{"TAB1",#N/A,TRUE,"GENERAL";"TAB2",#N/A,TRUE,"GENERAL";"TAB3",#N/A,TRUE,"GENERAL";"TAB4",#N/A,TRUE,"GENERAL";"TAB5",#N/A,TRUE,"GENERAL"}</definedName>
    <definedName name="regthio" hidden="1">{"TAB1",#N/A,TRUE,"GENERAL";"TAB2",#N/A,TRUE,"GENERAL";"TAB3",#N/A,TRUE,"GENERAL";"TAB4",#N/A,TRUE,"GENERAL";"TAB5",#N/A,TRUE,"GENERAL"}</definedName>
    <definedName name="REICIO">[0]!ERR</definedName>
    <definedName name="Reimbursement">"Reembolso"</definedName>
    <definedName name="reinicio">[0]!ERR</definedName>
    <definedName name="REJHE" hidden="1">{"via1",#N/A,TRUE,"general";"via2",#N/A,TRUE,"general";"via3",#N/A,TRUE,"general"}</definedName>
    <definedName name="rell">#REF!</definedName>
    <definedName name="remanentes">#REF!,#REF!,#REF!,#REF!</definedName>
    <definedName name="rendimiento">#REF!</definedName>
    <definedName name="RENDIMIENTO____CARGA">#REF!</definedName>
    <definedName name="REPXXX">#REF!</definedName>
    <definedName name="Requerimiento">#REF!</definedName>
    <definedName name="Requerimientos">#REF!</definedName>
    <definedName name="rer" hidden="1">{"via1",#N/A,TRUE,"general";"via2",#N/A,TRUE,"general";"via3",#N/A,TRUE,"general"}</definedName>
    <definedName name="rererw" hidden="1">{"TAB1",#N/A,TRUE,"GENERAL";"TAB2",#N/A,TRUE,"GENERAL";"TAB3",#N/A,TRUE,"GENERAL";"TAB4",#N/A,TRUE,"GENERAL";"TAB5",#N/A,TRUE,"GENERAL"}</definedName>
    <definedName name="rerg" hidden="1">{"TAB1",#N/A,TRUE,"GENERAL";"TAB2",#N/A,TRUE,"GENERAL";"TAB3",#N/A,TRUE,"GENERAL";"TAB4",#N/A,TRUE,"GENERAL";"TAB5",#N/A,TRUE,"GENERAL"}</definedName>
    <definedName name="rerrrrw" hidden="1">{"TAB1",#N/A,TRUE,"GENERAL";"TAB2",#N/A,TRUE,"GENERAL";"TAB3",#N/A,TRUE,"GENERAL";"TAB4",#N/A,TRUE,"GENERAL";"TAB5",#N/A,TRUE,"GENERAL"}</definedName>
    <definedName name="RES">#REF!</definedName>
    <definedName name="Resistividad">#REF!</definedName>
    <definedName name="RESU">#REF!</definedName>
    <definedName name="resu8">#REF!</definedName>
    <definedName name="resufi">#REF!</definedName>
    <definedName name="resufi1">#REF!</definedName>
    <definedName name="resumen">#REF!</definedName>
    <definedName name="resumen_final">#REF!</definedName>
    <definedName name="resumen_final1">#REF!</definedName>
    <definedName name="Retenc">#REF!</definedName>
    <definedName name="RETTRE" hidden="1">{"via1",#N/A,TRUE,"general";"via2",#N/A,TRUE,"general";"via3",#N/A,TRUE,"general"}</definedName>
    <definedName name="rety" hidden="1">{"TAB1",#N/A,TRUE,"GENERAL";"TAB2",#N/A,TRUE,"GENERAL";"TAB3",#N/A,TRUE,"GENERAL";"TAB4",#N/A,TRUE,"GENERAL";"TAB5",#N/A,TRUE,"GENERAL"}</definedName>
    <definedName name="rewfreg" hidden="1">{"via1",#N/A,TRUE,"general";"via2",#N/A,TRUE,"general";"via3",#N/A,TRUE,"general"}</definedName>
    <definedName name="rewr" hidden="1">{"via1",#N/A,TRUE,"general";"via2",#N/A,TRUE,"general";"via3",#N/A,TRUE,"general"}</definedName>
    <definedName name="REWWER" hidden="1">{"TAB1",#N/A,TRUE,"GENERAL";"TAB2",#N/A,TRUE,"GENERAL";"TAB3",#N/A,TRUE,"GENERAL";"TAB4",#N/A,TRUE,"GENERAL";"TAB5",#N/A,TRUE,"GENERAL"}</definedName>
    <definedName name="reyepoi" hidden="1">{"TAB1",#N/A,TRUE,"GENERAL";"TAB2",#N/A,TRUE,"GENERAL";"TAB3",#N/A,TRUE,"GENERAL";"TAB4",#N/A,TRUE,"GENERAL";"TAB5",#N/A,TRUE,"GENERAL"}</definedName>
    <definedName name="reyety" hidden="1">{"via1",#N/A,TRUE,"general";"via2",#N/A,TRUE,"general";"via3",#N/A,TRUE,"general"}</definedName>
    <definedName name="reyty" hidden="1">{"via1",#N/A,TRUE,"general";"via2",#N/A,TRUE,"general";"via3",#N/A,TRUE,"general"}</definedName>
    <definedName name="reyyt" hidden="1">{"via1",#N/A,TRUE,"general";"via2",#N/A,TRUE,"general";"via3",#N/A,TRUE,"general"}</definedName>
    <definedName name="rfhnhjyu" hidden="1">{"TAB1",#N/A,TRUE,"GENERAL";"TAB2",#N/A,TRUE,"GENERAL";"TAB3",#N/A,TRUE,"GENERAL";"TAB4",#N/A,TRUE,"GENERAL";"TAB5",#N/A,TRUE,"GENERAL"}</definedName>
    <definedName name="rfrf" hidden="1">{"via1",#N/A,TRUE,"general";"via2",#N/A,TRUE,"general";"via3",#N/A,TRUE,"general"}</definedName>
    <definedName name="RFV">#REF!</definedName>
    <definedName name="RG">#REF!</definedName>
    <definedName name="rge" hidden="1">{"via1",#N/A,TRUE,"general";"via2",#N/A,TRUE,"general";"via3",#N/A,TRUE,"general"}</definedName>
    <definedName name="rgegg" hidden="1">{"via1",#N/A,TRUE,"general";"via2",#N/A,TRUE,"general";"via3",#N/A,TRUE,"general"}</definedName>
    <definedName name="rhh" hidden="1">{"TAB1",#N/A,TRUE,"GENERAL";"TAB2",#N/A,TRUE,"GENERAL";"TAB3",#N/A,TRUE,"GENERAL";"TAB4",#N/A,TRUE,"GENERAL";"TAB5",#N/A,TRUE,"GENERAL"}</definedName>
    <definedName name="rhrtd" hidden="1">{"TAB1",#N/A,TRUE,"GENERAL";"TAB2",#N/A,TRUE,"GENERAL";"TAB3",#N/A,TRUE,"GENERAL";"TAB4",#N/A,TRUE,"GENERAL";"TAB5",#N/A,TRUE,"GENERAL"}</definedName>
    <definedName name="rhtry" hidden="1">{"TAB1",#N/A,TRUE,"GENERAL";"TAB2",#N/A,TRUE,"GENERAL";"TAB3",#N/A,TRUE,"GENERAL";"TAB4",#N/A,TRUE,"GENERAL";"TAB5",#N/A,TRUE,"GENERAL"}</definedName>
    <definedName name="RID">#REF!</definedName>
    <definedName name="RISP">#REF!</definedName>
    <definedName name="rj" hidden="1">{"TAB1",#N/A,TRUE,"GENERAL";"TAB2",#N/A,TRUE,"GENERAL";"TAB3",#N/A,TRUE,"GENERAL";"TAB4",#N/A,TRUE,"GENERAL";"TAB5",#N/A,TRUE,"GENERAL"}</definedName>
    <definedName name="rjjth" hidden="1">{"TAB1",#N/A,TRUE,"GENERAL";"TAB2",#N/A,TRUE,"GENERAL";"TAB3",#N/A,TRUE,"GENERAL";"TAB4",#N/A,TRUE,"GENERAL";"TAB5",#N/A,TRUE,"GENERAL"}</definedName>
    <definedName name="rjy" hidden="1">{"via1",#N/A,TRUE,"general";"via2",#N/A,TRUE,"general";"via3",#N/A,TRUE,"general"}</definedName>
    <definedName name="rkjyk" hidden="1">{"TAB1",#N/A,TRUE,"GENERAL";"TAB2",#N/A,TRUE,"GENERAL";"TAB3",#N/A,TRUE,"GENERAL";"TAB4",#N/A,TRUE,"GENERAL";"TAB5",#N/A,TRUE,"GENERAL"}</definedName>
    <definedName name="rkru" hidden="1">{"via1",#N/A,TRUE,"general";"via2",#N/A,TRUE,"general";"via3",#N/A,TRUE,"general"}</definedName>
    <definedName name="rky" hidden="1">{"TAB1",#N/A,TRUE,"GENERAL";"TAB2",#N/A,TRUE,"GENERAL";"TAB3",#N/A,TRUE,"GENERAL";"TAB4",#N/A,TRUE,"GENERAL";"TAB5",#N/A,TRUE,"GENERAL"}</definedName>
    <definedName name="rnf">#REF!</definedName>
    <definedName name="Ro">#REF!,#REF!,#REF!</definedName>
    <definedName name="rr">[0]!ERR</definedName>
    <definedName name="rrr" hidden="1">{"via1",#N/A,TRUE,"general";"via2",#N/A,TRUE,"general";"via3",#N/A,TRUE,"general"}</definedName>
    <definedName name="rrrr">#REF!</definedName>
    <definedName name="rrrrrb" hidden="1">{"via1",#N/A,TRUE,"general";"via2",#N/A,TRUE,"general";"via3",#N/A,TRUE,"general"}</definedName>
    <definedName name="rrrrrrre" hidden="1">{"TAB1",#N/A,TRUE,"GENERAL";"TAB2",#N/A,TRUE,"GENERAL";"TAB3",#N/A,TRUE,"GENERAL";"TAB4",#N/A,TRUE,"GENERAL";"TAB5",#N/A,TRUE,"GENERAL"}</definedName>
    <definedName name="rrrrt" hidden="1">{"via1",#N/A,TRUE,"general";"via2",#N/A,TRUE,"general";"via3",#N/A,TRUE,"general"}</definedName>
    <definedName name="Rs">#REF!</definedName>
    <definedName name="rsdgsd5" hidden="1">{"TAB1",#N/A,TRUE,"GENERAL";"TAB2",#N/A,TRUE,"GENERAL";"TAB3",#N/A,TRUE,"GENERAL";"TAB4",#N/A,TRUE,"GENERAL";"TAB5",#N/A,TRUE,"GENERAL"}</definedName>
    <definedName name="RSS">#REF!</definedName>
    <definedName name="rt" hidden="1">{"TAB1",#N/A,TRUE,"GENERAL";"TAB2",#N/A,TRUE,"GENERAL";"TAB3",#N/A,TRUE,"GENERAL";"TAB4",#N/A,TRUE,"GENERAL";"TAB5",#N/A,TRUE,"GENERAL"}</definedName>
    <definedName name="rte" hidden="1">{"TAB1",#N/A,TRUE,"GENERAL";"TAB2",#N/A,TRUE,"GENERAL";"TAB3",#N/A,TRUE,"GENERAL";"TAB4",#N/A,TRUE,"GENERAL";"TAB5",#N/A,TRUE,"GENERAL"}</definedName>
    <definedName name="rteg" hidden="1">{"via1",#N/A,TRUE,"general";"via2",#N/A,TRUE,"general";"via3",#N/A,TRUE,"general"}</definedName>
    <definedName name="rtert" hidden="1">{"TAB1",#N/A,TRUE,"GENERAL";"TAB2",#N/A,TRUE,"GENERAL";"TAB3",#N/A,TRUE,"GENERAL";"TAB4",#N/A,TRUE,"GENERAL";"TAB5",#N/A,TRUE,"GENERAL"}</definedName>
    <definedName name="rtes" hidden="1">{"via1",#N/A,TRUE,"general";"via2",#N/A,TRUE,"general";"via3",#N/A,TRUE,"general"}</definedName>
    <definedName name="rtewth" hidden="1">{"TAB1",#N/A,TRUE,"GENERAL";"TAB2",#N/A,TRUE,"GENERAL";"TAB3",#N/A,TRUE,"GENERAL";"TAB4",#N/A,TRUE,"GENERAL";"TAB5",#N/A,TRUE,"GENERAL"}</definedName>
    <definedName name="rthjtj" hidden="1">{"TAB1",#N/A,TRUE,"GENERAL";"TAB2",#N/A,TRUE,"GENERAL";"TAB3",#N/A,TRUE,"GENERAL";"TAB4",#N/A,TRUE,"GENERAL";"TAB5",#N/A,TRUE,"GENERAL"}</definedName>
    <definedName name="rthrthg" hidden="1">{"via1",#N/A,TRUE,"general";"via2",#N/A,TRUE,"general";"via3",#N/A,TRUE,"general"}</definedName>
    <definedName name="rthtrh" hidden="1">{"via1",#N/A,TRUE,"general";"via2",#N/A,TRUE,"general";"via3",#N/A,TRUE,"general"}</definedName>
    <definedName name="rtkk" hidden="1">{"via1",#N/A,TRUE,"general";"via2",#N/A,TRUE,"general";"via3",#N/A,TRUE,"general"}</definedName>
    <definedName name="rttthy" hidden="1">{"via1",#N/A,TRUE,"general";"via2",#N/A,TRUE,"general";"via3",#N/A,TRUE,"general"}</definedName>
    <definedName name="rtu" hidden="1">{"via1",#N/A,TRUE,"general";"via2",#N/A,TRUE,"general";"via3",#N/A,TRUE,"general"}</definedName>
    <definedName name="rtug" hidden="1">{"TAB1",#N/A,TRUE,"GENERAL";"TAB2",#N/A,TRUE,"GENERAL";"TAB3",#N/A,TRUE,"GENERAL";"TAB4",#N/A,TRUE,"GENERAL";"TAB5",#N/A,TRUE,"GENERAL"}</definedName>
    <definedName name="rtugsd" hidden="1">{"TAB1",#N/A,TRUE,"GENERAL";"TAB2",#N/A,TRUE,"GENERAL";"TAB3",#N/A,TRUE,"GENERAL";"TAB4",#N/A,TRUE,"GENERAL";"TAB5",#N/A,TRUE,"GENERAL"}</definedName>
    <definedName name="rturtu" hidden="1">{"via1",#N/A,TRUE,"general";"via2",#N/A,TRUE,"general";"via3",#N/A,TRUE,"general"}</definedName>
    <definedName name="rturu" hidden="1">{"via1",#N/A,TRUE,"general";"via2",#N/A,TRUE,"general";"via3",#N/A,TRUE,"general"}</definedName>
    <definedName name="rtut" hidden="1">{"via1",#N/A,TRUE,"general";"via2",#N/A,TRUE,"general";"via3",#N/A,TRUE,"general"}</definedName>
    <definedName name="rtutru" hidden="1">{"via1",#N/A,TRUE,"general";"via2",#N/A,TRUE,"general";"via3",#N/A,TRUE,"general"}</definedName>
    <definedName name="rtuy" hidden="1">{"via1",#N/A,TRUE,"general";"via2",#N/A,TRUE,"general";"via3",#N/A,TRUE,"general"}</definedName>
    <definedName name="rtyhr" hidden="1">{"TAB1",#N/A,TRUE,"GENERAL";"TAB2",#N/A,TRUE,"GENERAL";"TAB3",#N/A,TRUE,"GENERAL";"TAB4",#N/A,TRUE,"GENERAL";"TAB5",#N/A,TRUE,"GENERAL"}</definedName>
    <definedName name="rtym" hidden="1">{"via1",#N/A,TRUE,"general";"via2",#N/A,TRUE,"general";"via3",#N/A,TRUE,"general"}</definedName>
    <definedName name="rtyrey" hidden="1">{"TAB1",#N/A,TRUE,"GENERAL";"TAB2",#N/A,TRUE,"GENERAL";"TAB3",#N/A,TRUE,"GENERAL";"TAB4",#N/A,TRUE,"GENERAL";"TAB5",#N/A,TRUE,"GENERAL"}</definedName>
    <definedName name="rtyrh" hidden="1">{"via1",#N/A,TRUE,"general";"via2",#N/A,TRUE,"general";"via3",#N/A,TRUE,"general"}</definedName>
    <definedName name="RTYRTY" hidden="1">{"via1",#N/A,TRUE,"general";"via2",#N/A,TRUE,"general";"via3",#N/A,TRUE,"general"}</definedName>
    <definedName name="rtyt" hidden="1">{"TAB1",#N/A,TRUE,"GENERAL";"TAB2",#N/A,TRUE,"GENERAL";"TAB3",#N/A,TRUE,"GENERAL";"TAB4",#N/A,TRUE,"GENERAL";"TAB5",#N/A,TRUE,"GENERAL"}</definedName>
    <definedName name="rtytry" hidden="1">{"via1",#N/A,TRUE,"general";"via2",#N/A,TRUE,"general";"via3",#N/A,TRUE,"general"}</definedName>
    <definedName name="ruru" hidden="1">{"TAB1",#N/A,TRUE,"GENERAL";"TAB2",#N/A,TRUE,"GENERAL";"TAB3",#N/A,TRUE,"GENERAL";"TAB4",#N/A,TRUE,"GENERAL";"TAB5",#N/A,TRUE,"GENERAL"}</definedName>
    <definedName name="RUT">#REF!</definedName>
    <definedName name="rutu" hidden="1">{"via1",#N/A,TRUE,"general";"via2",#N/A,TRUE,"general";"via3",#N/A,TRUE,"general"}</definedName>
    <definedName name="rwt" hidden="1">{"via1",#N/A,TRUE,"general";"via2",#N/A,TRUE,"general";"via3",#N/A,TRUE,"general"}</definedName>
    <definedName name="ry" hidden="1">{"via1",#N/A,TRUE,"general";"via2",#N/A,TRUE,"general";"via3",#N/A,TRUE,"general"}</definedName>
    <definedName name="ryeryb" hidden="1">{"TAB1",#N/A,TRUE,"GENERAL";"TAB2",#N/A,TRUE,"GENERAL";"TAB3",#N/A,TRUE,"GENERAL";"TAB4",#N/A,TRUE,"GENERAL";"TAB5",#N/A,TRUE,"GENERAL"}</definedName>
    <definedName name="rytrsdg" hidden="1">{"via1",#N/A,TRUE,"general";"via2",#N/A,TRUE,"general";"via3",#N/A,TRUE,"general"}</definedName>
    <definedName name="s">[0]!ERR</definedName>
    <definedName name="saa" hidden="1">{"via1",#N/A,TRUE,"general";"via2",#N/A,TRUE,"general";"via3",#N/A,TRUE,"general"}</definedName>
    <definedName name="SAD" hidden="1">{"via1",#N/A,TRUE,"general";"via2",#N/A,TRUE,"general";"via3",#N/A,TRUE,"general"}</definedName>
    <definedName name="SADF" hidden="1">{"via1",#N/A,TRUE,"general";"via2",#N/A,TRUE,"general";"via3",#N/A,TRUE,"general"}</definedName>
    <definedName name="sadff" hidden="1">{"TAB1",#N/A,TRUE,"GENERAL";"TAB2",#N/A,TRUE,"GENERAL";"TAB3",#N/A,TRUE,"GENERAL";"TAB4",#N/A,TRUE,"GENERAL";"TAB5",#N/A,TRUE,"GENERAL"}</definedName>
    <definedName name="sadfo" hidden="1">{"via1",#N/A,TRUE,"general";"via2",#N/A,TRUE,"general";"via3",#N/A,TRUE,"general"}</definedName>
    <definedName name="safdp" hidden="1">{"TAB1",#N/A,TRUE,"GENERAL";"TAB2",#N/A,TRUE,"GENERAL";"TAB3",#N/A,TRUE,"GENERAL";"TAB4",#N/A,TRUE,"GENERAL";"TAB5",#N/A,TRUE,"GENERAL"}</definedName>
    <definedName name="salarios">[0]!ERR</definedName>
    <definedName name="SalConv">#REF!</definedName>
    <definedName name="SALID1">#REF!</definedName>
    <definedName name="SalMinimo">#REF!</definedName>
    <definedName name="sbgfbgdr" hidden="1">{"via1",#N/A,TRUE,"general";"via2",#N/A,TRUE,"general";"via3",#N/A,TRUE,"general"}</definedName>
    <definedName name="SBS">#REF!</definedName>
    <definedName name="Sched_Pay">#REF!</definedName>
    <definedName name="Scheduled_Extra_Payments">#REF!</definedName>
    <definedName name="Scheduled_Interest_Rate">#REF!</definedName>
    <definedName name="Scheduled_Monthly_Payment">#REF!</definedName>
    <definedName name="sd" hidden="1">{"TAB1",#N/A,TRUE,"GENERAL";"TAB2",#N/A,TRUE,"GENERAL";"TAB3",#N/A,TRUE,"GENERAL";"TAB4",#N/A,TRUE,"GENERAL";"TAB5",#N/A,TRUE,"GENERAL"}</definedName>
    <definedName name="sdaf" hidden="1">{"via1",#N/A,TRUE,"general";"via2",#N/A,TRUE,"general";"via3",#N/A,TRUE,"general"}</definedName>
    <definedName name="sdas" hidden="1">{"via1",#N/A,TRUE,"general";"via2",#N/A,TRUE,"general";"via3",#N/A,TRUE,"general"}</definedName>
    <definedName name="sdasdf" hidden="1">{"via1",#N/A,TRUE,"general";"via2",#N/A,TRUE,"general";"via3",#N/A,TRUE,"general"}</definedName>
    <definedName name="SDCDSCT" hidden="1">{"TAB1",#N/A,TRUE,"GENERAL";"TAB2",#N/A,TRUE,"GENERAL";"TAB3",#N/A,TRUE,"GENERAL";"TAB4",#N/A,TRUE,"GENERAL";"TAB5",#N/A,TRUE,"GENERAL"}</definedName>
    <definedName name="SDDSAFF" hidden="1">{#N/A,#N/A,TRUE,"1842CWN0"}</definedName>
    <definedName name="SDFCE" hidden="1">{"TAB1",#N/A,TRUE,"GENERAL";"TAB2",#N/A,TRUE,"GENERAL";"TAB3",#N/A,TRUE,"GENERAL";"TAB4",#N/A,TRUE,"GENERAL";"TAB5",#N/A,TRUE,"GENERAL"}</definedName>
    <definedName name="sdfd" hidden="1">{"via1",#N/A,TRUE,"general";"via2",#N/A,TRUE,"general";"via3",#N/A,TRUE,"general"}</definedName>
    <definedName name="SDFDG" hidden="1">{#N/A,#N/A,TRUE,"1842CWN0"}</definedName>
    <definedName name="sdfds" hidden="1">{"via1",#N/A,TRUE,"general";"via2",#N/A,TRUE,"general";"via3",#N/A,TRUE,"general"}</definedName>
    <definedName name="SDFDSO" hidden="1">{"via1",#N/A,TRUE,"general";"via2",#N/A,TRUE,"general";"via3",#N/A,TRUE,"general"}</definedName>
    <definedName name="sdfdstp" hidden="1">{"TAB1",#N/A,TRUE,"GENERAL";"TAB2",#N/A,TRUE,"GENERAL";"TAB3",#N/A,TRUE,"GENERAL";"TAB4",#N/A,TRUE,"GENERAL";"TAB5",#N/A,TRUE,"GENERAL"}</definedName>
    <definedName name="SDFEO" hidden="1">{"via1",#N/A,TRUE,"general";"via2",#N/A,TRUE,"general";"via3",#N/A,TRUE,"general"}</definedName>
    <definedName name="sdfg" hidden="1">{"TAB1",#N/A,TRUE,"GENERAL";"TAB2",#N/A,TRUE,"GENERAL";"TAB3",#N/A,TRUE,"GENERAL";"TAB4",#N/A,TRUE,"GENERAL";"TAB5",#N/A,TRUE,"GENERAL"}</definedName>
    <definedName name="sdfgdsfk" hidden="1">{"via1",#N/A,TRUE,"general";"via2",#N/A,TRUE,"general";"via3",#N/A,TRUE,"general"}</definedName>
    <definedName name="sdfgsg" hidden="1">{"via1",#N/A,TRUE,"general";"via2",#N/A,TRUE,"general";"via3",#N/A,TRUE,"general"}</definedName>
    <definedName name="SDFLJK" hidden="1">{"TAB1",#N/A,TRUE,"GENERAL";"TAB2",#N/A,TRUE,"GENERAL";"TAB3",#N/A,TRUE,"GENERAL";"TAB4",#N/A,TRUE,"GENERAL";"TAB5",#N/A,TRUE,"GENERAL"}</definedName>
    <definedName name="sdfsd">#REF!</definedName>
    <definedName name="sdfsd4" hidden="1">{"via1",#N/A,TRUE,"general";"via2",#N/A,TRUE,"general";"via3",#N/A,TRUE,"general"}</definedName>
    <definedName name="SDFSDF" hidden="1">{"TAB1",#N/A,TRUE,"GENERAL";"TAB2",#N/A,TRUE,"GENERAL";"TAB3",#N/A,TRUE,"GENERAL";"TAB4",#N/A,TRUE,"GENERAL";"TAB5",#N/A,TRUE,"GENERAL"}</definedName>
    <definedName name="sdfsdfb" hidden="1">{"via1",#N/A,TRUE,"general";"via2",#N/A,TRUE,"general";"via3",#N/A,TRUE,"general"}</definedName>
    <definedName name="sdfsdgg" hidden="1">{#N/A,#N/A,TRUE,"INGENIERIA";#N/A,#N/A,TRUE,"COMPRAS";#N/A,#N/A,TRUE,"DIRECCION";#N/A,#N/A,TRUE,"RESUMEN"}</definedName>
    <definedName name="SDFSF" hidden="1">{"TAB1",#N/A,TRUE,"GENERAL";"TAB2",#N/A,TRUE,"GENERAL";"TAB3",#N/A,TRUE,"GENERAL";"TAB4",#N/A,TRUE,"GENERAL";"TAB5",#N/A,TRUE,"GENERAL"}</definedName>
    <definedName name="sdfsv" hidden="1">{"TAB1",#N/A,TRUE,"GENERAL";"TAB2",#N/A,TRUE,"GENERAL";"TAB3",#N/A,TRUE,"GENERAL";"TAB4",#N/A,TRUE,"GENERAL";"TAB5",#N/A,TRUE,"GENERAL"}</definedName>
    <definedName name="sdgfd" hidden="1">{"TAB1",#N/A,TRUE,"GENERAL";"TAB2",#N/A,TRUE,"GENERAL";"TAB3",#N/A,TRUE,"GENERAL";"TAB4",#N/A,TRUE,"GENERAL";"TAB5",#N/A,TRUE,"GENERAL"}</definedName>
    <definedName name="sdgfgp" hidden="1">{"via1",#N/A,TRUE,"general";"via2",#N/A,TRUE,"general";"via3",#N/A,TRUE,"general"}</definedName>
    <definedName name="sdgfiu" hidden="1">{"via1",#N/A,TRUE,"general";"via2",#N/A,TRUE,"general";"via3",#N/A,TRUE,"general"}</definedName>
    <definedName name="sdgsd" hidden="1">{"TAB1",#N/A,TRUE,"GENERAL";"TAB2",#N/A,TRUE,"GENERAL";"TAB3",#N/A,TRUE,"GENERAL";"TAB4",#N/A,TRUE,"GENERAL";"TAB5",#N/A,TRUE,"GENERAL"}</definedName>
    <definedName name="sdgsg" hidden="1">{"via1",#N/A,TRUE,"general";"via2",#N/A,TRUE,"general";"via3",#N/A,TRUE,"general"}</definedName>
    <definedName name="SDIKOM" hidden="1">{"TAB1",#N/A,TRUE,"GENERAL";"TAB2",#N/A,TRUE,"GENERAL";"TAB3",#N/A,TRUE,"GENERAL";"TAB4",#N/A,TRUE,"GENERAL";"TAB5",#N/A,TRUE,"GENERAL"}</definedName>
    <definedName name="sdsdfh" hidden="1">{"via1",#N/A,TRUE,"general";"via2",#N/A,TRUE,"general";"via3",#N/A,TRUE,"general"}</definedName>
    <definedName name="sdsdfsdff" hidden="1">{#N/A,#N/A,TRUE,"1842CWN0"}</definedName>
    <definedName name="SECTOR">#REF!</definedName>
    <definedName name="SEMANA_C3">#REF!</definedName>
    <definedName name="sena">#REF!</definedName>
    <definedName name="SERO">[0]!ERR</definedName>
    <definedName name="setrj" hidden="1">{"via1",#N/A,TRUE,"general";"via2",#N/A,TRUE,"general";"via3",#N/A,TRUE,"general"}</definedName>
    <definedName name="sett" hidden="1">{"via1",#N/A,TRUE,"general";"via2",#N/A,TRUE,"general";"via3",#N/A,TRUE,"general"}</definedName>
    <definedName name="sf">#REF!</definedName>
    <definedName name="sfasf" hidden="1">{"TAB1",#N/A,TRUE,"GENERAL";"TAB2",#N/A,TRUE,"GENERAL";"TAB3",#N/A,TRUE,"GENERAL";"TAB4",#N/A,TRUE,"GENERAL";"TAB5",#N/A,TRUE,"GENERAL"}</definedName>
    <definedName name="SFHSGFH" hidden="1">{"TAB1",#N/A,TRUE,"GENERAL";"TAB2",#N/A,TRUE,"GENERAL";"TAB3",#N/A,TRUE,"GENERAL";"TAB4",#N/A,TRUE,"GENERAL";"TAB5",#N/A,TRUE,"GENERAL"}</definedName>
    <definedName name="sfsd" hidden="1">{"via1",#N/A,TRUE,"general";"via2",#N/A,TRUE,"general";"via3",#N/A,TRUE,"general"}</definedName>
    <definedName name="sfsdf" hidden="1">{"TAB1",#N/A,TRUE,"GENERAL";"TAB2",#N/A,TRUE,"GENERAL";"TAB3",#N/A,TRUE,"GENERAL";"TAB4",#N/A,TRUE,"GENERAL";"TAB5",#N/A,TRUE,"GENERAL"}</definedName>
    <definedName name="sfsdferg" hidden="1">{"TAB1",#N/A,TRUE,"GENERAL";"TAB2",#N/A,TRUE,"GENERAL";"TAB3",#N/A,TRUE,"GENERAL";"TAB4",#N/A,TRUE,"GENERAL";"TAB5",#N/A,TRUE,"GENERAL"}</definedName>
    <definedName name="sfsdfs" hidden="1">{"TAB1",#N/A,TRUE,"GENERAL";"TAB2",#N/A,TRUE,"GENERAL";"TAB3",#N/A,TRUE,"GENERAL";"TAB4",#N/A,TRUE,"GENERAL";"TAB5",#N/A,TRUE,"GENERAL"}</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I">[0]!ERR</definedName>
    <definedName name="SINGOLO">#REF!</definedName>
    <definedName name="SISISIS">[0]!ERR</definedName>
    <definedName name="Smlv">#REF!</definedName>
    <definedName name="smlv01">#REF!</definedName>
    <definedName name="smlv2001">#REF!</definedName>
    <definedName name="SMML">#REF!</definedName>
    <definedName name="SN">#REF!</definedName>
    <definedName name="SOLD._4_">#REF!</definedName>
    <definedName name="SOLD._6_">#REF!</definedName>
    <definedName name="SOLD._8_">#REF!</definedName>
    <definedName name="srwrwr" hidden="1">{"TAB1",#N/A,TRUE,"GENERAL";"TAB2",#N/A,TRUE,"GENERAL";"TAB3",#N/A,TRUE,"GENERAL";"TAB4",#N/A,TRUE,"GENERAL";"TAB5",#N/A,TRUE,"GENERAL"}</definedName>
    <definedName name="SS">#REF!</definedName>
    <definedName name="SS_AVG_SIZE">#REF!</definedName>
    <definedName name="SS_WELDING">#REF!</definedName>
    <definedName name="ssa">#REF!</definedName>
    <definedName name="ssh">#REF!</definedName>
    <definedName name="sss" localSheetId="0">MODULO10.auto_abrir</definedName>
    <definedName name="sss">MODULO10.auto_abrir</definedName>
    <definedName name="SSSS">[0]!ERR</definedName>
    <definedName name="sssss7" hidden="1">{"via1",#N/A,TRUE,"general";"via2",#N/A,TRUE,"general";"via3",#N/A,TRUE,"general"}</definedName>
    <definedName name="sssssa" hidden="1">{"TAB1",#N/A,TRUE,"GENERAL";"TAB2",#N/A,TRUE,"GENERAL";"TAB3",#N/A,TRUE,"GENERAL";"TAB4",#N/A,TRUE,"GENERAL";"TAB5",#N/A,TRUE,"GENERAL"}</definedName>
    <definedName name="sssssy" hidden="1">{"via1",#N/A,TRUE,"general";"via2",#N/A,TRUE,"general";"via3",#N/A,TRUE,"general"}</definedName>
    <definedName name="St">#REF!</definedName>
    <definedName name="ST_BLDG">#REF!</definedName>
    <definedName name="ST_CW">#REF!</definedName>
    <definedName name="STALO1">#REF!</definedName>
    <definedName name="STAMPA">#REF!</definedName>
    <definedName name="STANU">#REF!</definedName>
    <definedName name="START">#REF!</definedName>
    <definedName name="START1">#REF!</definedName>
    <definedName name="STENU">#REF!</definedName>
    <definedName name="Stock">#REF!</definedName>
    <definedName name="STONU">#REF!</definedName>
    <definedName name="STRESS_RELIEVIN">#REF!</definedName>
    <definedName name="STSUMM">#REF!</definedName>
    <definedName name="stt" hidden="1">{"via1",#N/A,TRUE,"general";"via2",#N/A,TRUE,"general";"via3",#N/A,TRUE,"general"}</definedName>
    <definedName name="SUBSUELO">#REF!</definedName>
    <definedName name="Subtotal">#REF!</definedName>
    <definedName name="SUELDO">#REF!</definedName>
    <definedName name="suma">#REF!</definedName>
    <definedName name="Summary">#REF!</definedName>
    <definedName name="SUP_ART">#REF!</definedName>
    <definedName name="SUP_VEX">#REF!</definedName>
    <definedName name="SUP_VPR">#REF!</definedName>
    <definedName name="SUP_VPR_GEC">#REF!</definedName>
    <definedName name="SUP_VPR_GMM">#REF!</definedName>
    <definedName name="SUP_VPR_GRC">#REF!</definedName>
    <definedName name="SUP_VPR_GRM">#REF!</definedName>
    <definedName name="SUP_VPR_GRN">#REF!</definedName>
    <definedName name="SUP_VPR_GRS">#REF!</definedName>
    <definedName name="SUP_VPR_GTP">#REF!</definedName>
    <definedName name="SUP_VPR_NA">#REF!</definedName>
    <definedName name="SUPER">#REF!</definedName>
    <definedName name="SUPERFICIE">#REF!</definedName>
    <definedName name="sw">[0]!ERR</definedName>
    <definedName name="swsw" hidden="1">{"via1",#N/A,TRUE,"general";"via2",#N/A,TRUE,"general";"via3",#N/A,TRUE,"general"}</definedName>
    <definedName name="swsw3" hidden="1">{"TAB1",#N/A,TRUE,"GENERAL";"TAB2",#N/A,TRUE,"GENERAL";"TAB3",#N/A,TRUE,"GENERAL";"TAB4",#N/A,TRUE,"GENERAL";"TAB5",#N/A,TRUE,"GENERAL"}</definedName>
    <definedName name="t">#REF!</definedName>
    <definedName name="t_1" localSheetId="0">Scheduled_Payment+Extra_Payment</definedName>
    <definedName name="t_1">Scheduled_Payment+Extra_Payment</definedName>
    <definedName name="t5t5" hidden="1">{"TAB1",#N/A,TRUE,"GENERAL";"TAB2",#N/A,TRUE,"GENERAL";"TAB3",#N/A,TRUE,"GENERAL";"TAB4",#N/A,TRUE,"GENERAL";"TAB5",#N/A,TRUE,"GENERAL"}</definedName>
    <definedName name="TAB_FECHA">#REF!</definedName>
    <definedName name="TABLA">#REF!</definedName>
    <definedName name="tabla1">#REF!</definedName>
    <definedName name="TABLEKP">#REF!</definedName>
    <definedName name="TABLEPRI">#REF!</definedName>
    <definedName name="Tambores">#REF!</definedName>
    <definedName name="Tanques">#REF!</definedName>
    <definedName name="TAREAS_INICIALES">#REF!</definedName>
    <definedName name="TARIFA">#REF!</definedName>
    <definedName name="TarifaPension">#REF!</definedName>
    <definedName name="TARIFAS">#REF!</definedName>
    <definedName name="TarifaSalud">#REF!</definedName>
    <definedName name="Tasa">#REF!</definedName>
    <definedName name="TASA_DE_CAMBIO">#REF!</definedName>
    <definedName name="Tasa1">#REF!</definedName>
    <definedName name="TasaCCP">#REF!</definedName>
    <definedName name="Tax">#REF!</definedName>
    <definedName name="TB_EVENTOS_OTS_ANUAL">#REF!</definedName>
    <definedName name="tc">#REF!</definedName>
    <definedName name="tdy" hidden="1">{"TAB1",#N/A,TRUE,"GENERAL";"TAB2",#N/A,TRUE,"GENERAL";"TAB3",#N/A,TRUE,"GENERAL";"TAB4",#N/A,TRUE,"GENERAL";"TAB5",#N/A,TRUE,"GENERAL"}</definedName>
    <definedName name="telefono">#REF!</definedName>
    <definedName name="TEMA1">#REF!</definedName>
    <definedName name="TEMA10">#REF!</definedName>
    <definedName name="TEMA2">#REF!</definedName>
    <definedName name="TEMA3">#REF!</definedName>
    <definedName name="TEMA4">#REF!</definedName>
    <definedName name="TEMA5">#REF!</definedName>
    <definedName name="TEMA6">#REF!</definedName>
    <definedName name="TEMA7">#REF!</definedName>
    <definedName name="TEMA8">#REF!</definedName>
    <definedName name="TEMA9">#REF!</definedName>
    <definedName name="TEMAS_PACC">#REF!</definedName>
    <definedName name="TER">[0]!ERR</definedName>
    <definedName name="TERM">[0]!ERR</definedName>
    <definedName name="TÉRMINOS">[0]!ERR</definedName>
    <definedName name="TERR">#REF!</definedName>
    <definedName name="tewst" hidden="1">{"TAB1",#N/A,TRUE,"GENERAL";"TAB2",#N/A,TRUE,"GENERAL";"TAB3",#N/A,TRUE,"GENERAL";"TAB4",#N/A,TRUE,"GENERAL";"TAB5",#N/A,TRUE,"GENERAL"}</definedName>
    <definedName name="teytrh" hidden="1">{"via1",#N/A,TRUE,"general";"via2",#N/A,TRUE,"general";"via3",#N/A,TRUE,"general"}</definedName>
    <definedName name="TGB">#REF!</definedName>
    <definedName name="TH">#REF!</definedName>
    <definedName name="thdh" hidden="1">{"TAB1",#N/A,TRUE,"GENERAL";"TAB2",#N/A,TRUE,"GENERAL";"TAB3",#N/A,TRUE,"GENERAL";"TAB4",#N/A,TRUE,"GENERAL";"TAB5",#N/A,TRUE,"GENERAL"}</definedName>
    <definedName name="THP">#REF!</definedName>
    <definedName name="thtj" hidden="1">{"via1",#N/A,TRUE,"general";"via2",#N/A,TRUE,"general";"via3",#N/A,TRUE,"general"}</definedName>
    <definedName name="TIEMPO">#REF!</definedName>
    <definedName name="TIPO">#REF!</definedName>
    <definedName name="TIPO_GRUPO">#REF!</definedName>
    <definedName name="TipoGC">#REF!</definedName>
    <definedName name="TipoNeces">#REF!</definedName>
    <definedName name="TipoPro">#REF!</definedName>
    <definedName name="Tipoproceso">#REF!</definedName>
    <definedName name="TIR">#REF!</definedName>
    <definedName name="TITLE">#REF!</definedName>
    <definedName name="titu">#REF!</definedName>
    <definedName name="titu2">#REF!</definedName>
    <definedName name="TITULO">#REF!</definedName>
    <definedName name="_xlnm.Print_Titles" localSheetId="0">'Oferta Economica'!$4:$4</definedName>
    <definedName name="_xlnm.Print_Titles">#N/A</definedName>
    <definedName name="Títulos_a_imprimir_IM">#REF!</definedName>
    <definedName name="tk">#REF!</definedName>
    <definedName name="TK_1" hidden="1">#REF!</definedName>
    <definedName name="TKSLCI07">#REF!</definedName>
    <definedName name="tld">#REF!</definedName>
    <definedName name="TOPGENER">#REF!</definedName>
    <definedName name="TOPGENER1">#REF!</definedName>
    <definedName name="TOPMENU">#REF!</definedName>
    <definedName name="Torres">#REF!</definedName>
    <definedName name="tortas" hidden="1">{"TAB1",#N/A,TRUE,"GENERAL";"TAB2",#N/A,TRUE,"GENERAL";"TAB3",#N/A,TRUE,"GENERAL";"TAB4",#N/A,TRUE,"GENERAL";"TAB5",#N/A,TRUE,"GENERAL"}</definedName>
    <definedName name="tortas2" hidden="1">{"via1",#N/A,TRUE,"general";"via2",#N/A,TRUE,"general";"via3",#N/A,TRUE,"general"}</definedName>
    <definedName name="TOT">#REF!</definedName>
    <definedName name="TOTAL">#REF!</definedName>
    <definedName name="Total_Interest">#REF!</definedName>
    <definedName name="Total_Pay">#REF!</definedName>
    <definedName name="Total_Payment" localSheetId="0">Scheduled_Payment+Extra_Payment</definedName>
    <definedName name="Total_Payment">Scheduled_Payment+Extra_Payment</definedName>
    <definedName name="Total_Payment1" localSheetId="0">Scheduled_Payment+Extra_Payment</definedName>
    <definedName name="Total_Payment1">Scheduled_Payment+Extra_Payment</definedName>
    <definedName name="total1">#REF!</definedName>
    <definedName name="TotalCesantias">#REF!</definedName>
    <definedName name="TOTALHH">#REF!</definedName>
    <definedName name="TOTALHH1">#REF!</definedName>
    <definedName name="TotalVacaciones">#REF!</definedName>
    <definedName name="TotAuxAlim">#REF!</definedName>
    <definedName name="TotAuxAlimentacion">#REF!</definedName>
    <definedName name="TotAuxCom">#REF!</definedName>
    <definedName name="TotAuxComi">#REF!</definedName>
    <definedName name="TotAuxDotacion">#REF!</definedName>
    <definedName name="TotAuxHab">#REF!</definedName>
    <definedName name="TotAuxTransporte">#REF!</definedName>
    <definedName name="TotBasico">#REF!</definedName>
    <definedName name="TotCom">#REF!</definedName>
    <definedName name="TotComision">#REF!</definedName>
    <definedName name="TotExtras">#REF!</definedName>
    <definedName name="TotIntercesantias">#REF!</definedName>
    <definedName name="TotPrimaServicios">#REF!</definedName>
    <definedName name="TotPrimaServicos">#REF!</definedName>
    <definedName name="TotPrimaVacaciones">#REF!</definedName>
    <definedName name="TotPrimConv">#REF!</definedName>
    <definedName name="TotPrimConvencional">#REF!</definedName>
    <definedName name="TotPrimVac">#REF!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Vac">#REF!</definedName>
    <definedName name="tr" hidden="1">{"TAB1",#N/A,TRUE,"GENERAL";"TAB2",#N/A,TRUE,"GENERAL";"TAB3",#N/A,TRUE,"GENERAL";"TAB4",#N/A,TRUE,"GENERAL";"TAB5",#N/A,TRUE,"GENERAL"}</definedName>
    <definedName name="TrainSpec">#REF!</definedName>
    <definedName name="Transmisores">#REF!</definedName>
    <definedName name="Transporte">#REF!</definedName>
    <definedName name="TRAT">#REF!</definedName>
    <definedName name="TREM">#REF!</definedName>
    <definedName name="Trenes">#REF!</definedName>
    <definedName name="trest" hidden="1">{"TAB1",#N/A,TRUE,"GENERAL";"TAB2",#N/A,TRUE,"GENERAL";"TAB3",#N/A,TRUE,"GENERAL";"TAB4",#N/A,TRUE,"GENERAL";"TAB5",#N/A,TRUE,"GENERAL"}</definedName>
    <definedName name="tret" hidden="1">{"TAB1",#N/A,TRUE,"GENERAL";"TAB2",#N/A,TRUE,"GENERAL";"TAB3",#N/A,TRUE,"GENERAL";"TAB4",#N/A,TRUE,"GENERAL";"TAB5",#N/A,TRUE,"GENERAL"}</definedName>
    <definedName name="trh" hidden="1">{"via1",#N/A,TRUE,"general";"via2",#N/A,TRUE,"general";"via3",#N/A,TRUE,"general"}</definedName>
    <definedName name="trhfh" hidden="1">{"via1",#N/A,TRUE,"general";"via2",#N/A,TRUE,"general";"via3",#N/A,TRUE,"general"}</definedName>
    <definedName name="tri">#REF!</definedName>
    <definedName name="Trimestre1">#REF!</definedName>
    <definedName name="Trimestre2">#REF!</definedName>
    <definedName name="Trimestre3">#REF!</definedName>
    <definedName name="Trimestre4">#REF!</definedName>
    <definedName name="trjfgjh" hidden="1">{"via1",#N/A,TRUE,"general";"via2",#N/A,TRUE,"general";"via3",#N/A,TRUE,"general"}</definedName>
    <definedName name="TRM">#REF!</definedName>
    <definedName name="tru" hidden="1">{"via1",#N/A,TRUE,"general";"via2",#N/A,TRUE,"general";"via3",#N/A,TRUE,"general"}</definedName>
    <definedName name="truds" hidden="1">{"via1",#N/A,TRUE,"general";"via2",#N/A,TRUE,"general";"via3",#N/A,TRUE,"general"}</definedName>
    <definedName name="trutu" hidden="1">{"via1",#N/A,TRUE,"general";"via2",#N/A,TRUE,"general";"via3",#N/A,TRUE,"general"}</definedName>
    <definedName name="trydfg" hidden="1">{"via1",#N/A,TRUE,"general";"via2",#N/A,TRUE,"general";"via3",#N/A,TRUE,"general"}</definedName>
    <definedName name="trydtrygf" hidden="1">{"via1",#N/A,TRUE,"general";"via2",#N/A,TRUE,"general";"via3",#N/A,TRUE,"general"}</definedName>
    <definedName name="tryery" hidden="1">{"TAB1",#N/A,TRUE,"GENERAL";"TAB2",#N/A,TRUE,"GENERAL";"TAB3",#N/A,TRUE,"GENERAL";"TAB4",#N/A,TRUE,"GENERAL";"TAB5",#N/A,TRUE,"GENERAL"}</definedName>
    <definedName name="tryi6" hidden="1">{"TAB1",#N/A,TRUE,"GENERAL";"TAB2",#N/A,TRUE,"GENERAL";"TAB3",#N/A,TRUE,"GENERAL";"TAB4",#N/A,TRUE,"GENERAL";"TAB5",#N/A,TRUE,"GENERAL"}</definedName>
    <definedName name="tryrth" hidden="1">{"via1",#N/A,TRUE,"general";"via2",#N/A,TRUE,"general";"via3",#N/A,TRUE,"general"}</definedName>
    <definedName name="tsert" hidden="1">{"TAB1",#N/A,TRUE,"GENERAL";"TAB2",#N/A,TRUE,"GENERAL";"TAB3",#N/A,TRUE,"GENERAL";"TAB4",#N/A,TRUE,"GENERAL";"TAB5",#N/A,TRUE,"GENERAL"}</definedName>
    <definedName name="TtCD">#REF!</definedName>
    <definedName name="TTR" hidden="1">{"via1",#N/A,TRUE,"general";"via2",#N/A,TRUE,"general";"via3",#N/A,TRUE,"general"}</definedName>
    <definedName name="ttrff" hidden="1">{"via1",#N/A,TRUE,"general";"via2",#N/A,TRUE,"general";"via3",#N/A,TRUE,"general"}</definedName>
    <definedName name="ttt" hidden="1">{"TAB1",#N/A,TRUE,"GENERAL";"TAB2",#N/A,TRUE,"GENERAL";"TAB3",#N/A,TRUE,"GENERAL";"TAB4",#N/A,TRUE,"GENERAL";"TAB5",#N/A,TRUE,"GENERAL"}</definedName>
    <definedName name="tttt7" hidden="1">{"via1",#N/A,TRUE,"general";"via2",#N/A,TRUE,"general";"via3",#N/A,TRUE,"general"}</definedName>
    <definedName name="tttthy" hidden="1">{"TAB1",#N/A,TRUE,"GENERAL";"TAB2",#N/A,TRUE,"GENERAL";"TAB3",#N/A,TRUE,"GENERAL";"TAB4",#N/A,TRUE,"GENERAL";"TAB5",#N/A,TRUE,"GENERAL"}</definedName>
    <definedName name="ttttr" hidden="1">{"via1",#N/A,TRUE,"general";"via2",#N/A,TRUE,"general";"via3",#N/A,TRUE,"general"}</definedName>
    <definedName name="ttttt" hidden="1">{"TAB1",#N/A,TRUE,"GENERAL";"TAB2",#N/A,TRUE,"GENERAL";"TAB3",#N/A,TRUE,"GENERAL";"TAB4",#N/A,TRUE,"GENERAL";"TAB5",#N/A,TRUE,"GENERAL"}</definedName>
    <definedName name="tu" hidden="1">{"via1",#N/A,TRUE,"general";"via2",#N/A,TRUE,"general";"via3",#N/A,TRUE,"general"}</definedName>
    <definedName name="TUBERIA" hidden="1">#REF!</definedName>
    <definedName name="Tubería">#REF!</definedName>
    <definedName name="TUBERIA1" hidden="1">#REF!</definedName>
    <definedName name="tur" hidden="1">{"TAB1",#N/A,TRUE,"GENERAL";"TAB2",#N/A,TRUE,"GENERAL";"TAB3",#N/A,TRUE,"GENERAL";"TAB4",#N/A,TRUE,"GENERAL";"TAB5",#N/A,TRUE,"GENERAL"}</definedName>
    <definedName name="turu" hidden="1">{"TAB1",#N/A,TRUE,"GENERAL";"TAB2",#N/A,TRUE,"GENERAL";"TAB3",#N/A,TRUE,"GENERAL";"TAB4",#N/A,TRUE,"GENERAL";"TAB5",#N/A,TRUE,"GENERAL"}</definedName>
    <definedName name="tvmenor90min">#REF!</definedName>
    <definedName name="twer" hidden="1">{"TAB1",#N/A,TRUE,"GENERAL";"TAB2",#N/A,TRUE,"GENERAL";"TAB3",#N/A,TRUE,"GENERAL";"TAB4",#N/A,TRUE,"GENERAL";"TAB5",#N/A,TRUE,"GENERAL"}</definedName>
    <definedName name="twet" hidden="1">{"TAB1",#N/A,TRUE,"GENERAL";"TAB2",#N/A,TRUE,"GENERAL";"TAB3",#N/A,TRUE,"GENERAL";"TAB4",#N/A,TRUE,"GENERAL";"TAB5",#N/A,TRUE,"GENERAL"}</definedName>
    <definedName name="ty" hidden="1">{"via1",#N/A,TRUE,"general";"via2",#N/A,TRUE,"general";"via3",#N/A,TRUE,"general"}</definedName>
    <definedName name="tyery" hidden="1">{"via1",#N/A,TRUE,"general";"via2",#N/A,TRUE,"general";"via3",#N/A,TRUE,"general"}</definedName>
    <definedName name="tyj" hidden="1">{"TAB1",#N/A,TRUE,"GENERAL";"TAB2",#N/A,TRUE,"GENERAL";"TAB3",#N/A,TRUE,"GENERAL";"TAB4",#N/A,TRUE,"GENERAL";"TAB5",#N/A,TRUE,"GENERAL"}</definedName>
    <definedName name="tyjtyj" hidden="1">{"TAB1",#N/A,TRUE,"GENERAL";"TAB2",#N/A,TRUE,"GENERAL";"TAB3",#N/A,TRUE,"GENERAL";"TAB4",#N/A,TRUE,"GENERAL";"TAB5",#N/A,TRUE,"GENERAL"}</definedName>
    <definedName name="tyjytjuyjuy" hidden="1">{"TAB1",#N/A,TRUE,"GENERAL";"TAB2",#N/A,TRUE,"GENERAL";"TAB3",#N/A,TRUE,"GENERAL";"TAB4",#N/A,TRUE,"GENERAL";"TAB5",#N/A,TRUE,"GENERAL"}</definedName>
    <definedName name="tyk" hidden="1">{"via1",#N/A,TRUE,"general";"via2",#N/A,TRUE,"general";"via3",#N/A,TRUE,"general"}</definedName>
    <definedName name="tym" hidden="1">{"via1",#N/A,TRUE,"general";"via2",#N/A,TRUE,"general";"via3",#N/A,TRUE,"general"}</definedName>
    <definedName name="tyr" hidden="1">{"via1",#N/A,TRUE,"general";"via2",#N/A,TRUE,"general";"via3",#N/A,TRUE,"general"}</definedName>
    <definedName name="tytgfhgfh" hidden="1">{"TAB1",#N/A,TRUE,"GENERAL";"TAB2",#N/A,TRUE,"GENERAL";"TAB3",#N/A,TRUE,"GENERAL";"TAB4",#N/A,TRUE,"GENERAL";"TAB5",#N/A,TRUE,"GENERAL"}</definedName>
    <definedName name="tyty" hidden="1">{"TAB1",#N/A,TRUE,"GENERAL";"TAB2",#N/A,TRUE,"GENERAL";"TAB3",#N/A,TRUE,"GENERAL";"TAB4",#N/A,TRUE,"GENERAL";"TAB5",#N/A,TRUE,"GENERAL"}</definedName>
    <definedName name="TYUIYI" hidden="1">{"TAB1",#N/A,TRUE,"GENERAL";"TAB2",#N/A,TRUE,"GENERAL";"TAB3",#N/A,TRUE,"GENERAL";"TAB4",#N/A,TRUE,"GENERAL";"TAB5",#N/A,TRUE,"GENERAL"}</definedName>
    <definedName name="tyujh" hidden="1">{"TAB1",#N/A,TRUE,"GENERAL";"TAB2",#N/A,TRUE,"GENERAL";"TAB3",#N/A,TRUE,"GENERAL";"TAB4",#N/A,TRUE,"GENERAL";"TAB5",#N/A,TRUE,"GENERAL"}</definedName>
    <definedName name="tyuty" hidden="1">{"TAB1",#N/A,TRUE,"GENERAL";"TAB2",#N/A,TRUE,"GENERAL";"TAB3",#N/A,TRUE,"GENERAL";"TAB4",#N/A,TRUE,"GENERAL";"TAB5",#N/A,TRUE,"GENERAL"}</definedName>
    <definedName name="tyutyu" hidden="1">{"via1",#N/A,TRUE,"general";"via2",#N/A,TRUE,"general";"via3",#N/A,TRUE,"general"}</definedName>
    <definedName name="tyxg" hidden="1">{"via1",#N/A,TRUE,"general";"via2",#N/A,TRUE,"general";"via3",#N/A,TRUE,"general"}</definedName>
    <definedName name="U">#REF!</definedName>
    <definedName name="u3u" hidden="1">{"TAB1",#N/A,TRUE,"GENERAL";"TAB2",#N/A,TRUE,"GENERAL";"TAB3",#N/A,TRUE,"GENERAL";"TAB4",#N/A,TRUE,"GENERAL";"TAB5",#N/A,TRUE,"GENERAL"}</definedName>
    <definedName name="u7u7" hidden="1">{"TAB1",#N/A,TRUE,"GENERAL";"TAB2",#N/A,TRUE,"GENERAL";"TAB3",#N/A,TRUE,"GENERAL";"TAB4",#N/A,TRUE,"GENERAL";"TAB5",#N/A,TRUE,"GENERAL"}</definedName>
    <definedName name="Ubicación">#REF!</definedName>
    <definedName name="UFrm2InUse">1</definedName>
    <definedName name="UI" hidden="1">{"via1",#N/A,TRUE,"general";"via2",#N/A,TRUE,"general";"via3",#N/A,TRUE,"general"}</definedName>
    <definedName name="UIC">#REF!</definedName>
    <definedName name="uijhj" hidden="1">{"via1",#N/A,TRUE,"general";"via2",#N/A,TRUE,"general";"via3",#N/A,TRUE,"general"}</definedName>
    <definedName name="uio" hidden="1">{"TAB1",#N/A,TRUE,"GENERAL";"TAB2",#N/A,TRUE,"GENERAL";"TAB3",#N/A,TRUE,"GENERAL";"TAB4",#N/A,TRUE,"GENERAL";"TAB5",#N/A,TRUE,"GENERAL"}</definedName>
    <definedName name="uiou" hidden="1">{"TAB1",#N/A,TRUE,"GENERAL";"TAB2",#N/A,TRUE,"GENERAL";"TAB3",#N/A,TRUE,"GENERAL";"TAB4",#N/A,TRUE,"GENERAL";"TAB5",#N/A,TRUE,"GENERAL"}</definedName>
    <definedName name="uir" hidden="1">{"via1",#N/A,TRUE,"general";"via2",#N/A,TRUE,"general";"via3",#N/A,TRUE,"general"}</definedName>
    <definedName name="uituii" hidden="1">{"TAB1",#N/A,TRUE,"GENERAL";"TAB2",#N/A,TRUE,"GENERAL";"TAB3",#N/A,TRUE,"GENERAL";"TAB4",#N/A,TRUE,"GENERAL";"TAB5",#N/A,TRUE,"GENERAL"}</definedName>
    <definedName name="uityjj" hidden="1">{"via1",#N/A,TRUE,"general";"via2",#N/A,TRUE,"general";"via3",#N/A,TRUE,"general"}</definedName>
    <definedName name="uiufgj" hidden="1">{"TAB1",#N/A,TRUE,"GENERAL";"TAB2",#N/A,TRUE,"GENERAL";"TAB3",#N/A,TRUE,"GENERAL";"TAB4",#N/A,TRUE,"GENERAL";"TAB5",#N/A,TRUE,"GENERAL"}</definedName>
    <definedName name="UIUYI" hidden="1">{"TAB1",#N/A,TRUE,"GENERAL";"TAB2",#N/A,TRUE,"GENERAL";"TAB3",#N/A,TRUE,"GENERAL";"TAB4",#N/A,TRUE,"GENERAL";"TAB5",#N/A,TRUE,"GENERAL"}</definedName>
    <definedName name="UK">#REF!</definedName>
    <definedName name="UN_PRI">#REF!</definedName>
    <definedName name="UNIT">#REF!</definedName>
    <definedName name="UNITARIO">#REF!</definedName>
    <definedName name="Unitarios">#REF!</definedName>
    <definedName name="unj" hidden="1">#REF!</definedName>
    <definedName name="uno">[0]!ERR</definedName>
    <definedName name="UOUIV" hidden="1">{"TAB1",#N/A,TRUE,"GENERAL";"TAB2",#N/A,TRUE,"GENERAL";"TAB3",#N/A,TRUE,"GENERAL";"TAB4",#N/A,TRUE,"GENERAL";"TAB5",#N/A,TRUE,"GENERAL"}</definedName>
    <definedName name="uriel">[0]!ERR</definedName>
    <definedName name="uryur" hidden="1">{"TAB1",#N/A,TRUE,"GENERAL";"TAB2",#N/A,TRUE,"GENERAL";"TAB3",#N/A,TRUE,"GENERAL";"TAB4",#N/A,TRUE,"GENERAL";"TAB5",#N/A,TRUE,"GENERAL"}</definedName>
    <definedName name="USxCOL">#REF!</definedName>
    <definedName name="ut">#REF!</definedName>
    <definedName name="UTL">#REF!</definedName>
    <definedName name="uu" hidden="1">{"TAB1",#N/A,TRUE,"GENERAL";"TAB2",#N/A,TRUE,"GENERAL";"TAB3",#N/A,TRUE,"GENERAL";"TAB4",#N/A,TRUE,"GENERAL";"TAB5",#N/A,TRUE,"GENERAL"}</definedName>
    <definedName name="uuu" hidden="1">{"TAB1",#N/A,TRUE,"GENERAL";"TAB2",#N/A,TRUE,"GENERAL";"TAB3",#N/A,TRUE,"GENERAL";"TAB4",#N/A,TRUE,"GENERAL";"TAB5",#N/A,TRUE,"GENERAL"}</definedName>
    <definedName name="uuuuo" hidden="1">{"TAB1",#N/A,TRUE,"GENERAL";"TAB2",#N/A,TRUE,"GENERAL";"TAB3",#N/A,TRUE,"GENERAL";"TAB4",#N/A,TRUE,"GENERAL";"TAB5",#N/A,TRUE,"GENERAL"}</definedName>
    <definedName name="uuuuuj" hidden="1">{"via1",#N/A,TRUE,"general";"via2",#N/A,TRUE,"general";"via3",#N/A,TRUE,"general"}</definedName>
    <definedName name="uv">375000</definedName>
    <definedName name="uwkap" hidden="1">{"TAB1",#N/A,TRUE,"GENERAL";"TAB2",#N/A,TRUE,"GENERAL";"TAB3",#N/A,TRUE,"GENERAL";"TAB4",#N/A,TRUE,"GENERAL";"TAB5",#N/A,TRUE,"GENERAL"}</definedName>
    <definedName name="uyiyiy" hidden="1">{"TAB1",#N/A,TRUE,"GENERAL";"TAB2",#N/A,TRUE,"GENERAL";"TAB3",#N/A,TRUE,"GENERAL";"TAB4",#N/A,TRUE,"GENERAL";"TAB5",#N/A,TRUE,"GENERAL"}</definedName>
    <definedName name="uytu" hidden="1">{"TAB1",#N/A,TRUE,"GENERAL";"TAB2",#N/A,TRUE,"GENERAL";"TAB3",#N/A,TRUE,"GENERAL";"TAB4",#N/A,TRUE,"GENERAL";"TAB5",#N/A,TRUE,"GENERAL"}</definedName>
    <definedName name="uyur" hidden="1">{"via1",#N/A,TRUE,"general";"via2",#N/A,TRUE,"general";"via3",#N/A,TRUE,"general"}</definedName>
    <definedName name="v" hidden="1">{"TAB1",#N/A,TRUE,"GENERAL";"TAB2",#N/A,TRUE,"GENERAL";"TAB3",#N/A,TRUE,"GENERAL";"TAB4",#N/A,TRUE,"GENERAL";"TAB5",#N/A,TRUE,"GENERAL"}</definedName>
    <definedName name="VALDES">#REF!</definedName>
    <definedName name="valor1">#REF!</definedName>
    <definedName name="valor2">#REF!</definedName>
    <definedName name="VALOR3">#REF!</definedName>
    <definedName name="ValorCto">#REF!</definedName>
    <definedName name="ValorEjecutado">#REF!</definedName>
    <definedName name="ValorProyecto">#REF!</definedName>
    <definedName name="ValorRecursosComprometidos">#REF!</definedName>
    <definedName name="Values_Entered">IF(Loan_Amount*Interest_Rate*Loan_Years*Loan_Start&gt;0,1,0)</definedName>
    <definedName name="Válvulas">#REF!</definedName>
    <definedName name="Var">#REF!</definedName>
    <definedName name="VARIACION1">#REF!</definedName>
    <definedName name="Varios">#REF!</definedName>
    <definedName name="vbvbvbvb" hidden="1">{"TAB1",#N/A,TRUE,"GENERAL";"TAB2",#N/A,TRUE,"GENERAL";"TAB3",#N/A,TRUE,"GENERAL";"TAB4",#N/A,TRUE,"GENERAL";"TAB5",#N/A,TRUE,"GENERAL"}</definedName>
    <definedName name="vc">#REF!</definedName>
    <definedName name="vct">#REF!</definedName>
    <definedName name="vcvv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dfvuio" hidden="1">{"via1",#N/A,TRUE,"general";"via2",#N/A,TRUE,"general";"via3",#N/A,TRUE,"general"}</definedName>
    <definedName name="vdsvnj" hidden="1">{"via1",#N/A,TRUE,"general";"via2",#N/A,TRUE,"general";"via3",#N/A,TRUE,"general"}</definedName>
    <definedName name="VentaAiu">#REF!</definedName>
    <definedName name="VEX">#REF!</definedName>
    <definedName name="VEX_ON">#REF!</definedName>
    <definedName name="VEX1_1">#REF!</definedName>
    <definedName name="VEX1_1_1">#REF!</definedName>
    <definedName name="VEX1_1_2">#REF!</definedName>
    <definedName name="VEX1_1_3">#REF!</definedName>
    <definedName name="VEX1_1_4">#REF!</definedName>
    <definedName name="VEX1_2">#REF!</definedName>
    <definedName name="VEX1_3">#REF!</definedName>
    <definedName name="VFA">#REF!</definedName>
    <definedName name="VFA1_1">#REF!</definedName>
    <definedName name="VFA1_1_1">#REF!</definedName>
    <definedName name="VFA1_1_2">#REF!</definedName>
    <definedName name="VFA1_1_3">#REF!</definedName>
    <definedName name="VFA1_1_4">#REF!</definedName>
    <definedName name="VFA1_1_5">#REF!</definedName>
    <definedName name="VFA1_1_6">#REF!</definedName>
    <definedName name="VFA1_2">#REF!</definedName>
    <definedName name="VFA1_3">#REF!</definedName>
    <definedName name="vfbgnhyt" hidden="1">{"via1",#N/A,TRUE,"general";"via2",#N/A,TRUE,"general";"via3",#N/A,TRUE,"general"}</definedName>
    <definedName name="vfh">#REF!</definedName>
    <definedName name="VFR">#REF!</definedName>
    <definedName name="vfvdv" hidden="1">{"TAB1",#N/A,TRUE,"GENERAL";"TAB2",#N/A,TRUE,"GENERAL";"TAB3",#N/A,TRUE,"GENERAL";"TAB4",#N/A,TRUE,"GENERAL";"TAB5",#N/A,TRUE,"GENERAL"}</definedName>
    <definedName name="vfvf" hidden="1">{"TAB1",#N/A,TRUE,"GENERAL";"TAB2",#N/A,TRUE,"GENERAL";"TAB3",#N/A,TRUE,"GENERAL";"TAB4",#N/A,TRUE,"GENERAL";"TAB5",#N/A,TRUE,"GENERAL"}</definedName>
    <definedName name="VIA">#REF!</definedName>
    <definedName name="VICEP_DIRECC">#REF!</definedName>
    <definedName name="VigenciaDolares">#REF!</definedName>
    <definedName name="VigenciaPesos">#REF!</definedName>
    <definedName name="VIGFUTURA">#REF!</definedName>
    <definedName name="VIT">#REF!</definedName>
    <definedName name="VIT1_1">#REF!</definedName>
    <definedName name="VIT1_1_1">#REF!</definedName>
    <definedName name="VIT1_1_10">#REF!</definedName>
    <definedName name="VIT1_1_11">#REF!</definedName>
    <definedName name="VIT1_1_12">#REF!</definedName>
    <definedName name="VIT1_1_13">#REF!</definedName>
    <definedName name="VIT1_1_14">#REF!</definedName>
    <definedName name="VIT1_1_15">#REF!</definedName>
    <definedName name="VIT1_1_16">#REF!</definedName>
    <definedName name="VIt1_1_17">#REF!</definedName>
    <definedName name="VIT1_1_18">#REF!</definedName>
    <definedName name="VIt1_1_19">#REF!</definedName>
    <definedName name="VIT1_1_2">#REF!</definedName>
    <definedName name="VIT1_1_20">#REF!</definedName>
    <definedName name="VIT1_1_3">#REF!</definedName>
    <definedName name="VIT1_1_4">#REF!</definedName>
    <definedName name="VIT1_1_5">#REF!</definedName>
    <definedName name="VIT1_1_6">#REF!</definedName>
    <definedName name="VIT1_1_7">#REF!</definedName>
    <definedName name="VIT1_1_8">#REF!</definedName>
    <definedName name="VIT1_1_9">#REF!</definedName>
    <definedName name="VIT1_2">#REF!</definedName>
    <definedName name="VIT1_3">#REF!</definedName>
    <definedName name="VIT1_4">#REF!</definedName>
    <definedName name="VIT1_5">#REF!</definedName>
    <definedName name="VIT1_6">#REF!</definedName>
    <definedName name="vital5">#REF!</definedName>
    <definedName name="vk" hidden="1">{"via1",#N/A,TRUE,"general";"via2",#N/A,TRUE,"general";"via3",#N/A,TRUE,"general"}</definedName>
    <definedName name="vnbvxb" hidden="1">{"via1",#N/A,TRUE,"general";"via2",#N/A,TRUE,"general";"via3",#N/A,TRUE,"general"}</definedName>
    <definedName name="VNVBN" hidden="1">{"TAB1",#N/A,TRUE,"GENERAL";"TAB2",#N/A,TRUE,"GENERAL";"TAB3",#N/A,TRUE,"GENERAL";"TAB4",#N/A,TRUE,"GENERAL";"TAB5",#N/A,TRUE,"GENERAL"}</definedName>
    <definedName name="vp">#REF!</definedName>
    <definedName name="VPN">#REF!</definedName>
    <definedName name="VPNCCP">#REF!</definedName>
    <definedName name="VPNInversion">#REF!</definedName>
    <definedName name="VPNInversionCCP">#REF!</definedName>
    <definedName name="VPR">#REF!</definedName>
    <definedName name="VPR_COMBUS">#REF!</definedName>
    <definedName name="VPR_CRUDO">#REF!</definedName>
    <definedName name="VPR_GAS">#REF!</definedName>
    <definedName name="VPR_ON">#REF!</definedName>
    <definedName name="VPR1_1">#REF!</definedName>
    <definedName name="VPR1_1_1">#REF!</definedName>
    <definedName name="VPR1_1_10">#REF!</definedName>
    <definedName name="VPR1_1_11">#REF!</definedName>
    <definedName name="VPR1_1_12">#REF!</definedName>
    <definedName name="VPR1_1_13">#REF!</definedName>
    <definedName name="VPR1_1_14">#REF!</definedName>
    <definedName name="VPR1_1_15">#REF!</definedName>
    <definedName name="VPR1_1_16">#REF!</definedName>
    <definedName name="VPR1_1_17">#REF!</definedName>
    <definedName name="VPR1_1_18">#REF!</definedName>
    <definedName name="VPR1_1_19">#REF!</definedName>
    <definedName name="VPR1_1_2">#REF!</definedName>
    <definedName name="VPR1_1_20">#REF!</definedName>
    <definedName name="VPR1_1_21">#REF!</definedName>
    <definedName name="VPR1_1_22">#REF!</definedName>
    <definedName name="VPR1_1_23">#REF!</definedName>
    <definedName name="VPR1_1_24">#REF!</definedName>
    <definedName name="VPR1_1_25">#REF!</definedName>
    <definedName name="VPR1_1_26">#REF!</definedName>
    <definedName name="VPR1_1_27">#REF!</definedName>
    <definedName name="VPR1_1_28">#REF!</definedName>
    <definedName name="VPR1_1_29">#REF!</definedName>
    <definedName name="VPR1_1_3">#REF!</definedName>
    <definedName name="VPR1_1_30">#REF!</definedName>
    <definedName name="VPR1_1_31">#REF!</definedName>
    <definedName name="VPR1_1_32">#REF!</definedName>
    <definedName name="VPR1_1_4">#REF!</definedName>
    <definedName name="VPR1_1_5">#REF!</definedName>
    <definedName name="VPR1_1_6">#REF!</definedName>
    <definedName name="VPR1_1_7">#REF!</definedName>
    <definedName name="VPR1_1_8">#REF!</definedName>
    <definedName name="VPR1_1_9">#REF!</definedName>
    <definedName name="VPR1_2">#REF!</definedName>
    <definedName name="VPR1_3">#REF!</definedName>
    <definedName name="VPR1_4">#REF!</definedName>
    <definedName name="VPR1_5">#REF!</definedName>
    <definedName name="VPR1_6">#REF!</definedName>
    <definedName name="vpt">#REF!</definedName>
    <definedName name="VRP">#REF!</definedName>
    <definedName name="VRP_PETROQ">#REF!</definedName>
    <definedName name="VRP1_1">#REF!</definedName>
    <definedName name="VRP1_1_1">#REF!</definedName>
    <definedName name="VRP1_1_10">#REF!</definedName>
    <definedName name="VRP1_1_11">#REF!</definedName>
    <definedName name="VRP1_1_12">#REF!</definedName>
    <definedName name="VRP1_1_13">#REF!</definedName>
    <definedName name="VRP1_1_14">#REF!</definedName>
    <definedName name="VRP1_1_15">#REF!</definedName>
    <definedName name="VRP1_1_16">#REF!</definedName>
    <definedName name="VRP1_1_17">#REF!</definedName>
    <definedName name="VRP1_1_18">#REF!</definedName>
    <definedName name="VRP1_1_19">#REF!</definedName>
    <definedName name="VRP1_1_2">#REF!</definedName>
    <definedName name="VRP1_1_20">#REF!</definedName>
    <definedName name="VRP1_1_21">#REF!</definedName>
    <definedName name="VRP1_1_22">#REF!</definedName>
    <definedName name="VRP1_1_23">#REF!</definedName>
    <definedName name="VRP1_1_3">#REF!</definedName>
    <definedName name="VRP1_1_4">#REF!</definedName>
    <definedName name="VRP1_1_5">#REF!</definedName>
    <definedName name="VRP1_1_6">#REF!</definedName>
    <definedName name="VRP1_1_7">#REF!</definedName>
    <definedName name="VRP1_1_8">#REF!</definedName>
    <definedName name="VRP1_1_9">#REF!</definedName>
    <definedName name="VRP1_2">#REF!</definedName>
    <definedName name="VRP1_3">#REF!</definedName>
    <definedName name="VRP1_4">#REF!</definedName>
    <definedName name="vsdfj" hidden="1">{"via1",#N/A,TRUE,"general";"via2",#N/A,TRUE,"general";"via3",#N/A,TRUE,"general"}</definedName>
    <definedName name="VSM">#REF!</definedName>
    <definedName name="VSM1_1">#REF!</definedName>
    <definedName name="VSM1_1_1">#REF!</definedName>
    <definedName name="VSM1_1_2">#REF!</definedName>
    <definedName name="VSM1_1_3">#REF!</definedName>
    <definedName name="VSM1_1_4">#REF!</definedName>
    <definedName name="VSM1_1_5">#REF!</definedName>
    <definedName name="VSM1_2">#REF!</definedName>
    <definedName name="VSM1_3">#REF!</definedName>
    <definedName name="VSM1_4">#REF!</definedName>
    <definedName name="VSM1_5">#REF!</definedName>
    <definedName name="vsp">#REF!</definedName>
    <definedName name="vt" hidden="1">{"via1",#N/A,TRUE,"general";"via2",#N/A,TRUE,"general";"via3",#N/A,TRUE,"general"}</definedName>
    <definedName name="vutil">#REF!</definedName>
    <definedName name="vvcxv" hidden="1">{"TAB1",#N/A,TRUE,"GENERAL";"TAB2",#N/A,TRUE,"GENERAL";"TAB3",#N/A,TRUE,"GENERAL";"TAB4",#N/A,TRUE,"GENERAL";"TAB5",#N/A,TRUE,"GENERAL"}</definedName>
    <definedName name="Vvkmh">#REF!</definedName>
    <definedName name="Vvmph">#REF!</definedName>
    <definedName name="VVV">#REF!</definedName>
    <definedName name="vvvvt" hidden="1">{"via1",#N/A,TRUE,"general";"via2",#N/A,TRUE,"general";"via3",#N/A,TRUE,"general"}</definedName>
    <definedName name="vvvvvvf" hidden="1">{"via1",#N/A,TRUE,"general";"via2",#N/A,TRUE,"general";"via3",#N/A,TRUE,"general"}</definedName>
    <definedName name="vy" hidden="1">{"TAB1",#N/A,TRUE,"GENERAL";"TAB2",#N/A,TRUE,"GENERAL";"TAB3",#N/A,TRUE,"GENERAL";"TAB4",#N/A,TRUE,"GENERAL";"TAB5",#N/A,TRUE,"GENERAL"}</definedName>
    <definedName name="w2w2w" hidden="1">{"via1",#N/A,TRUE,"general";"via2",#N/A,TRUE,"general";"via3",#N/A,TRUE,"general"}</definedName>
    <definedName name="WAGE_RATE">#REF!</definedName>
    <definedName name="Wage0100">#REF!</definedName>
    <definedName name="Wage0200">#REF!</definedName>
    <definedName name="WBS">#REF!</definedName>
    <definedName name="Wcut">#REF!</definedName>
    <definedName name="WD">#REF!</definedName>
    <definedName name="WDD" hidden="1">{#N/A,#N/A,FALSE,"orthoflow";#N/A,#N/A,FALSE,"Miscelaneos";#N/A,#N/A,FALSE,"Instrumentacio";#N/A,#N/A,FALSE,"Electrico";#N/A,#N/A,FALSE,"Valv. Seguridad"}</definedName>
    <definedName name="WDFSDF">#REF!</definedName>
    <definedName name="wedw">#REF!</definedName>
    <definedName name="WEFWE">#REF!</definedName>
    <definedName name="WER">#REF!</definedName>
    <definedName name="werew" hidden="1">{"TAB1",#N/A,TRUE,"GENERAL";"TAB2",#N/A,TRUE,"GENERAL";"TAB3",#N/A,TRUE,"GENERAL";"TAB4",#N/A,TRUE,"GENERAL";"TAB5",#N/A,TRUE,"GENERAL"}</definedName>
    <definedName name="WEREWR" hidden="1">{"via1",#N/A,TRUE,"general";"via2",#N/A,TRUE,"general";"via3",#N/A,TRUE,"general"}</definedName>
    <definedName name="werfdsf" hidden="1">{"TAB1",#N/A,TRUE,"GENERAL";"TAB2",#N/A,TRUE,"GENERAL";"TAB3",#N/A,TRUE,"GENERAL";"TAB4",#N/A,TRUE,"GENERAL";"TAB5",#N/A,TRUE,"GENERAL"}</definedName>
    <definedName name="werh" hidden="1">{"via1",#N/A,TRUE,"general";"via2",#N/A,TRUE,"general";"via3",#N/A,TRUE,"general"}</definedName>
    <definedName name="wersfdfrguyo" hidden="1">{"via1",#N/A,TRUE,"general";"via2",#N/A,TRUE,"general";"via3",#N/A,TRUE,"general"}</definedName>
    <definedName name="werwr" hidden="1">{"via1",#N/A,TRUE,"general";"via2",#N/A,TRUE,"general";"via3",#N/A,TRUE,"general"}</definedName>
    <definedName name="WERWVN" hidden="1">{"TAB1",#N/A,TRUE,"GENERAL";"TAB2",#N/A,TRUE,"GENERAL";"TAB3",#N/A,TRUE,"GENERAL";"TAB4",#N/A,TRUE,"GENERAL";"TAB5",#N/A,TRUE,"GENERAL"}</definedName>
    <definedName name="wetrew" hidden="1">{"via1",#N/A,TRUE,"general";"via2",#N/A,TRUE,"general";"via3",#N/A,TRUE,"general"}</definedName>
    <definedName name="wettt" hidden="1">{"via1",#N/A,TRUE,"general";"via2",#N/A,TRUE,"general";"via3",#N/A,TRUE,"general"}</definedName>
    <definedName name="wetwretd" hidden="1">{"via1",#N/A,TRUE,"general";"via2",#N/A,TRUE,"general";"via3",#N/A,TRUE,"general"}</definedName>
    <definedName name="wew" hidden="1">{"via1",#N/A,TRUE,"general";"via2",#N/A,TRUE,"general";"via3",#N/A,TRUE,"general"}</definedName>
    <definedName name="wffag" hidden="1">{"via1",#N/A,TRUE,"general";"via2",#N/A,TRUE,"general";"via3",#N/A,TRUE,"general"}</definedName>
    <definedName name="WILSON">#REF!</definedName>
    <definedName name="WQ">#REF!</definedName>
    <definedName name="WQEEWQ" hidden="1">{"TAB1",#N/A,TRUE,"GENERAL";"TAB2",#N/A,TRUE,"GENERAL";"TAB3",#N/A,TRUE,"GENERAL";"TAB4",#N/A,TRUE,"GENERAL";"TAB5",#N/A,TRUE,"GENERAL"}</definedName>
    <definedName name="wrn.civil._.works." hidden="1">{#N/A,#N/A,TRUE,"1842CWN0"}</definedName>
    <definedName name="wrn.FINAN97." hidden="1">{"COSOPE98",#N/A,FALSE,"COSOPE98";"COSOPE97",#N/A,FALSE,"COSOPE97";"GASECP98",#N/A,FALSE,"GASECP98";"GAS10098",#N/A,FALSE,"GAS10098";"GASECP97",#N/A,FALSE,"GASECP97";"GAS10097",#N/A,FALSE,"GAS10097";"INVECP98",#N/A,FALSE,"INVECP98";"INV10098",#N/A,FALSE,"INV10098";"INVECP97",#N/A,FALSE,"INVECP97";"INV10097",#N/A,FALSE,"INV10097"}</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NERAL." hidden="1">{"TAB1",#N/A,TRUE,"GENERAL";"TAB2",#N/A,TRUE,"GENERAL";"TAB3",#N/A,TRUE,"GENERAL";"TAB4",#N/A,TRUE,"GENERAL";"TAB5",#N/A,TRUE,"GENERAL"}</definedName>
    <definedName name="wrn.GERENCIA." hidden="1">{#N/A,#N/A,TRUE,"INGENIERIA";#N/A,#N/A,TRUE,"COMPRAS";#N/A,#N/A,TRUE,"DIRECCION";#N/A,#N/A,TRUE,"RESUMEN"}</definedName>
    <definedName name="wrn.OPERADORES." hidden="1">{#N/A,#N/A,TRUE,"T1"}</definedName>
    <definedName name="wrn.res7" hidden="1">{#N/A,#N/A,FALSE,"Hoja1";#N/A,#N/A,FALSE,"Hoja2"}</definedName>
    <definedName name="wrn.Resumen." hidden="1">{#N/A,#N/A,FALSE,"Hoja1";#N/A,#N/A,FALSE,"Hoja2"}</definedName>
    <definedName name="wrn.TRABFENO." hidden="1">{#N/A,#N/A,FALSE,"Estatico";#N/A,#N/A,FALSE,"Tuberia";#N/A,#N/A,FALSE,"Instrumentación";#N/A,#N/A,FALSE,"Mecanica";#N/A,#N/A,FALSE,"Electrico";#N/A,#N/A,FALSE,"Ofic.Civiles"}</definedName>
    <definedName name="wrn.via." hidden="1">{"via1",#N/A,TRUE,"general";"via2",#N/A,TRUE,"general";"via3",#N/A,TRUE,"general"}</definedName>
    <definedName name="wsnhed" hidden="1">{"via1",#N/A,TRUE,"general";"via2",#N/A,TRUE,"general";"via3",#N/A,TRUE,"general"}</definedName>
    <definedName name="wswswsqa" hidden="1">{"via1",#N/A,TRUE,"general";"via2",#N/A,TRUE,"general";"via3",#N/A,TRUE,"general"}</definedName>
    <definedName name="WSX">#REF!</definedName>
    <definedName name="Wtot">#REF!</definedName>
    <definedName name="wtt" hidden="1">{"TAB1",#N/A,TRUE,"GENERAL";"TAB2",#N/A,TRUE,"GENERAL";"TAB3",#N/A,TRUE,"GENERAL";"TAB4",#N/A,TRUE,"GENERAL";"TAB5",#N/A,TRUE,"GENERAL"}</definedName>
    <definedName name="WW">#REF!</definedName>
    <definedName name="wwded3" hidden="1">{"via1",#N/A,TRUE,"general";"via2",#N/A,TRUE,"general";"via3",#N/A,TRUE,"general"}</definedName>
    <definedName name="wwwwe" hidden="1">{"TAB1",#N/A,TRUE,"GENERAL";"TAB2",#N/A,TRUE,"GENERAL";"TAB3",#N/A,TRUE,"GENERAL";"TAB4",#N/A,TRUE,"GENERAL";"TAB5",#N/A,TRUE,"GENERAL"}</definedName>
    <definedName name="wyty" hidden="1">{"via1",#N/A,TRUE,"general";"via2",#N/A,TRUE,"general";"via3",#N/A,TRUE,"general"}</definedName>
    <definedName name="x">#REF!</definedName>
    <definedName name="xcbvbs" hidden="1">{"TAB1",#N/A,TRUE,"GENERAL";"TAB2",#N/A,TRUE,"GENERAL";"TAB3",#N/A,TRUE,"GENERAL";"TAB4",#N/A,TRUE,"GENERAL";"TAB5",#N/A,TRUE,"GENERAL"}</definedName>
    <definedName name="XD">#REF!</definedName>
    <definedName name="XSW" hidden="1">{#N/A,#N/A,TRUE,"1842CWN0"}</definedName>
    <definedName name="xsxs" hidden="1">{"TAB1",#N/A,TRUE,"GENERAL";"TAB2",#N/A,TRUE,"GENERAL";"TAB3",#N/A,TRUE,"GENERAL";"TAB4",#N/A,TRUE,"GENERAL";"TAB5",#N/A,TRUE,"GENERAL"}</definedName>
    <definedName name="XX">#REF!</definedName>
    <definedName name="xxfg" hidden="1">{"via1",#N/A,TRUE,"general";"via2",#N/A,TRUE,"general";"via3",#N/A,TRUE,"general"}</definedName>
    <definedName name="XXXX" hidden="1">#REF!</definedName>
    <definedName name="xxxxx">#REF!</definedName>
    <definedName name="xxxxxds" hidden="1">{"via1",#N/A,TRUE,"general";"via2",#N/A,TRUE,"general";"via3",#N/A,TRUE,"general"}</definedName>
    <definedName name="XXXXXX" hidden="1">{#N/A,#N/A,FALSE,"orthoflow";#N/A,#N/A,FALSE,"Miscelaneos";#N/A,#N/A,FALSE,"Instrumentacio";#N/A,#N/A,FALSE,"Electrico";#N/A,#N/A,FALSE,"Valv. Seguridad"}</definedName>
    <definedName name="XXXXXXXXXX">#REF!</definedName>
    <definedName name="xxxxxxxxxx29" hidden="1">{"via1",#N/A,TRUE,"general";"via2",#N/A,TRUE,"general";"via3",#N/A,TRUE,"general"}</definedName>
    <definedName name="XXXXXXXXXXXX">#REF!</definedName>
    <definedName name="XZS" hidden="1">#REF!</definedName>
    <definedName name="XZXZV" hidden="1">{"via1",#N/A,TRUE,"general";"via2",#N/A,TRUE,"general";"via3",#N/A,TRUE,"general"}</definedName>
    <definedName name="Y">#REF!</definedName>
    <definedName name="y6y6" hidden="1">{"via1",#N/A,TRUE,"general";"via2",#N/A,TRUE,"general";"via3",#N/A,TRUE,"general"}</definedName>
    <definedName name="YA">#REF!</definedName>
    <definedName name="yery" hidden="1">{"via1",#N/A,TRUE,"general";"via2",#N/A,TRUE,"general";"via3",#N/A,TRUE,"general"}</definedName>
    <definedName name="YHN">#REF!</definedName>
    <definedName name="yhy" hidden="1">{"TAB1",#N/A,TRUE,"GENERAL";"TAB2",#N/A,TRUE,"GENERAL";"TAB3",#N/A,TRUE,"GENERAL";"TAB4",#N/A,TRUE,"GENERAL";"TAB5",#N/A,TRUE,"GENERAL"}</definedName>
    <definedName name="YJ">#REF!</definedName>
    <definedName name="yjyj" hidden="1">{"TAB1",#N/A,TRUE,"GENERAL";"TAB2",#N/A,TRUE,"GENERAL";"TAB3",#N/A,TRUE,"GENERAL";"TAB4",#N/A,TRUE,"GENERAL";"TAB5",#N/A,TRUE,"GENERAL"}</definedName>
    <definedName name="YOYO">#REF!</definedName>
    <definedName name="yrey" hidden="1">{"via1",#N/A,TRUE,"general";"via2",#N/A,TRUE,"general";"via3",#N/A,TRUE,"general"}</definedName>
    <definedName name="yry" hidden="1">{"via1",#N/A,TRUE,"general";"via2",#N/A,TRUE,"general";"via3",#N/A,TRUE,"general"}</definedName>
    <definedName name="YT">#REF!</definedName>
    <definedName name="ytj" hidden="1">{"TAB1",#N/A,TRUE,"GENERAL";"TAB2",#N/A,TRUE,"GENERAL";"TAB3",#N/A,TRUE,"GENERAL";"TAB4",#N/A,TRUE,"GENERAL";"TAB5",#N/A,TRUE,"GENERAL"}</definedName>
    <definedName name="ytjt6" hidden="1">{"via1",#N/A,TRUE,"general";"via2",#N/A,TRUE,"general";"via3",#N/A,TRUE,"general"}</definedName>
    <definedName name="ytrwyr" hidden="1">{"TAB1",#N/A,TRUE,"GENERAL";"TAB2",#N/A,TRUE,"GENERAL";"TAB3",#N/A,TRUE,"GENERAL";"TAB4",#N/A,TRUE,"GENERAL";"TAB5",#N/A,TRUE,"GENERAL"}</definedName>
    <definedName name="ytry" hidden="1">{"via1",#N/A,TRUE,"general";"via2",#N/A,TRUE,"general";"via3",#N/A,TRUE,"general"}</definedName>
    <definedName name="ytryrty" hidden="1">{"via1",#N/A,TRUE,"general";"via2",#N/A,TRUE,"general";"via3",#N/A,TRUE,"general"}</definedName>
    <definedName name="YTRYUYT" hidden="1">{"TAB1",#N/A,TRUE,"GENERAL";"TAB2",#N/A,TRUE,"GENERAL";"TAB3",#N/A,TRUE,"GENERAL";"TAB4",#N/A,TRUE,"GENERAL";"TAB5",#N/A,TRUE,"GENERAL"}</definedName>
    <definedName name="ytudfgd" hidden="1">{"TAB1",#N/A,TRUE,"GENERAL";"TAB2",#N/A,TRUE,"GENERAL";"TAB3",#N/A,TRUE,"GENERAL";"TAB4",#N/A,TRUE,"GENERAL";"TAB5",#N/A,TRUE,"GENERAL"}</definedName>
    <definedName name="yturtu7" hidden="1">{"TAB1",#N/A,TRUE,"GENERAL";"TAB2",#N/A,TRUE,"GENERAL";"TAB3",#N/A,TRUE,"GENERAL";"TAB4",#N/A,TRUE,"GENERAL";"TAB5",#N/A,TRUE,"GENERAL"}</definedName>
    <definedName name="yturu" hidden="1">{"TAB1",#N/A,TRUE,"GENERAL";"TAB2",#N/A,TRUE,"GENERAL";"TAB3",#N/A,TRUE,"GENERAL";"TAB4",#N/A,TRUE,"GENERAL";"TAB5",#N/A,TRUE,"GENERAL"}</definedName>
    <definedName name="ytuytfgh" hidden="1">{"via1",#N/A,TRUE,"general";"via2",#N/A,TRUE,"general";"via3",#N/A,TRUE,"general"}</definedName>
    <definedName name="yty" hidden="1">{"TAB1",#N/A,TRUE,"GENERAL";"TAB2",#N/A,TRUE,"GENERAL";"TAB3",#N/A,TRUE,"GENERAL";"TAB4",#N/A,TRUE,"GENERAL";"TAB5",#N/A,TRUE,"GENERAL"}</definedName>
    <definedName name="ytyyh" hidden="1">{"via1",#N/A,TRUE,"general";"via2",#N/A,TRUE,"general";"via3",#N/A,TRUE,"general"}</definedName>
    <definedName name="ytzacdfg" hidden="1">{"TAB1",#N/A,TRUE,"GENERAL";"TAB2",#N/A,TRUE,"GENERAL";"TAB3",#N/A,TRUE,"GENERAL";"TAB4",#N/A,TRUE,"GENERAL";"TAB5",#N/A,TRUE,"GENERAL"}</definedName>
    <definedName name="yu" hidden="1">{"TAB1",#N/A,TRUE,"GENERAL";"TAB2",#N/A,TRUE,"GENERAL";"TAB3",#N/A,TRUE,"GENERAL";"TAB4",#N/A,TRUE,"GENERAL";"TAB5",#N/A,TRUE,"GENERAL"}</definedName>
    <definedName name="yudre54" hidden="1">{"TAB1",#N/A,TRUE,"GENERAL";"TAB2",#N/A,TRUE,"GENERAL";"TAB3",#N/A,TRUE,"GENERAL";"TAB4",#N/A,TRUE,"GENERAL";"TAB5",#N/A,TRUE,"GENERAL"}</definedName>
    <definedName name="yuhgh" hidden="1">{"TAB1",#N/A,TRUE,"GENERAL";"TAB2",#N/A,TRUE,"GENERAL";"TAB3",#N/A,TRUE,"GENERAL";"TAB4",#N/A,TRUE,"GENERAL";"TAB5",#N/A,TRUE,"GENERAL"}</definedName>
    <definedName name="yutu" hidden="1">{"via1",#N/A,TRUE,"general";"via2",#N/A,TRUE,"general";"via3",#N/A,TRUE,"general"}</definedName>
    <definedName name="yuuiiy" hidden="1">{"via1",#N/A,TRUE,"general";"via2",#N/A,TRUE,"general";"via3",#N/A,TRUE,"general"}</definedName>
    <definedName name="yuuuuuu" hidden="1">{"via1",#N/A,TRUE,"general";"via2",#N/A,TRUE,"general";"via3",#N/A,TRUE,"general"}</definedName>
    <definedName name="yy" hidden="1">{"via1",#N/A,TRUE,"general";"via2",#N/A,TRUE,"general";"via3",#N/A,TRUE,"general"}</definedName>
    <definedName name="yyy" hidden="1">{"TAB1",#N/A,TRUE,"GENERAL";"TAB2",#N/A,TRUE,"GENERAL";"TAB3",#N/A,TRUE,"GENERAL";"TAB4",#N/A,TRUE,"GENERAL";"TAB5",#N/A,TRUE,"GENERAL"}</definedName>
    <definedName name="yyyuh" hidden="1">{"TAB1",#N/A,TRUE,"GENERAL";"TAB2",#N/A,TRUE,"GENERAL";"TAB3",#N/A,TRUE,"GENERAL";"TAB4",#N/A,TRUE,"GENERAL";"TAB5",#N/A,TRUE,"GENERAL"}</definedName>
    <definedName name="yyyyhhh" hidden="1">{"TAB1",#N/A,TRUE,"GENERAL";"TAB2",#N/A,TRUE,"GENERAL";"TAB3",#N/A,TRUE,"GENERAL";"TAB4",#N/A,TRUE,"GENERAL";"TAB5",#N/A,TRUE,"GENERAL"}</definedName>
    <definedName name="yyyyyf" hidden="1">{"via1",#N/A,TRUE,"general";"via2",#N/A,TRUE,"general";"via3",#N/A,TRUE,"general"}</definedName>
    <definedName name="ZAQ" hidden="1">{#N/A,#N/A,TRUE,"INGENIERIA";#N/A,#N/A,TRUE,"COMPRAS";#N/A,#N/A,TRUE,"DIRECCION";#N/A,#N/A,TRUE,"RESUMEN"}</definedName>
    <definedName name="zdervr" hidden="1">{"via1",#N/A,TRUE,"general";"via2",#N/A,TRUE,"general";"via3",#N/A,TRUE,"general"}</definedName>
    <definedName name="ZDF">#REF!</definedName>
    <definedName name="ZONA1">#REF!</definedName>
    <definedName name="ZONA3">#REF!</definedName>
    <definedName name="ZONA4">#REF!</definedName>
    <definedName name="zx">[0]!ERR</definedName>
    <definedName name="zxczds" hidden="1">{"TAB1",#N/A,TRUE,"GENERAL";"TAB2",#N/A,TRUE,"GENERAL";"TAB3",#N/A,TRUE,"GENERAL";"TAB4",#N/A,TRUE,"GENERAL";"TAB5",#N/A,TRUE,"GENERAL"}</definedName>
    <definedName name="zxsdftyu" hidden="1">{"via1",#N/A,TRUE,"general";"via2",#N/A,TRUE,"general";"via3",#N/A,TRUE,"general"}</definedName>
    <definedName name="zxvxczv" hidden="1">{"via1",#N/A,TRUE,"general";"via2",#N/A,TRUE,"general";"via3",#N/A,TRUE,"general"}</definedName>
    <definedName name="ZZZZZZZZZZZ">#REF!</definedName>
    <definedName name="zzzzzzzzzzzzzzz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307" i="3" l="1"/>
  <c r="K300" i="3"/>
  <c r="K301" i="3"/>
  <c r="K302" i="3"/>
  <c r="K303" i="3"/>
  <c r="K304" i="3"/>
  <c r="K305" i="3"/>
  <c r="K306" i="3"/>
  <c r="P307" i="3"/>
  <c r="Q307" i="3" s="1"/>
  <c r="P306" i="3"/>
  <c r="Q306" i="3" s="1"/>
  <c r="P305" i="3"/>
  <c r="Q305" i="3" s="1"/>
  <c r="P304" i="3"/>
  <c r="Q304" i="3" s="1"/>
  <c r="P303" i="3"/>
  <c r="Q303" i="3" s="1"/>
  <c r="P302" i="3"/>
  <c r="Q302" i="3" s="1"/>
  <c r="P301" i="3"/>
  <c r="Q301" i="3" s="1"/>
  <c r="P300" i="3"/>
  <c r="Q300" i="3" s="1"/>
  <c r="P297" i="3"/>
  <c r="P296" i="3"/>
  <c r="P293" i="3"/>
  <c r="P292" i="3"/>
  <c r="P291" i="3"/>
  <c r="P290" i="3"/>
  <c r="P287" i="3"/>
  <c r="P286" i="3"/>
  <c r="P285" i="3"/>
  <c r="P282" i="3"/>
  <c r="P281" i="3"/>
  <c r="P280" i="3"/>
  <c r="P279" i="3"/>
  <c r="P278" i="3"/>
  <c r="P277" i="3"/>
  <c r="P276" i="3"/>
  <c r="P275" i="3"/>
  <c r="P274" i="3"/>
  <c r="P273" i="3"/>
  <c r="P272" i="3"/>
  <c r="P271" i="3"/>
  <c r="P270" i="3"/>
  <c r="P269" i="3"/>
  <c r="P268" i="3"/>
  <c r="P265" i="3"/>
  <c r="P262" i="3"/>
  <c r="P261" i="3"/>
  <c r="P260" i="3"/>
  <c r="P259" i="3"/>
  <c r="P258" i="3"/>
  <c r="P257" i="3"/>
  <c r="P256" i="3"/>
  <c r="P255" i="3"/>
  <c r="P254" i="3"/>
  <c r="P253" i="3"/>
  <c r="P252" i="3"/>
  <c r="P251" i="3"/>
  <c r="P250" i="3"/>
  <c r="P249" i="3"/>
  <c r="P246" i="3"/>
  <c r="P245" i="3"/>
  <c r="P244" i="3"/>
  <c r="P243" i="3"/>
  <c r="P242" i="3"/>
  <c r="P241" i="3"/>
  <c r="P240" i="3"/>
  <c r="P239" i="3"/>
  <c r="P238" i="3"/>
  <c r="P237" i="3"/>
  <c r="P236" i="3"/>
  <c r="P235" i="3"/>
  <c r="P234" i="3"/>
  <c r="P233" i="3"/>
  <c r="P232" i="3"/>
  <c r="P229" i="3"/>
  <c r="P228" i="3"/>
  <c r="P227" i="3"/>
  <c r="P224" i="3"/>
  <c r="P223" i="3"/>
  <c r="P222" i="3"/>
  <c r="P221" i="3"/>
  <c r="P218" i="3"/>
  <c r="P217" i="3"/>
  <c r="P216" i="3"/>
  <c r="P215" i="3"/>
  <c r="P212" i="3"/>
  <c r="P211" i="3"/>
  <c r="P210" i="3"/>
  <c r="P209" i="3"/>
  <c r="P208" i="3"/>
  <c r="P207" i="3"/>
  <c r="P206" i="3"/>
  <c r="P205" i="3"/>
  <c r="P204" i="3"/>
  <c r="P203" i="3"/>
  <c r="P202" i="3"/>
  <c r="P201" i="3"/>
  <c r="P200" i="3"/>
  <c r="P197" i="3"/>
  <c r="P196" i="3"/>
  <c r="P193" i="3"/>
  <c r="P192" i="3"/>
  <c r="P191" i="3"/>
  <c r="P190" i="3"/>
  <c r="P189" i="3"/>
  <c r="P188" i="3"/>
  <c r="P187" i="3"/>
  <c r="P186" i="3"/>
  <c r="P185" i="3"/>
  <c r="P184" i="3"/>
  <c r="P181" i="3"/>
  <c r="P180" i="3"/>
  <c r="P179" i="3"/>
  <c r="P178" i="3"/>
  <c r="P177" i="3"/>
  <c r="P176" i="3"/>
  <c r="P175" i="3"/>
  <c r="P174" i="3"/>
  <c r="P173" i="3"/>
  <c r="P172" i="3"/>
  <c r="P171" i="3"/>
  <c r="P170" i="3"/>
  <c r="P167" i="3"/>
  <c r="P166" i="3"/>
  <c r="P165" i="3"/>
  <c r="P164" i="3"/>
  <c r="P163" i="3"/>
  <c r="P162" i="3"/>
  <c r="P161" i="3"/>
  <c r="P160" i="3"/>
  <c r="P159" i="3"/>
  <c r="P158" i="3"/>
  <c r="P157" i="3"/>
  <c r="P156" i="3"/>
  <c r="P155" i="3"/>
  <c r="P154" i="3"/>
  <c r="P153" i="3"/>
  <c r="P150" i="3"/>
  <c r="P149" i="3"/>
  <c r="P148" i="3"/>
  <c r="P147" i="3"/>
  <c r="P146" i="3"/>
  <c r="P145" i="3"/>
  <c r="P144" i="3"/>
  <c r="P143" i="3"/>
  <c r="P142" i="3"/>
  <c r="P141" i="3"/>
  <c r="P140" i="3"/>
  <c r="P139" i="3"/>
  <c r="P138" i="3"/>
  <c r="P137" i="3"/>
  <c r="P136" i="3"/>
  <c r="P135" i="3"/>
  <c r="P134" i="3"/>
  <c r="P133" i="3"/>
  <c r="P132" i="3"/>
  <c r="P128" i="3"/>
  <c r="P127" i="3"/>
  <c r="P126" i="3"/>
  <c r="P125" i="3"/>
  <c r="P124" i="3"/>
  <c r="P123" i="3"/>
  <c r="P120" i="3"/>
  <c r="P119" i="3"/>
  <c r="P118" i="3"/>
  <c r="P117" i="3"/>
  <c r="P114" i="3"/>
  <c r="P113" i="3"/>
  <c r="P112" i="3"/>
  <c r="P111" i="3"/>
  <c r="P108" i="3"/>
  <c r="P107" i="3"/>
  <c r="P106" i="3"/>
  <c r="P102" i="3"/>
  <c r="P101" i="3"/>
  <c r="P98" i="3"/>
  <c r="P97" i="3"/>
  <c r="P96" i="3"/>
  <c r="P95" i="3"/>
  <c r="P94" i="3"/>
  <c r="P93" i="3"/>
  <c r="P92" i="3"/>
  <c r="P91" i="3"/>
  <c r="P90" i="3"/>
  <c r="P89" i="3"/>
  <c r="P88" i="3"/>
  <c r="P87" i="3"/>
  <c r="P83" i="3"/>
  <c r="P82" i="3"/>
  <c r="P79" i="3"/>
  <c r="P78" i="3"/>
  <c r="P75" i="3"/>
  <c r="P72" i="3"/>
  <c r="P71" i="3"/>
  <c r="P70" i="3"/>
  <c r="P69" i="3"/>
  <c r="P65" i="3"/>
  <c r="P64" i="3"/>
  <c r="P63" i="3"/>
  <c r="P62" i="3"/>
  <c r="P61" i="3"/>
  <c r="P57" i="3"/>
  <c r="P54" i="3"/>
  <c r="P53" i="3"/>
  <c r="P52" i="3"/>
  <c r="P51" i="3"/>
  <c r="P50" i="3"/>
  <c r="P49" i="3"/>
  <c r="P48" i="3"/>
  <c r="P47" i="3"/>
  <c r="P46" i="3"/>
  <c r="P43" i="3"/>
  <c r="P42" i="3"/>
  <c r="P41" i="3"/>
  <c r="P40" i="3"/>
  <c r="P39" i="3"/>
  <c r="P38" i="3"/>
  <c r="P34" i="3"/>
  <c r="P33" i="3"/>
  <c r="P32" i="3"/>
  <c r="P31" i="3"/>
  <c r="P28" i="3"/>
  <c r="P27" i="3"/>
  <c r="P26" i="3"/>
  <c r="P25" i="3"/>
  <c r="P24" i="3"/>
  <c r="P23" i="3"/>
  <c r="P22" i="3"/>
  <c r="R319" i="3"/>
  <c r="Q204" i="3" s="1"/>
  <c r="Q146" i="3" l="1"/>
  <c r="R146" i="3" s="1"/>
  <c r="Q88" i="3"/>
  <c r="R88" i="3" s="1"/>
  <c r="Q49" i="3"/>
  <c r="R49" i="3" s="1"/>
  <c r="Q119" i="3"/>
  <c r="R119" i="3" s="1"/>
  <c r="Q200" i="3"/>
  <c r="R200" i="3" s="1"/>
  <c r="Q254" i="3"/>
  <c r="R254" i="3" s="1"/>
  <c r="Q124" i="3"/>
  <c r="Q233" i="3"/>
  <c r="Q177" i="3"/>
  <c r="Q26" i="3"/>
  <c r="Q128" i="3"/>
  <c r="Q28" i="3"/>
  <c r="Q180" i="3"/>
  <c r="Q239" i="3"/>
  <c r="Q265" i="3"/>
  <c r="R265" i="3" s="1"/>
  <c r="Q158" i="3"/>
  <c r="Q33" i="3"/>
  <c r="Q159" i="3"/>
  <c r="Q241" i="3"/>
  <c r="Q215" i="3"/>
  <c r="Q271" i="3"/>
  <c r="Q107" i="3"/>
  <c r="Q138" i="3"/>
  <c r="Q108" i="3"/>
  <c r="Q139" i="3"/>
  <c r="Q163" i="3"/>
  <c r="Q189" i="3"/>
  <c r="Q245" i="3"/>
  <c r="Q218" i="3"/>
  <c r="Q112" i="3"/>
  <c r="Q165" i="3"/>
  <c r="Q191" i="3"/>
  <c r="Q249" i="3"/>
  <c r="Q79" i="3"/>
  <c r="Q40" i="3"/>
  <c r="Q251" i="3"/>
  <c r="Q132" i="3"/>
  <c r="Q41" i="3"/>
  <c r="Q75" i="3"/>
  <c r="Q164" i="3"/>
  <c r="Q246" i="3"/>
  <c r="Q78" i="3"/>
  <c r="Q113" i="3"/>
  <c r="Q142" i="3"/>
  <c r="Q192" i="3"/>
  <c r="Q250" i="3"/>
  <c r="Q276" i="3"/>
  <c r="Q82" i="3"/>
  <c r="Q143" i="3"/>
  <c r="Q193" i="3"/>
  <c r="Q223" i="3"/>
  <c r="Q277" i="3"/>
  <c r="Q51" i="3"/>
  <c r="Q47" i="3"/>
  <c r="Q83" i="3"/>
  <c r="Q117" i="3"/>
  <c r="Q196" i="3"/>
  <c r="Q252" i="3"/>
  <c r="Q278" i="3"/>
  <c r="Q48" i="3"/>
  <c r="Q87" i="3"/>
  <c r="Q118" i="3"/>
  <c r="Q197" i="3"/>
  <c r="Q227" i="3"/>
  <c r="Q253" i="3"/>
  <c r="Q279" i="3"/>
  <c r="Q155" i="3"/>
  <c r="Q162" i="3"/>
  <c r="Q188" i="3"/>
  <c r="Q216" i="3"/>
  <c r="Q272" i="3"/>
  <c r="Q170" i="3"/>
  <c r="Q147" i="3"/>
  <c r="Q229" i="3"/>
  <c r="Q172" i="3"/>
  <c r="Q50" i="3"/>
  <c r="Q89" i="3"/>
  <c r="Q120" i="3"/>
  <c r="Q173" i="3"/>
  <c r="Q201" i="3"/>
  <c r="Q255" i="3"/>
  <c r="Q275" i="3"/>
  <c r="Q96" i="3"/>
  <c r="Q184" i="3"/>
  <c r="Q281" i="3"/>
  <c r="Q274" i="3"/>
  <c r="Q97" i="3"/>
  <c r="Q187" i="3"/>
  <c r="Q282" i="3"/>
  <c r="Q273" i="3"/>
  <c r="Q98" i="3"/>
  <c r="Q190" i="3"/>
  <c r="Q286" i="3"/>
  <c r="Q244" i="3"/>
  <c r="Q101" i="3"/>
  <c r="Q203" i="3"/>
  <c r="Q290" i="3"/>
  <c r="Q222" i="3"/>
  <c r="Q102" i="3"/>
  <c r="R303" i="3"/>
  <c r="R304" i="3"/>
  <c r="R305" i="3"/>
  <c r="Q217" i="3"/>
  <c r="Q141" i="3"/>
  <c r="Q46" i="3"/>
  <c r="Q140" i="3"/>
  <c r="Q43" i="3"/>
  <c r="Q221" i="3"/>
  <c r="Q145" i="3"/>
  <c r="Q72" i="3"/>
  <c r="Q144" i="3"/>
  <c r="Q71" i="3"/>
  <c r="Q171" i="3"/>
  <c r="Q114" i="3"/>
  <c r="Q42" i="3"/>
  <c r="Q228" i="3"/>
  <c r="Q167" i="3"/>
  <c r="Q280" i="3"/>
  <c r="Q224" i="3"/>
  <c r="Q166" i="3"/>
  <c r="Q111" i="3"/>
  <c r="Q39" i="3"/>
  <c r="Q243" i="3"/>
  <c r="Q161" i="3"/>
  <c r="Q137" i="3"/>
  <c r="Q106" i="3"/>
  <c r="Q70" i="3"/>
  <c r="Q38" i="3"/>
  <c r="Q270" i="3"/>
  <c r="Q242" i="3"/>
  <c r="Q212" i="3"/>
  <c r="Q186" i="3"/>
  <c r="Q160" i="3"/>
  <c r="Q136" i="3"/>
  <c r="Q69" i="3"/>
  <c r="Q34" i="3"/>
  <c r="Q297" i="3"/>
  <c r="Q269" i="3"/>
  <c r="Q211" i="3"/>
  <c r="Q185" i="3"/>
  <c r="Q135" i="3"/>
  <c r="Q65" i="3"/>
  <c r="Q296" i="3"/>
  <c r="Q268" i="3"/>
  <c r="Q240" i="3"/>
  <c r="Q210" i="3"/>
  <c r="Q134" i="3"/>
  <c r="Q64" i="3"/>
  <c r="Q32" i="3"/>
  <c r="Q293" i="3"/>
  <c r="Q209" i="3"/>
  <c r="Q181" i="3"/>
  <c r="Q157" i="3"/>
  <c r="Q133" i="3"/>
  <c r="Q63" i="3"/>
  <c r="Q31" i="3"/>
  <c r="Q292" i="3"/>
  <c r="Q262" i="3"/>
  <c r="Q238" i="3"/>
  <c r="Q208" i="3"/>
  <c r="Q156" i="3"/>
  <c r="Q62" i="3"/>
  <c r="Q291" i="3"/>
  <c r="Q261" i="3"/>
  <c r="Q237" i="3"/>
  <c r="Q207" i="3"/>
  <c r="Q179" i="3"/>
  <c r="Q95" i="3"/>
  <c r="Q61" i="3"/>
  <c r="Q27" i="3"/>
  <c r="Q260" i="3"/>
  <c r="Q236" i="3"/>
  <c r="Q206" i="3"/>
  <c r="Q178" i="3"/>
  <c r="Q154" i="3"/>
  <c r="Q127" i="3"/>
  <c r="Q94" i="3"/>
  <c r="Q57" i="3"/>
  <c r="Q25" i="3"/>
  <c r="Q287" i="3"/>
  <c r="Q259" i="3"/>
  <c r="Q235" i="3"/>
  <c r="Q205" i="3"/>
  <c r="Q153" i="3"/>
  <c r="Q126" i="3"/>
  <c r="Q93" i="3"/>
  <c r="Q54" i="3"/>
  <c r="Q24" i="3"/>
  <c r="R204" i="3"/>
  <c r="Q176" i="3"/>
  <c r="Q150" i="3"/>
  <c r="Q125" i="3"/>
  <c r="Q53" i="3"/>
  <c r="Q23" i="3"/>
  <c r="Q22" i="3"/>
  <c r="Q258" i="3"/>
  <c r="Q234" i="3"/>
  <c r="Q92" i="3"/>
  <c r="Q285" i="3"/>
  <c r="Q257" i="3"/>
  <c r="Q175" i="3"/>
  <c r="Q149" i="3"/>
  <c r="Q91" i="3"/>
  <c r="Q52" i="3"/>
  <c r="Q256" i="3"/>
  <c r="Q232" i="3"/>
  <c r="Q202" i="3"/>
  <c r="Q174" i="3"/>
  <c r="Q148" i="3"/>
  <c r="Q123" i="3"/>
  <c r="Q90" i="3"/>
  <c r="R301" i="3"/>
  <c r="R306" i="3"/>
  <c r="R307" i="3"/>
  <c r="R302" i="3"/>
  <c r="R300" i="3"/>
  <c r="R93" i="3" l="1"/>
  <c r="R261" i="3"/>
  <c r="R166" i="3"/>
  <c r="R50" i="3"/>
  <c r="R47" i="3"/>
  <c r="R26" i="3"/>
  <c r="R126" i="3"/>
  <c r="R291" i="3"/>
  <c r="R224" i="3"/>
  <c r="R172" i="3"/>
  <c r="R51" i="3"/>
  <c r="R177" i="3"/>
  <c r="R153" i="3"/>
  <c r="R149" i="3"/>
  <c r="R287" i="3"/>
  <c r="R262" i="3"/>
  <c r="R34" i="3"/>
  <c r="R114" i="3"/>
  <c r="R190" i="3"/>
  <c r="R216" i="3"/>
  <c r="R82" i="3"/>
  <c r="R163" i="3"/>
  <c r="R175" i="3"/>
  <c r="R25" i="3"/>
  <c r="R292" i="3"/>
  <c r="R69" i="3"/>
  <c r="R171" i="3"/>
  <c r="R98" i="3"/>
  <c r="R188" i="3"/>
  <c r="R276" i="3"/>
  <c r="R139" i="3"/>
  <c r="R257" i="3"/>
  <c r="R57" i="3"/>
  <c r="R31" i="3"/>
  <c r="R136" i="3"/>
  <c r="R71" i="3"/>
  <c r="R273" i="3"/>
  <c r="R162" i="3"/>
  <c r="R250" i="3"/>
  <c r="R108" i="3"/>
  <c r="R285" i="3"/>
  <c r="R94" i="3"/>
  <c r="R63" i="3"/>
  <c r="R160" i="3"/>
  <c r="R144" i="3"/>
  <c r="R282" i="3"/>
  <c r="R155" i="3"/>
  <c r="R192" i="3"/>
  <c r="R138" i="3"/>
  <c r="R92" i="3"/>
  <c r="R127" i="3"/>
  <c r="R133" i="3"/>
  <c r="R186" i="3"/>
  <c r="R72" i="3"/>
  <c r="R187" i="3"/>
  <c r="R279" i="3"/>
  <c r="R142" i="3"/>
  <c r="R107" i="3"/>
  <c r="R234" i="3"/>
  <c r="R154" i="3"/>
  <c r="R157" i="3"/>
  <c r="R212" i="3"/>
  <c r="R145" i="3"/>
  <c r="R97" i="3"/>
  <c r="R253" i="3"/>
  <c r="R113" i="3"/>
  <c r="R271" i="3"/>
  <c r="R258" i="3"/>
  <c r="R178" i="3"/>
  <c r="R181" i="3"/>
  <c r="R242" i="3"/>
  <c r="R221" i="3"/>
  <c r="R274" i="3"/>
  <c r="R227" i="3"/>
  <c r="R78" i="3"/>
  <c r="R215" i="3"/>
  <c r="R22" i="3"/>
  <c r="R206" i="3"/>
  <c r="R209" i="3"/>
  <c r="R270" i="3"/>
  <c r="R43" i="3"/>
  <c r="R281" i="3"/>
  <c r="R197" i="3"/>
  <c r="R246" i="3"/>
  <c r="R241" i="3"/>
  <c r="R23" i="3"/>
  <c r="R236" i="3"/>
  <c r="R293" i="3"/>
  <c r="R38" i="3"/>
  <c r="R140" i="3"/>
  <c r="R184" i="3"/>
  <c r="R118" i="3"/>
  <c r="R164" i="3"/>
  <c r="R159" i="3"/>
  <c r="R53" i="3"/>
  <c r="R260" i="3"/>
  <c r="R32" i="3"/>
  <c r="R70" i="3"/>
  <c r="R46" i="3"/>
  <c r="R96" i="3"/>
  <c r="R87" i="3"/>
  <c r="R75" i="3"/>
  <c r="R33" i="3"/>
  <c r="R125" i="3"/>
  <c r="R27" i="3"/>
  <c r="R64" i="3"/>
  <c r="R106" i="3"/>
  <c r="R141" i="3"/>
  <c r="R275" i="3"/>
  <c r="R48" i="3"/>
  <c r="R41" i="3"/>
  <c r="R158" i="3"/>
  <c r="R150" i="3"/>
  <c r="R61" i="3"/>
  <c r="R134" i="3"/>
  <c r="R137" i="3"/>
  <c r="R217" i="3"/>
  <c r="R255" i="3"/>
  <c r="R278" i="3"/>
  <c r="R132" i="3"/>
  <c r="R176" i="3"/>
  <c r="R95" i="3"/>
  <c r="R210" i="3"/>
  <c r="R161" i="3"/>
  <c r="R201" i="3"/>
  <c r="R252" i="3"/>
  <c r="R251" i="3"/>
  <c r="R239" i="3"/>
  <c r="R90" i="3"/>
  <c r="R179" i="3"/>
  <c r="R240" i="3"/>
  <c r="R243" i="3"/>
  <c r="R173" i="3"/>
  <c r="R196" i="3"/>
  <c r="R40" i="3"/>
  <c r="R180" i="3"/>
  <c r="R123" i="3"/>
  <c r="R24" i="3"/>
  <c r="R207" i="3"/>
  <c r="R268" i="3"/>
  <c r="R39" i="3"/>
  <c r="R120" i="3"/>
  <c r="R117" i="3"/>
  <c r="R79" i="3"/>
  <c r="R28" i="3"/>
  <c r="R148" i="3"/>
  <c r="R54" i="3"/>
  <c r="R237" i="3"/>
  <c r="R296" i="3"/>
  <c r="R111" i="3"/>
  <c r="R102" i="3"/>
  <c r="R89" i="3"/>
  <c r="R83" i="3"/>
  <c r="R249" i="3"/>
  <c r="R128" i="3"/>
  <c r="R174" i="3"/>
  <c r="R65" i="3"/>
  <c r="R222" i="3"/>
  <c r="R191" i="3"/>
  <c r="R202" i="3"/>
  <c r="R135" i="3"/>
  <c r="R290" i="3"/>
  <c r="R165" i="3"/>
  <c r="R232" i="3"/>
  <c r="R62" i="3"/>
  <c r="R185" i="3"/>
  <c r="R280" i="3"/>
  <c r="R203" i="3"/>
  <c r="R229" i="3"/>
  <c r="R277" i="3"/>
  <c r="R112" i="3"/>
  <c r="R233" i="3"/>
  <c r="R256" i="3"/>
  <c r="R205" i="3"/>
  <c r="R156" i="3"/>
  <c r="R211" i="3"/>
  <c r="R167" i="3"/>
  <c r="R101" i="3"/>
  <c r="R147" i="3"/>
  <c r="R223" i="3"/>
  <c r="R218" i="3"/>
  <c r="R124" i="3"/>
  <c r="R52" i="3"/>
  <c r="R235" i="3"/>
  <c r="R208" i="3"/>
  <c r="R269" i="3"/>
  <c r="R228" i="3"/>
  <c r="R244" i="3"/>
  <c r="R170" i="3"/>
  <c r="R193" i="3"/>
  <c r="R245" i="3"/>
  <c r="R91" i="3"/>
  <c r="R259" i="3"/>
  <c r="R238" i="3"/>
  <c r="R297" i="3"/>
  <c r="R42" i="3"/>
  <c r="R286" i="3"/>
  <c r="R272" i="3"/>
  <c r="R143" i="3"/>
  <c r="R189" i="3"/>
  <c r="R294" i="3" l="1"/>
  <c r="P21" i="3"/>
  <c r="Q21" i="3" s="1"/>
  <c r="R298" i="3"/>
  <c r="R288" i="3"/>
  <c r="R266" i="3"/>
  <c r="R230" i="3"/>
  <c r="R198" i="3"/>
  <c r="R182" i="3"/>
  <c r="R121" i="3"/>
  <c r="R103" i="3"/>
  <c r="R99" i="3"/>
  <c r="R84" i="3"/>
  <c r="L307" i="3"/>
  <c r="L306" i="3"/>
  <c r="L319" i="3"/>
  <c r="K276" i="3" l="1"/>
  <c r="K177" i="3"/>
  <c r="K51" i="3"/>
  <c r="K49" i="3"/>
  <c r="K90" i="3"/>
  <c r="K139" i="3"/>
  <c r="K171" i="3"/>
  <c r="K207" i="3"/>
  <c r="K249" i="3"/>
  <c r="K287" i="3"/>
  <c r="K272" i="3"/>
  <c r="K172" i="3"/>
  <c r="K47" i="3"/>
  <c r="K50" i="3"/>
  <c r="K91" i="3"/>
  <c r="K140" i="3"/>
  <c r="K173" i="3"/>
  <c r="K208" i="3"/>
  <c r="K251" i="3"/>
  <c r="K291" i="3"/>
  <c r="K271" i="3"/>
  <c r="K170" i="3"/>
  <c r="K41" i="3"/>
  <c r="K52" i="3"/>
  <c r="K92" i="3"/>
  <c r="K141" i="3"/>
  <c r="K174" i="3"/>
  <c r="K209" i="3"/>
  <c r="K253" i="3"/>
  <c r="K292" i="3"/>
  <c r="K265" i="3"/>
  <c r="K165" i="3"/>
  <c r="K40" i="3"/>
  <c r="K53" i="3"/>
  <c r="K93" i="3"/>
  <c r="K142" i="3"/>
  <c r="K175" i="3"/>
  <c r="K210" i="3"/>
  <c r="K254" i="3"/>
  <c r="K293" i="3"/>
  <c r="K252" i="3"/>
  <c r="K159" i="3"/>
  <c r="K33" i="3"/>
  <c r="K54" i="3"/>
  <c r="K94" i="3"/>
  <c r="K143" i="3"/>
  <c r="K176" i="3"/>
  <c r="K211" i="3"/>
  <c r="K255" i="3"/>
  <c r="K296" i="3"/>
  <c r="K250" i="3"/>
  <c r="K158" i="3"/>
  <c r="K28" i="3"/>
  <c r="K57" i="3"/>
  <c r="K95" i="3"/>
  <c r="K144" i="3"/>
  <c r="K178" i="3"/>
  <c r="K212" i="3"/>
  <c r="K256" i="3"/>
  <c r="K297" i="3"/>
  <c r="K245" i="3"/>
  <c r="K155" i="3"/>
  <c r="K26" i="3"/>
  <c r="K61" i="3"/>
  <c r="K106" i="3"/>
  <c r="K145" i="3"/>
  <c r="K179" i="3"/>
  <c r="K217" i="3"/>
  <c r="K257" i="3"/>
  <c r="K241" i="3"/>
  <c r="K147" i="3"/>
  <c r="K21" i="3"/>
  <c r="L21" i="3" s="1"/>
  <c r="K62" i="3"/>
  <c r="K107" i="3"/>
  <c r="K146" i="3"/>
  <c r="K181" i="3"/>
  <c r="K221" i="3"/>
  <c r="K258" i="3"/>
  <c r="K239" i="3"/>
  <c r="K138" i="3"/>
  <c r="K22" i="3"/>
  <c r="K63" i="3"/>
  <c r="K111" i="3"/>
  <c r="K148" i="3"/>
  <c r="K185" i="3"/>
  <c r="K118" i="3"/>
  <c r="K48" i="3"/>
  <c r="K133" i="3"/>
  <c r="K192" i="3"/>
  <c r="K246" i="3"/>
  <c r="K290" i="3"/>
  <c r="K113" i="3"/>
  <c r="K64" i="3"/>
  <c r="K134" i="3"/>
  <c r="K193" i="3"/>
  <c r="K259" i="3"/>
  <c r="K286" i="3"/>
  <c r="K112" i="3"/>
  <c r="K65" i="3"/>
  <c r="K135" i="3"/>
  <c r="K196" i="3"/>
  <c r="K260" i="3"/>
  <c r="K282" i="3"/>
  <c r="K108" i="3"/>
  <c r="K69" i="3"/>
  <c r="K136" i="3"/>
  <c r="K197" i="3"/>
  <c r="K261" i="3"/>
  <c r="K281" i="3"/>
  <c r="K102" i="3"/>
  <c r="K70" i="3"/>
  <c r="K137" i="3"/>
  <c r="K200" i="3"/>
  <c r="K262" i="3"/>
  <c r="K279" i="3"/>
  <c r="K101" i="3"/>
  <c r="K71" i="3"/>
  <c r="K149" i="3"/>
  <c r="K201" i="3"/>
  <c r="K268" i="3"/>
  <c r="K150" i="3"/>
  <c r="K269" i="3"/>
  <c r="K229" i="3"/>
  <c r="K97" i="3"/>
  <c r="K75" i="3"/>
  <c r="K153" i="3"/>
  <c r="K270" i="3"/>
  <c r="K96" i="3"/>
  <c r="K82" i="3"/>
  <c r="K79" i="3"/>
  <c r="K156" i="3"/>
  <c r="K222" i="3"/>
  <c r="K274" i="3"/>
  <c r="K218" i="3"/>
  <c r="K23" i="3"/>
  <c r="K83" i="3"/>
  <c r="K157" i="3"/>
  <c r="K224" i="3"/>
  <c r="K275" i="3"/>
  <c r="K24" i="3"/>
  <c r="K277" i="3"/>
  <c r="K25" i="3"/>
  <c r="K32" i="3"/>
  <c r="K237" i="3"/>
  <c r="K240" i="3"/>
  <c r="K233" i="3"/>
  <c r="K98" i="3"/>
  <c r="K72" i="3"/>
  <c r="K202" i="3"/>
  <c r="K205" i="3"/>
  <c r="K227" i="3"/>
  <c r="K78" i="3"/>
  <c r="K154" i="3"/>
  <c r="K206" i="3"/>
  <c r="K273" i="3"/>
  <c r="K223" i="3"/>
  <c r="K216" i="3"/>
  <c r="K87" i="3"/>
  <c r="K160" i="3"/>
  <c r="K228" i="3"/>
  <c r="K215" i="3"/>
  <c r="K88" i="3"/>
  <c r="K161" i="3"/>
  <c r="K232" i="3"/>
  <c r="K278" i="3"/>
  <c r="K204" i="3"/>
  <c r="K27" i="3"/>
  <c r="K89" i="3"/>
  <c r="K162" i="3"/>
  <c r="K234" i="3"/>
  <c r="K280" i="3"/>
  <c r="K203" i="3"/>
  <c r="K31" i="3"/>
  <c r="K114" i="3"/>
  <c r="K163" i="3"/>
  <c r="K235" i="3"/>
  <c r="K285" i="3"/>
  <c r="K190" i="3"/>
  <c r="K117" i="3"/>
  <c r="K164" i="3"/>
  <c r="K236" i="3"/>
  <c r="K187" i="3"/>
  <c r="K34" i="3"/>
  <c r="K119" i="3"/>
  <c r="K166" i="3"/>
  <c r="K184" i="3"/>
  <c r="K38" i="3"/>
  <c r="K120" i="3"/>
  <c r="K167" i="3"/>
  <c r="K238" i="3"/>
  <c r="K180" i="3"/>
  <c r="K39" i="3"/>
  <c r="K123" i="3"/>
  <c r="K186" i="3"/>
  <c r="K188" i="3"/>
  <c r="K126" i="3"/>
  <c r="K132" i="3"/>
  <c r="K42" i="3"/>
  <c r="K125" i="3"/>
  <c r="K242" i="3"/>
  <c r="K128" i="3"/>
  <c r="K43" i="3"/>
  <c r="K189" i="3"/>
  <c r="K243" i="3"/>
  <c r="K124" i="3"/>
  <c r="K46" i="3"/>
  <c r="K127" i="3"/>
  <c r="K191" i="3"/>
  <c r="K244" i="3"/>
  <c r="R325" i="3"/>
  <c r="L303" i="3"/>
  <c r="L305" i="3"/>
  <c r="L304" i="3"/>
  <c r="L302" i="3"/>
  <c r="R21" i="3"/>
  <c r="R219" i="3"/>
  <c r="R225" i="3"/>
  <c r="R194" i="3"/>
  <c r="R168" i="3"/>
  <c r="R58" i="3"/>
  <c r="R213" i="3"/>
  <c r="R247" i="3"/>
  <c r="R263" i="3"/>
  <c r="R109" i="3"/>
  <c r="R76" i="3"/>
  <c r="R115" i="3"/>
  <c r="R308" i="3"/>
  <c r="R311" i="3" s="1"/>
  <c r="R151" i="3"/>
  <c r="R129" i="3"/>
  <c r="R283" i="3"/>
  <c r="L301" i="3"/>
  <c r="L300" i="3"/>
  <c r="S21" i="3" l="1"/>
  <c r="S307" i="3"/>
  <c r="S306" i="3"/>
  <c r="S305" i="3"/>
  <c r="S304" i="3"/>
  <c r="S303" i="3"/>
  <c r="S302" i="3"/>
  <c r="S301" i="3"/>
  <c r="S300" i="3"/>
  <c r="S150" i="3"/>
  <c r="S200" i="3"/>
  <c r="L126" i="3"/>
  <c r="S126" i="3" s="1"/>
  <c r="L290" i="3"/>
  <c r="S290" i="3" s="1"/>
  <c r="L227" i="3"/>
  <c r="S227" i="3" s="1"/>
  <c r="L217" i="3"/>
  <c r="S217" i="3" s="1"/>
  <c r="L119" i="3"/>
  <c r="S119" i="3" s="1"/>
  <c r="L88" i="3"/>
  <c r="S88" i="3" s="1"/>
  <c r="L188" i="3"/>
  <c r="S188" i="3" s="1"/>
  <c r="L25" i="3"/>
  <c r="S25" i="3" s="1"/>
  <c r="L243" i="3"/>
  <c r="S243" i="3" s="1"/>
  <c r="L286" i="3"/>
  <c r="S286" i="3" s="1"/>
  <c r="L41" i="3"/>
  <c r="S41" i="3" s="1"/>
  <c r="L291" i="3"/>
  <c r="S291" i="3" s="1"/>
  <c r="L258" i="3"/>
  <c r="S258" i="3" s="1"/>
  <c r="L138" i="3"/>
  <c r="S138" i="3" s="1"/>
  <c r="L143" i="3"/>
  <c r="S143" i="3" s="1"/>
  <c r="L174" i="3"/>
  <c r="S174" i="3" s="1"/>
  <c r="L96" i="3"/>
  <c r="S96" i="3" s="1"/>
  <c r="L148" i="3"/>
  <c r="S148" i="3" s="1"/>
  <c r="L207" i="3"/>
  <c r="S207" i="3" s="1"/>
  <c r="L167" i="3"/>
  <c r="S167" i="3" s="1"/>
  <c r="L193" i="3"/>
  <c r="S193" i="3" s="1"/>
  <c r="L123" i="3"/>
  <c r="S123" i="3" s="1"/>
  <c r="L251" i="3"/>
  <c r="S251" i="3" s="1"/>
  <c r="L245" i="3"/>
  <c r="S245" i="3" s="1"/>
  <c r="L90" i="3"/>
  <c r="S90" i="3" s="1"/>
  <c r="L144" i="3"/>
  <c r="S144" i="3" s="1"/>
  <c r="L178" i="3"/>
  <c r="S178" i="3" s="1"/>
  <c r="L97" i="3"/>
  <c r="S97" i="3" s="1"/>
  <c r="L293" i="3"/>
  <c r="S293" i="3" s="1"/>
  <c r="L22" i="3"/>
  <c r="S22" i="3" s="1"/>
  <c r="L160" i="3"/>
  <c r="S160" i="3" s="1"/>
  <c r="L281" i="3"/>
  <c r="S281" i="3" s="1"/>
  <c r="L255" i="3"/>
  <c r="S255" i="3" s="1"/>
  <c r="L285" i="3"/>
  <c r="S285" i="3" s="1"/>
  <c r="L26" i="3"/>
  <c r="S26" i="3" s="1"/>
  <c r="L39" i="3"/>
  <c r="S39" i="3" s="1"/>
  <c r="L212" i="3"/>
  <c r="S212" i="3" s="1"/>
  <c r="L173" i="3"/>
  <c r="S173" i="3" s="1"/>
  <c r="L241" i="3"/>
  <c r="S241" i="3" s="1"/>
  <c r="L197" i="3"/>
  <c r="S197" i="3" s="1"/>
  <c r="L83" i="3"/>
  <c r="S83" i="3" s="1"/>
  <c r="L189" i="3"/>
  <c r="S189" i="3" s="1"/>
  <c r="L52" i="3"/>
  <c r="S52" i="3" s="1"/>
  <c r="L172" i="3"/>
  <c r="S172" i="3" s="1"/>
  <c r="L101" i="3"/>
  <c r="S101" i="3" s="1"/>
  <c r="L209" i="3"/>
  <c r="S209" i="3" s="1"/>
  <c r="L61" i="3"/>
  <c r="S61" i="3" s="1"/>
  <c r="L181" i="3"/>
  <c r="S181" i="3" s="1"/>
  <c r="L93" i="3"/>
  <c r="S93" i="3" s="1"/>
  <c r="L23" i="3"/>
  <c r="S23" i="3" s="1"/>
  <c r="L155" i="3"/>
  <c r="S155" i="3" s="1"/>
  <c r="L253" i="3"/>
  <c r="S253" i="3" s="1"/>
  <c r="L238" i="3"/>
  <c r="S238" i="3" s="1"/>
  <c r="L268" i="3"/>
  <c r="S268" i="3" s="1"/>
  <c r="L54" i="3"/>
  <c r="S54" i="3" s="1"/>
  <c r="L282" i="3"/>
  <c r="S282" i="3" s="1"/>
  <c r="L261" i="3"/>
  <c r="S261" i="3" s="1"/>
  <c r="L200" i="3"/>
  <c r="L46" i="3"/>
  <c r="S46" i="3" s="1"/>
  <c r="L166" i="3"/>
  <c r="S166" i="3" s="1"/>
  <c r="L277" i="3"/>
  <c r="S277" i="3" s="1"/>
  <c r="L72" i="3"/>
  <c r="S72" i="3" s="1"/>
  <c r="L256" i="3"/>
  <c r="S256" i="3" s="1"/>
  <c r="L34" i="3"/>
  <c r="S34" i="3" s="1"/>
  <c r="L250" i="3"/>
  <c r="S250" i="3" s="1"/>
  <c r="L108" i="3"/>
  <c r="S108" i="3" s="1"/>
  <c r="L221" i="3"/>
  <c r="S221" i="3" s="1"/>
  <c r="L69" i="3"/>
  <c r="S69" i="3" s="1"/>
  <c r="L118" i="3"/>
  <c r="S118" i="3" s="1"/>
  <c r="L232" i="3"/>
  <c r="S232" i="3" s="1"/>
  <c r="L71" i="3"/>
  <c r="S71" i="3" s="1"/>
  <c r="L87" i="3"/>
  <c r="S87" i="3" s="1"/>
  <c r="L162" i="3"/>
  <c r="S162" i="3" s="1"/>
  <c r="L273" i="3"/>
  <c r="S273" i="3" s="1"/>
  <c r="L135" i="3"/>
  <c r="S135" i="3" s="1"/>
  <c r="L159" i="3"/>
  <c r="S159" i="3" s="1"/>
  <c r="L202" i="3"/>
  <c r="S202" i="3" s="1"/>
  <c r="L117" i="3"/>
  <c r="S117" i="3" s="1"/>
  <c r="L102" i="3"/>
  <c r="S102" i="3" s="1"/>
  <c r="L210" i="3"/>
  <c r="S210" i="3" s="1"/>
  <c r="L62" i="3"/>
  <c r="S62" i="3" s="1"/>
  <c r="L184" i="3"/>
  <c r="S184" i="3" s="1"/>
  <c r="L191" i="3"/>
  <c r="S191" i="3" s="1"/>
  <c r="L234" i="3"/>
  <c r="S234" i="3" s="1"/>
  <c r="L158" i="3"/>
  <c r="S158" i="3" s="1"/>
  <c r="L179" i="3"/>
  <c r="S179" i="3" s="1"/>
  <c r="L156" i="3"/>
  <c r="S156" i="3" s="1"/>
  <c r="L254" i="3"/>
  <c r="S254" i="3" s="1"/>
  <c r="L128" i="3"/>
  <c r="S128" i="3" s="1"/>
  <c r="L239" i="3"/>
  <c r="S239" i="3" s="1"/>
  <c r="L270" i="3"/>
  <c r="S270" i="3" s="1"/>
  <c r="L204" i="3"/>
  <c r="S204" i="3" s="1"/>
  <c r="L190" i="3"/>
  <c r="S190" i="3" s="1"/>
  <c r="L218" i="3"/>
  <c r="S218" i="3" s="1"/>
  <c r="L47" i="3"/>
  <c r="S47" i="3" s="1"/>
  <c r="L278" i="3"/>
  <c r="S278" i="3" s="1"/>
  <c r="L236" i="3"/>
  <c r="S236" i="3" s="1"/>
  <c r="L176" i="3"/>
  <c r="S176" i="3" s="1"/>
  <c r="L228" i="3"/>
  <c r="S228" i="3" s="1"/>
  <c r="L262" i="3"/>
  <c r="S262" i="3" s="1"/>
  <c r="L111" i="3"/>
  <c r="S111" i="3" s="1"/>
  <c r="L222" i="3"/>
  <c r="S222" i="3" s="1"/>
  <c r="L75" i="3"/>
  <c r="L76" i="3" s="1"/>
  <c r="L206" i="3"/>
  <c r="S206" i="3" s="1"/>
  <c r="L150" i="3"/>
  <c r="L269" i="3"/>
  <c r="S269" i="3" s="1"/>
  <c r="L38" i="3"/>
  <c r="S38" i="3" s="1"/>
  <c r="L42" i="3"/>
  <c r="S42" i="3" s="1"/>
  <c r="L163" i="3"/>
  <c r="S163" i="3" s="1"/>
  <c r="L274" i="3"/>
  <c r="S274" i="3" s="1"/>
  <c r="L139" i="3"/>
  <c r="S139" i="3" s="1"/>
  <c r="L125" i="3"/>
  <c r="S125" i="3" s="1"/>
  <c r="L51" i="3"/>
  <c r="S51" i="3" s="1"/>
  <c r="L31" i="3"/>
  <c r="S31" i="3" s="1"/>
  <c r="L106" i="3"/>
  <c r="S106" i="3" s="1"/>
  <c r="L211" i="3"/>
  <c r="S211" i="3" s="1"/>
  <c r="L63" i="3"/>
  <c r="S63" i="3" s="1"/>
  <c r="L185" i="3"/>
  <c r="S185" i="3" s="1"/>
  <c r="L154" i="3"/>
  <c r="S154" i="3" s="1"/>
  <c r="L92" i="3"/>
  <c r="S92" i="3" s="1"/>
  <c r="L237" i="3"/>
  <c r="S237" i="3" s="1"/>
  <c r="L145" i="3"/>
  <c r="S145" i="3" s="1"/>
  <c r="L265" i="3"/>
  <c r="L266" i="3" s="1"/>
  <c r="L132" i="3"/>
  <c r="S132" i="3" s="1"/>
  <c r="L240" i="3"/>
  <c r="S240" i="3" s="1"/>
  <c r="L127" i="3"/>
  <c r="S127" i="3" s="1"/>
  <c r="L53" i="3"/>
  <c r="S53" i="3" s="1"/>
  <c r="L196" i="3"/>
  <c r="S196" i="3" s="1"/>
  <c r="L208" i="3"/>
  <c r="S208" i="3" s="1"/>
  <c r="L48" i="3"/>
  <c r="S48" i="3" s="1"/>
  <c r="L170" i="3"/>
  <c r="S170" i="3" s="1"/>
  <c r="L279" i="3"/>
  <c r="S279" i="3" s="1"/>
  <c r="L94" i="3"/>
  <c r="S94" i="3" s="1"/>
  <c r="L24" i="3"/>
  <c r="S24" i="3" s="1"/>
  <c r="L32" i="3"/>
  <c r="S32" i="3" s="1"/>
  <c r="L246" i="3"/>
  <c r="S246" i="3" s="1"/>
  <c r="L252" i="3"/>
  <c r="S252" i="3" s="1"/>
  <c r="L112" i="3"/>
  <c r="S112" i="3" s="1"/>
  <c r="L223" i="3"/>
  <c r="S223" i="3" s="1"/>
  <c r="L78" i="3"/>
  <c r="S78" i="3" s="1"/>
  <c r="L57" i="3"/>
  <c r="L58" i="3" s="1"/>
  <c r="L229" i="3"/>
  <c r="S229" i="3" s="1"/>
  <c r="L82" i="3"/>
  <c r="S82" i="3" s="1"/>
  <c r="L296" i="3"/>
  <c r="S296" i="3" s="1"/>
  <c r="L142" i="3"/>
  <c r="S142" i="3" s="1"/>
  <c r="L164" i="3"/>
  <c r="S164" i="3" s="1"/>
  <c r="L275" i="3"/>
  <c r="S275" i="3" s="1"/>
  <c r="L140" i="3"/>
  <c r="S140" i="3" s="1"/>
  <c r="L257" i="3"/>
  <c r="S257" i="3" s="1"/>
  <c r="L201" i="3"/>
  <c r="S201" i="3" s="1"/>
  <c r="L136" i="3"/>
  <c r="S136" i="3" s="1"/>
  <c r="L95" i="3"/>
  <c r="S95" i="3" s="1"/>
  <c r="L64" i="3"/>
  <c r="S64" i="3" s="1"/>
  <c r="L186" i="3"/>
  <c r="S186" i="3" s="1"/>
  <c r="L287" i="3"/>
  <c r="S287" i="3" s="1"/>
  <c r="L233" i="3"/>
  <c r="S233" i="3" s="1"/>
  <c r="L171" i="3"/>
  <c r="S171" i="3" s="1"/>
  <c r="L98" i="3"/>
  <c r="S98" i="3" s="1"/>
  <c r="L192" i="3"/>
  <c r="S192" i="3" s="1"/>
  <c r="L271" i="3"/>
  <c r="S271" i="3" s="1"/>
  <c r="L133" i="3"/>
  <c r="S133" i="3" s="1"/>
  <c r="L259" i="3"/>
  <c r="S259" i="3" s="1"/>
  <c r="L203" i="3"/>
  <c r="S203" i="3" s="1"/>
  <c r="L147" i="3"/>
  <c r="S147" i="3" s="1"/>
  <c r="L216" i="3"/>
  <c r="S216" i="3" s="1"/>
  <c r="L146" i="3"/>
  <c r="S146" i="3" s="1"/>
  <c r="L244" i="3"/>
  <c r="S244" i="3" s="1"/>
  <c r="L49" i="3"/>
  <c r="S49" i="3" s="1"/>
  <c r="L180" i="3"/>
  <c r="S180" i="3" s="1"/>
  <c r="L280" i="3"/>
  <c r="S280" i="3" s="1"/>
  <c r="L27" i="3"/>
  <c r="S27" i="3" s="1"/>
  <c r="L235" i="3"/>
  <c r="S235" i="3" s="1"/>
  <c r="L175" i="3"/>
  <c r="S175" i="3" s="1"/>
  <c r="L120" i="3"/>
  <c r="S120" i="3" s="1"/>
  <c r="L260" i="3"/>
  <c r="S260" i="3" s="1"/>
  <c r="L292" i="3"/>
  <c r="S292" i="3" s="1"/>
  <c r="L113" i="3"/>
  <c r="S113" i="3" s="1"/>
  <c r="L224" i="3"/>
  <c r="S224" i="3" s="1"/>
  <c r="L79" i="3"/>
  <c r="S79" i="3" s="1"/>
  <c r="L70" i="3"/>
  <c r="S70" i="3" s="1"/>
  <c r="L205" i="3"/>
  <c r="S205" i="3" s="1"/>
  <c r="L149" i="3"/>
  <c r="S149" i="3" s="1"/>
  <c r="L89" i="3"/>
  <c r="S89" i="3" s="1"/>
  <c r="L33" i="3"/>
  <c r="S33" i="3" s="1"/>
  <c r="L249" i="3"/>
  <c r="S249" i="3" s="1"/>
  <c r="L43" i="3"/>
  <c r="S43" i="3" s="1"/>
  <c r="L165" i="3"/>
  <c r="S165" i="3" s="1"/>
  <c r="L276" i="3"/>
  <c r="S276" i="3" s="1"/>
  <c r="L141" i="3"/>
  <c r="S141" i="3" s="1"/>
  <c r="L114" i="3"/>
  <c r="S114" i="3" s="1"/>
  <c r="L177" i="3"/>
  <c r="S177" i="3" s="1"/>
  <c r="L124" i="3"/>
  <c r="S124" i="3" s="1"/>
  <c r="L50" i="3"/>
  <c r="S50" i="3" s="1"/>
  <c r="L297" i="3"/>
  <c r="S297" i="3" s="1"/>
  <c r="L107" i="3"/>
  <c r="S107" i="3" s="1"/>
  <c r="L215" i="3"/>
  <c r="S215" i="3" s="1"/>
  <c r="L65" i="3"/>
  <c r="S65" i="3" s="1"/>
  <c r="L187" i="3"/>
  <c r="S187" i="3" s="1"/>
  <c r="L157" i="3"/>
  <c r="S157" i="3" s="1"/>
  <c r="L153" i="3"/>
  <c r="S153" i="3" s="1"/>
  <c r="L91" i="3"/>
  <c r="S91" i="3" s="1"/>
  <c r="L137" i="3"/>
  <c r="S137" i="3" s="1"/>
  <c r="L40" i="3"/>
  <c r="S40" i="3" s="1"/>
  <c r="L161" i="3"/>
  <c r="S161" i="3" s="1"/>
  <c r="L272" i="3"/>
  <c r="S272" i="3" s="1"/>
  <c r="L134" i="3"/>
  <c r="S134" i="3" s="1"/>
  <c r="L242" i="3"/>
  <c r="S242" i="3" s="1"/>
  <c r="L28" i="3"/>
  <c r="S28" i="3" s="1"/>
  <c r="R80" i="3"/>
  <c r="R44" i="3"/>
  <c r="R29" i="3"/>
  <c r="R35" i="3"/>
  <c r="R55" i="3"/>
  <c r="R66" i="3"/>
  <c r="R73" i="3"/>
  <c r="L308" i="3"/>
  <c r="L311" i="3" s="1"/>
  <c r="S75" i="3" l="1"/>
  <c r="S57" i="3"/>
  <c r="S265" i="3"/>
  <c r="L84" i="3"/>
  <c r="L80" i="3"/>
  <c r="L225" i="3"/>
  <c r="L115" i="3"/>
  <c r="L298" i="3"/>
  <c r="L288" i="3"/>
  <c r="L230" i="3"/>
  <c r="L29" i="3"/>
  <c r="L129" i="3"/>
  <c r="L198" i="3"/>
  <c r="L103" i="3"/>
  <c r="L194" i="3"/>
  <c r="L219" i="3"/>
  <c r="L35" i="3"/>
  <c r="L121" i="3"/>
  <c r="L263" i="3"/>
  <c r="L213" i="3"/>
  <c r="L182" i="3"/>
  <c r="L283" i="3"/>
  <c r="L55" i="3"/>
  <c r="L168" i="3"/>
  <c r="L151" i="3"/>
  <c r="L44" i="3"/>
  <c r="L99" i="3"/>
  <c r="L109" i="3"/>
  <c r="L73" i="3"/>
  <c r="L247" i="3"/>
  <c r="L66" i="3"/>
  <c r="L294" i="3"/>
  <c r="R310" i="3"/>
  <c r="R312" i="3" s="1"/>
  <c r="R324" i="3" l="1"/>
  <c r="L310" i="3"/>
  <c r="Q323" i="3"/>
  <c r="L312" i="3" l="1"/>
  <c r="R323" i="3" l="1"/>
  <c r="R327" i="3"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<sst xmlns="http://schemas.openxmlformats.org/spreadsheetml/2006/main" count="1021" uniqueCount="621">
  <si>
    <t>ESTUDIOS, DISEÑOS A DETALLE, PERMISOS Y LICENCIAMIENTO DE LOS DIFERENTES EQUIPAMIENTOS PÚBLICOS PARA EL MUNICIPIO DE MOSQUERA CUNDINAMARCA</t>
  </si>
  <si>
    <t>OBJETO: CONSTRUCCIÓN DEL SALÓN COMUNAL EN EL BARRIO VILLA JENNY EN EL MUNICIPIO DE MOSQUERA CUNDINAMARCA</t>
  </si>
  <si>
    <t>Adicionalmente, cuando el Proceso de Contratación es estructurado por Precios Unitarios, la Entidad debe aplicar las notas 1, 2 y 3 del presente Formulario y las casillas de "Descripción", "Porcentaje" de la Administración, Imprevisto, Utilidad  y total  A.I.U.  resaltadas en color amarillo. Tratándose de otras modalidades de precio, la Entidad puede o no configurar los mismos aspectos.</t>
  </si>
  <si>
    <t>Nº</t>
  </si>
  <si>
    <t>ÍTEM DE PAGO /REF ICCU - APU</t>
  </si>
  <si>
    <t xml:space="preserve">ESPECIFICACIONES </t>
  </si>
  <si>
    <t>DESCRIPCIÓN</t>
  </si>
  <si>
    <t>UND.</t>
  </si>
  <si>
    <t>CANTIDAD</t>
  </si>
  <si>
    <t xml:space="preserve">VALOR TOTAL                                </t>
  </si>
  <si>
    <t>GENERAL</t>
  </si>
  <si>
    <t>PARTICULAR</t>
  </si>
  <si>
    <t>PRELIMINARES, DEMOLICIONES Y DESMONTE</t>
  </si>
  <si>
    <t>1.1</t>
  </si>
  <si>
    <t>1,1  - C</t>
  </si>
  <si>
    <t>CAMPAMENTO 18M2 EN TABLA, TEJA DE ETERNIT, INC. TRANS, MATERIALES</t>
  </si>
  <si>
    <t>UN</t>
  </si>
  <si>
    <t>1.2</t>
  </si>
  <si>
    <t>1,8  - C</t>
  </si>
  <si>
    <t>CERCA EN TELA VERDE H = 2.10 M</t>
  </si>
  <si>
    <t>ML</t>
  </si>
  <si>
    <t>1.3</t>
  </si>
  <si>
    <t>APU</t>
  </si>
  <si>
    <t>DESMONTE DE CANCHAS DE FÚTBOL Y MALLA (INCLUYE RETIRO)</t>
  </si>
  <si>
    <t>UND</t>
  </si>
  <si>
    <t>1.4</t>
  </si>
  <si>
    <t>DESMONTE DE REJA METÁLICA CERRAMIENTO (INCLUYE RETIRO)</t>
  </si>
  <si>
    <t>1.5</t>
  </si>
  <si>
    <t>1.30 - C</t>
  </si>
  <si>
    <t>DESCAPOTE A MAQUINA E=0.20 M, INC RETIRO</t>
  </si>
  <si>
    <t>M2</t>
  </si>
  <si>
    <t>1.6</t>
  </si>
  <si>
    <t>1,41  - C</t>
  </si>
  <si>
    <t>LOCALIZACIÓN Y REPLANTEO DE CIMIENTOS CON ELEMENTOS DE PRESCISIÓN</t>
  </si>
  <si>
    <t>1.7</t>
  </si>
  <si>
    <t>1,43  - C</t>
  </si>
  <si>
    <t>RED ELÉCTRICA PROVISIONAL L=50M</t>
  </si>
  <si>
    <t>1.8</t>
  </si>
  <si>
    <t>11,1  - C</t>
  </si>
  <si>
    <t>ACOMETIDA EN PVC 1/2" 5M. INC CHEQUE , REGISTRO, ACCESORIOS</t>
  </si>
  <si>
    <t>SUBTOTAL</t>
  </si>
  <si>
    <t>EXCAVACIONES Y RELLENOS</t>
  </si>
  <si>
    <t>2.1</t>
  </si>
  <si>
    <t>16,2  - C</t>
  </si>
  <si>
    <t>EXCAVACIONES VARIAS A MÁQUINA SIN CLASIFICAR (INCLUYE RETIRO DE SOBRANTES A UNA DISTANCIA MENOR DE 5 KM)</t>
  </si>
  <si>
    <t>M3</t>
  </si>
  <si>
    <t>2.2</t>
  </si>
  <si>
    <t>16,5  - C</t>
  </si>
  <si>
    <t>EXCAVACIÓN MANUAL EN CONGLOMERADO H=0.0-2.0 M (INCLUYE
RETIRO DE SOBRANTES A UNA DISTANCIA MENOR DE 5 KM)</t>
  </si>
  <si>
    <t>2.3</t>
  </si>
  <si>
    <t>16,8  - C</t>
  </si>
  <si>
    <t>RELLENO EN RECEBO COMÚN COMPACTADO MECÁNICAMENTE</t>
  </si>
  <si>
    <t>2.4</t>
  </si>
  <si>
    <t>1,6  - V</t>
  </si>
  <si>
    <t>TRANSPORTE DE MATERIALES PROV. DE EXPLANACIÓN, CANALES, PRESTAMOS, SOBREACARREOS Y DERRUMBES</t>
  </si>
  <si>
    <t>M3-KM</t>
  </si>
  <si>
    <t>ELEMENTOS ESTRUCTURALES</t>
  </si>
  <si>
    <t>3.1</t>
  </si>
  <si>
    <t>CIMENTACIONES Y ESTRUCTURA EN CONCRETO</t>
  </si>
  <si>
    <t>3.1.1</t>
  </si>
  <si>
    <t>4.29 - C</t>
  </si>
  <si>
    <t>BASE EN CONCRETO POBRE 1500 PSI</t>
  </si>
  <si>
    <t>3.1.2</t>
  </si>
  <si>
    <t>2,7  - C</t>
  </si>
  <si>
    <t>VIGA DE AMARRE EN CONCRETO 3500 PSI</t>
  </si>
  <si>
    <t>3.1.3</t>
  </si>
  <si>
    <t>2,8  - C</t>
  </si>
  <si>
    <t>ZAPATAS EN CONCRETO 3500 PSI</t>
  </si>
  <si>
    <t>3.1.4</t>
  </si>
  <si>
    <t>2,16  - C</t>
  </si>
  <si>
    <t>DADOS EN CONCRETO 3500PSI</t>
  </si>
  <si>
    <t>3.1.5</t>
  </si>
  <si>
    <t>4.22 - C</t>
  </si>
  <si>
    <t>ACERO FIGURADO 60000 PSI</t>
  </si>
  <si>
    <t>KG</t>
  </si>
  <si>
    <t>3.1.6</t>
  </si>
  <si>
    <t>4,4  - C</t>
  </si>
  <si>
    <t>CONCRETO CICLÓPEO 2000 PSI, 40% RAJÓN</t>
  </si>
  <si>
    <t>3.2</t>
  </si>
  <si>
    <t>ESTRUCTURA EN CONCRETO</t>
  </si>
  <si>
    <t>3.2.1</t>
  </si>
  <si>
    <t>3.2.2</t>
  </si>
  <si>
    <t>4,3  - C</t>
  </si>
  <si>
    <t>COLUMNAS 3500 PSI</t>
  </si>
  <si>
    <t>3.2.3</t>
  </si>
  <si>
    <t>4.28 - C</t>
  </si>
  <si>
    <t xml:space="preserve">VIGA CANAL EN CONCRETO 3500 PSI </t>
  </si>
  <si>
    <t>3.2.4</t>
  </si>
  <si>
    <t>4.26 - C</t>
  </si>
  <si>
    <t>VIGA AÉREA 3500 PSI</t>
  </si>
  <si>
    <t>3.2.5</t>
  </si>
  <si>
    <t>4,17  - C</t>
  </si>
  <si>
    <t>ENTREPISO PLACA MACIZA 3500 PSI E=0.15 M</t>
  </si>
  <si>
    <t>3.2.6</t>
  </si>
  <si>
    <t>4,16  - C</t>
  </si>
  <si>
    <t>ENTREPISO PLACA MACIZA 3500 PSI E=0.12 M</t>
  </si>
  <si>
    <t>3.2.7</t>
  </si>
  <si>
    <t>4.23 - C</t>
  </si>
  <si>
    <t>REFUERZO MALLA ELECTROSOLDADA</t>
  </si>
  <si>
    <t>3.2.8</t>
  </si>
  <si>
    <t>13,13  - C</t>
  </si>
  <si>
    <t>PLACA BASE CONCRETO 0.10 2500 PSI</t>
  </si>
  <si>
    <t>3.2.9</t>
  </si>
  <si>
    <t>13,14  - C</t>
  </si>
  <si>
    <t>PLACA BASE CONCRETO 0.15 2500 PSI</t>
  </si>
  <si>
    <t>ESTRUCTURA METÁLICA</t>
  </si>
  <si>
    <t>4.1</t>
  </si>
  <si>
    <t>10.23  - C</t>
  </si>
  <si>
    <t>CELOSÍA ANGULAR PARA POLIDEPORTIVO ASTM-36, INCLUYE: SOLDADURA, CORREAS, COLUMNAS, VIGAS DE AMARR, TORNILLERÍA, ANTICORROSIVO Y ESMALTE . CONTEMPLA TAMBIÉN:FABRICACIÓN, SUMINISTRO Y MONTAJE. NO INCLUYE , CONTRAVIENTOS, TENSORES Y PLATINERÍA</t>
  </si>
  <si>
    <t>INSTALACIONES ELÉCTRICAS</t>
  </si>
  <si>
    <t>5.1</t>
  </si>
  <si>
    <t>CANALIZACIONES</t>
  </si>
  <si>
    <t>5.1.1</t>
  </si>
  <si>
    <t>12,17  - C</t>
  </si>
  <si>
    <t xml:space="preserve">SUMINISTRO E INSTALACIÓN DE TUBERIA PVC 3/4" </t>
  </si>
  <si>
    <t>5.1.2</t>
  </si>
  <si>
    <t>21,14  - C</t>
  </si>
  <si>
    <t xml:space="preserve">SUMINISTRO E INSTALACIÓN DE TUBERIA EMT 3/4" </t>
  </si>
  <si>
    <t>5.1.3</t>
  </si>
  <si>
    <t>SUMINISTRO E INSTALACIÓN DE TUBERIA EMT 1-1/4"</t>
  </si>
  <si>
    <t>5.1.4</t>
  </si>
  <si>
    <t>SUMINISTRO E INSTALACIÓN DE CAJA DE PASO METÁLICA DE 15X15CM</t>
  </si>
  <si>
    <t>5.1.5</t>
  </si>
  <si>
    <t>SUMINISTRO E INSTALACIÓN DE CAJA DE PASO METÁLICA DE 30X30CM</t>
  </si>
  <si>
    <t>5.2</t>
  </si>
  <si>
    <t>SISTEMA ELECTRICO</t>
  </si>
  <si>
    <t>5.2.1</t>
  </si>
  <si>
    <t>TABLEROS ELECTRICOS</t>
  </si>
  <si>
    <t>5.2.1.1</t>
  </si>
  <si>
    <t>12,15  - C</t>
  </si>
  <si>
    <t>SUMINISTRO E INSTALACIÓN DE TABLERO TRIFASICO TWC DE 18 CIRCUITOS CON ESPACIO PARA TOTALIZADOR 3X40, (4) CUATRO PROTECIONES 2X20A, (8) OCHO PROTECCIONES 1X20A. TABLEROS TGN</t>
  </si>
  <si>
    <t>5.2.1.2</t>
  </si>
  <si>
    <t>SUMINISTRO E INSTALACIÓN DE TABLERO DE FABRICACION ESPECIAL T CONT, CON ESPACIO PARA TOTALIZADOR Y PROTECCIONES SEGÚN DU, INCLUYE PULSADORES ON-OFF Y RELES</t>
  </si>
  <si>
    <t>5.2.1.3</t>
  </si>
  <si>
    <t>CAJA PARA MEDIDOR TRIFÁSICO NORMA AE 305</t>
  </si>
  <si>
    <t>5.2.1.4</t>
  </si>
  <si>
    <t>12.20 - C</t>
  </si>
  <si>
    <t>LÍNEA A TIERRA TABLERO GENERAL (VARILLA COOPER WELL)</t>
  </si>
  <si>
    <t>5.2.2</t>
  </si>
  <si>
    <t>UPS</t>
  </si>
  <si>
    <t>5.2.2.1</t>
  </si>
  <si>
    <t>SUMINISTRO E INSTALACIÓN DE UPS MONOFÁSICA 208-120V, 1KVA, AUTONOMÍA 30 MINUTOS</t>
  </si>
  <si>
    <t>5.2.3</t>
  </si>
  <si>
    <t>CABLEADO ELECTRICO</t>
  </si>
  <si>
    <t>5.2.3.1</t>
  </si>
  <si>
    <t>SUMINISTRO E INSTALACIÓN DE SALIDA TOMACORRIENTE DOBLE CON POLO A TIERRA DE 20 A - 127V, PARA SALIDAS NORMALES, INCLUYE APARATO CON TAPA,  TUBERIA PVC 3/4", CABLE 3X12 AWG LSHZ 600V CU, CAJA DE PASO METALICA 2400</t>
  </si>
  <si>
    <t>5.2.3.2</t>
  </si>
  <si>
    <t>SUMINISTRO E INSTALACIÓN DETOMACORRIENTE DOBLE CON POLO A TIERRA DE 20 A - 127V, GFCI, INCLUYE APARATO CON TAPA,  TUBERIA PVC 3/4", CABLE 3X12 AWG LSHZ 600V CU, CAJA DE PASO METALICA 2400</t>
  </si>
  <si>
    <t>5.2.4</t>
  </si>
  <si>
    <t>SALIDAS ELECTRICAS</t>
  </si>
  <si>
    <t>5.2.4.1</t>
  </si>
  <si>
    <t>12,9  - C</t>
  </si>
  <si>
    <t>5.2.4.2</t>
  </si>
  <si>
    <t>5.3</t>
  </si>
  <si>
    <t>SISTEMA DE ILUMINACION</t>
  </si>
  <si>
    <t>5.3.1</t>
  </si>
  <si>
    <t>LUMINARIAS</t>
  </si>
  <si>
    <t>5.3.1.1</t>
  </si>
  <si>
    <t>12,3  - C</t>
  </si>
  <si>
    <t>SUMINISTRO E INSTALACIÓN DE SALIDA PARA LUMINARIA,  INCLUYE  TUBERIA PVC SCH40 3/4" PROMEDIO 3M, CABLE 3X12 AWG LSHZ 600V CU PROMEDIO 3M, CAJA DE PASO METALICA 2400, PRENSAESTOPA 1/2", CONECTOR RESORTE, CABLE ENCAUCHETADO 3X14AWG CU</t>
  </si>
  <si>
    <t>5.3.1.2</t>
  </si>
  <si>
    <t xml:space="preserve">SUMINISTRO E INSTALACIÓN DE LUMINARIA DE EMERGENCIA R1 2X1.6W </t>
  </si>
  <si>
    <t>5.3.1.3</t>
  </si>
  <si>
    <t>SUMINISTRO E INSTALACIÓN DE AVISO DE SALIDA EMERGENCIA</t>
  </si>
  <si>
    <t>5.3.1.4</t>
  </si>
  <si>
    <t>SUMINISTRO E INSTALACIÓN DE LUMINARIA HERMETICA 2X18W PC</t>
  </si>
  <si>
    <t>5.3.1.5</t>
  </si>
  <si>
    <t>SUMINISTRO E INSTALACIÓN DE LUMINARIA LED TIPO OJO DE BUEY ODB AVANTE CON PESTAÑA 15,8W</t>
  </si>
  <si>
    <t>5.3.1.6</t>
  </si>
  <si>
    <t>SUMINISTRO E INSTALACIÓN DE LUMINARIA TIPO SPOT COX RECTO</t>
  </si>
  <si>
    <t>5.3.1.7</t>
  </si>
  <si>
    <t>SUMINISTRO E INSTALACIÓN DE RIEL MAGNÉTICO PARA LUMINARIA SPOT COX RECTO</t>
  </si>
  <si>
    <t>5.3.1.8</t>
  </si>
  <si>
    <t>SUMINISTRO E INSTALACIÓN DE LUMINARIA LED TIPO EASY EKO II PREMIUM. LONGITUD= 2271MM.</t>
  </si>
  <si>
    <t>5.3.1.9</t>
  </si>
  <si>
    <t>SUMINISTRO E INSTALACIÓN DE LUMINARIA LED TIPO EASY EKO II PREMIUM. LONGITUD= 5649MM.</t>
  </si>
  <si>
    <t>5.3.1.10</t>
  </si>
  <si>
    <t>SUMINISTRO E INSTALACIÓN DE LUMINARIA MINI ANTORCHA COLUMNA</t>
  </si>
  <si>
    <t>5.3.1.11</t>
  </si>
  <si>
    <t>SUMINISTRO E INSTALACIÓN DE LUMINARIA LUZ INDIRECTA REDONDA 60</t>
  </si>
  <si>
    <t>5.3.1.12</t>
  </si>
  <si>
    <t xml:space="preserve">SUMINISTRO E INSTALACIÓN DE LUMINARIA REFLECTOR 75W </t>
  </si>
  <si>
    <t>5.3.2</t>
  </si>
  <si>
    <t>SUMINISTRO E INSTALACION SISTEMA DE CONTROL E INTERRUPTORES</t>
  </si>
  <si>
    <t>5.3.2.1</t>
  </si>
  <si>
    <t>5.3.2.2</t>
  </si>
  <si>
    <t>5.4</t>
  </si>
  <si>
    <t>SISTEMA DE COMUNICACIONES</t>
  </si>
  <si>
    <t>5.4.1</t>
  </si>
  <si>
    <t>INFRAESTRUCTURA</t>
  </si>
  <si>
    <t>5.4.1.1</t>
  </si>
  <si>
    <t>21,22  - C</t>
  </si>
  <si>
    <t>5.4.1.2</t>
  </si>
  <si>
    <t>21.48 -C</t>
  </si>
  <si>
    <t>5.4.1.3</t>
  </si>
  <si>
    <t>21,23  - C</t>
  </si>
  <si>
    <t>5.4.2</t>
  </si>
  <si>
    <t>CABLEADO ESTRUCTURADO</t>
  </si>
  <si>
    <t>5.4.2.1</t>
  </si>
  <si>
    <t>21.47 - C</t>
  </si>
  <si>
    <t>5.4.2.2</t>
  </si>
  <si>
    <t>21,28  - C</t>
  </si>
  <si>
    <t>5.4.2.3</t>
  </si>
  <si>
    <t>21,26  - C</t>
  </si>
  <si>
    <t>5.4.2.4</t>
  </si>
  <si>
    <t>21,27  - C</t>
  </si>
  <si>
    <t>5.4.3</t>
  </si>
  <si>
    <t>SALIDAS SISTEMA DE COMUNICACIONES</t>
  </si>
  <si>
    <t>5.4.3.1</t>
  </si>
  <si>
    <t>21,25  - C</t>
  </si>
  <si>
    <t>5.4.3.2</t>
  </si>
  <si>
    <t>5.4.3.3</t>
  </si>
  <si>
    <t>5.4.3.4</t>
  </si>
  <si>
    <t>21.10 - C</t>
  </si>
  <si>
    <t>5.5</t>
  </si>
  <si>
    <t>SISTEMA DE AUDIO Y VIDEO</t>
  </si>
  <si>
    <t>5.5.1</t>
  </si>
  <si>
    <t>21,5  - C</t>
  </si>
  <si>
    <t>5.5.2</t>
  </si>
  <si>
    <t>5.5.3</t>
  </si>
  <si>
    <t>21,7  - C</t>
  </si>
  <si>
    <t>5.5.4</t>
  </si>
  <si>
    <t>5.5.5</t>
  </si>
  <si>
    <t>5.5.6</t>
  </si>
  <si>
    <t>INSTALACIONES HIDROSANITARIAS</t>
  </si>
  <si>
    <t>6.1</t>
  </si>
  <si>
    <t>RED HIDRAULICA</t>
  </si>
  <si>
    <t>6.1.1</t>
  </si>
  <si>
    <t>11,27  - C</t>
  </si>
  <si>
    <t>RED SUMINISTRO PVC 1/2"</t>
  </si>
  <si>
    <t>6.1.2</t>
  </si>
  <si>
    <t>11.30 - C</t>
  </si>
  <si>
    <t>RED SUMINISTRO PVC 3/4"</t>
  </si>
  <si>
    <t>6.1.3</t>
  </si>
  <si>
    <t>11,26  - C</t>
  </si>
  <si>
    <t>RED SUMINISTRO PVC 1"</t>
  </si>
  <si>
    <t>6.1.4</t>
  </si>
  <si>
    <t>6.1.5</t>
  </si>
  <si>
    <t>11,25  - C</t>
  </si>
  <si>
    <t>RED SUMINISTRO PVC 1 1/2"</t>
  </si>
  <si>
    <t>6.1.6</t>
  </si>
  <si>
    <t>11,29  - C</t>
  </si>
  <si>
    <t>RED SUMINISTRO PVC 2"</t>
  </si>
  <si>
    <t>6.1.7</t>
  </si>
  <si>
    <t>6.1.8</t>
  </si>
  <si>
    <t>5.53 - C</t>
  </si>
  <si>
    <t>ANCLAJE 3/8" L=30CM</t>
  </si>
  <si>
    <t>6.1.9</t>
  </si>
  <si>
    <t>11,16  - C</t>
  </si>
  <si>
    <t>PUNTO HIDRÁULICO PVC-P/PARAL 1/2"</t>
  </si>
  <si>
    <t>6.1.10</t>
  </si>
  <si>
    <t>11,36  - C</t>
  </si>
  <si>
    <t>REGISTRO 1/2"</t>
  </si>
  <si>
    <t>6.1.11</t>
  </si>
  <si>
    <t>11,37  - C</t>
  </si>
  <si>
    <t>REGISTRO 3/4"</t>
  </si>
  <si>
    <t>6.1.12</t>
  </si>
  <si>
    <t>11,35  - C</t>
  </si>
  <si>
    <t>REGISTRO 1"</t>
  </si>
  <si>
    <t>6.1.13</t>
  </si>
  <si>
    <t>6.1.14</t>
  </si>
  <si>
    <t>11,38  - C</t>
  </si>
  <si>
    <t>REGISTRO 1 1/2"</t>
  </si>
  <si>
    <t>6.1.15</t>
  </si>
  <si>
    <t>6.1.16</t>
  </si>
  <si>
    <t>6.1.17</t>
  </si>
  <si>
    <t>6.1.18</t>
  </si>
  <si>
    <t>6.1.19</t>
  </si>
  <si>
    <t>11,45  - C</t>
  </si>
  <si>
    <t>TANQUE PLÁSTICO ELEVADO 1000 LT (INCLUYE ACCESORIOS E INSTALACIÓN)</t>
  </si>
  <si>
    <t>11,8  - C</t>
  </si>
  <si>
    <t>CONEXIÓN TANQUE ELEVADO PVC</t>
  </si>
  <si>
    <t>6.2</t>
  </si>
  <si>
    <t>RED DE AGUAS SANITARIAS</t>
  </si>
  <si>
    <t>6.2.1</t>
  </si>
  <si>
    <t>11,31  - C</t>
  </si>
  <si>
    <t>RED SANITARIA PVC-S 2"</t>
  </si>
  <si>
    <t>6.2.2</t>
  </si>
  <si>
    <t>11,32  - C</t>
  </si>
  <si>
    <t>RED SANITARIA PVC-S 3"</t>
  </si>
  <si>
    <t>6.2.3</t>
  </si>
  <si>
    <t>11,33  - C</t>
  </si>
  <si>
    <t>RED SANITARIA PVC-S 4"</t>
  </si>
  <si>
    <t>6.2.4</t>
  </si>
  <si>
    <t>RED SANITARIA PVC-S 8"</t>
  </si>
  <si>
    <t>6.2.5</t>
  </si>
  <si>
    <t>6.2.6</t>
  </si>
  <si>
    <t>6.2.7</t>
  </si>
  <si>
    <t>6.2.8</t>
  </si>
  <si>
    <t>6.2.9</t>
  </si>
  <si>
    <t>6.2.10</t>
  </si>
  <si>
    <t>6.2.11</t>
  </si>
  <si>
    <t>16,3  - C</t>
  </si>
  <si>
    <t>EXCAVACIÓN MANUAL ZANJA EN TIERRA H=1.0 M</t>
  </si>
  <si>
    <t>6.2.12</t>
  </si>
  <si>
    <t>16,9  - C</t>
  </si>
  <si>
    <t>RELLENO GRAVILLA DE RÍO COMPACTADO MECÁNICAMENTE</t>
  </si>
  <si>
    <t>6.2.13</t>
  </si>
  <si>
    <t>6.2.14</t>
  </si>
  <si>
    <t>16,7  - C</t>
  </si>
  <si>
    <t>RELLENO CON MATERIAL DEL SITIO COMPACTADO MECÁNICAMENTE</t>
  </si>
  <si>
    <t>6.2.15</t>
  </si>
  <si>
    <t>11,22  - C</t>
  </si>
  <si>
    <t>SALIDA SANITARIA PVC-S/SIFON 3"</t>
  </si>
  <si>
    <t>6.3</t>
  </si>
  <si>
    <t>RED DE AGUAS LLUVIAS</t>
  </si>
  <si>
    <t>6.3.1</t>
  </si>
  <si>
    <t>6.3.2</t>
  </si>
  <si>
    <t>6.3.3</t>
  </si>
  <si>
    <t>6.3.4</t>
  </si>
  <si>
    <t>3,25  - U</t>
  </si>
  <si>
    <t>6.3.5</t>
  </si>
  <si>
    <t>6.3.6</t>
  </si>
  <si>
    <t>6.3.7</t>
  </si>
  <si>
    <t>6.3.8</t>
  </si>
  <si>
    <t>6.3.9</t>
  </si>
  <si>
    <t>6.3.10</t>
  </si>
  <si>
    <t>6.3.11</t>
  </si>
  <si>
    <t>6.3.12</t>
  </si>
  <si>
    <t>CUBIERTA</t>
  </si>
  <si>
    <t>7.1</t>
  </si>
  <si>
    <t>7.28 - C</t>
  </si>
  <si>
    <t>TEJA TIPO SANDWICH 525-C CAL. 26, POLIURETANO INYECTADO 30MM</t>
  </si>
  <si>
    <t>7.2</t>
  </si>
  <si>
    <t>PERFIL C PERIMETRAL CUBIERTA EN ACERO GALVANIZADO (INCLUYE PINTURA)</t>
  </si>
  <si>
    <t>7.3</t>
  </si>
  <si>
    <t>7.18 - C</t>
  </si>
  <si>
    <t>CANAL EN LÁMINA GALVANIZADA CAL. 22; DS=50</t>
  </si>
  <si>
    <t>7.4</t>
  </si>
  <si>
    <t>7.33 - C</t>
  </si>
  <si>
    <t>FLANCHE EN LÁMINA GALVANIZADA CAL. 22; DS=20</t>
  </si>
  <si>
    <t>7.5</t>
  </si>
  <si>
    <t>AFINADO CUBIERTAS PLANAS EN MORTERO IMPERMEABILIZADO 1:4 E=0.03 M</t>
  </si>
  <si>
    <t>7.6</t>
  </si>
  <si>
    <t>7.37 - C</t>
  </si>
  <si>
    <t>BAJANTE EN LÁMINA GALVANIZADA CAL. 22; DS=40</t>
  </si>
  <si>
    <t>7.7</t>
  </si>
  <si>
    <t>MEDIA CAÑA EN MORTERO 1:3 IMPERMEABILIZADO</t>
  </si>
  <si>
    <t>7.8</t>
  </si>
  <si>
    <t>SUMINISTRO E INSTALACIÓN DE GÁRGOLA PREFABRICADA EN CONCRETO, DE DIMENSIONES 8 × 12 × 21 CM Y 4,5 CM DE PROFUNDIDAD</t>
  </si>
  <si>
    <t>7.9</t>
  </si>
  <si>
    <t>SUMINISTRO Y APLICACIÓN DE RECUBRIMIENTO IMPERMEABILIZANTE EN POLIUREA, APLICADO EN FRÍO</t>
  </si>
  <si>
    <t>7.10</t>
  </si>
  <si>
    <t>2,4  - U</t>
  </si>
  <si>
    <t xml:space="preserve">RELLENO TIPO 1 "GRAVILLA" </t>
  </si>
  <si>
    <t>PISOS Y BASES</t>
  </si>
  <si>
    <t>8.1</t>
  </si>
  <si>
    <t>13,4  - C</t>
  </si>
  <si>
    <t>ALISTADO PISOS 1:3, E=0.04</t>
  </si>
  <si>
    <t>8.2</t>
  </si>
  <si>
    <t>13,2  - C</t>
  </si>
  <si>
    <t>ALISTADO IMPERMEABILIZADO PISOS 1:3, E = 0.04</t>
  </si>
  <si>
    <t>MUROS, MAMPOSTERÍA Y PAÑETES</t>
  </si>
  <si>
    <t>9.1</t>
  </si>
  <si>
    <t>CONSTRUCCIÓN DE MURO EN LADRILLO ESTRUCTURAL DE PERFORACIÓN VERTICAL COLOR CAPUCHINO PREHIDROFUGADO O SIMILAR, TIPO 306, DE DIMENSIONES 29 × 6 × 14,5 CM, INCLUYENDO MORTERO DE PEGA Y RELLENO, REFUERZO EN GRAFIL SEGÚN ESPECIFICACIONES ESTRUCTURALES</t>
  </si>
  <si>
    <t>9.2</t>
  </si>
  <si>
    <t>CONSTRUCCIÓN DE MURO EN LADRILLO ESTRUCTURAL DE PERFORACIÓN VERTICAL COLOR CAPUCHINO O SIMILAR, TIPO 306, DE DIMENSIONES 29 × 6 × 14,5 CM, INCLUYENDO MORTERO DE PEGA Y RELLENO, REFUERZO EN GRAFIL SEGÚN ESPECIFICACIONES ESTRUCTURALES (LINEAL)</t>
  </si>
  <si>
    <t>9.3</t>
  </si>
  <si>
    <t>CONSTRUCCIÓN DE MURO EN LADRILLO ESTRUCTURAL DE PERFORACIÓN VERTICAL COLOR CAPUCHINO O SIMILAR APAREJO A SOGA, TIPO 306, DE DIMENSIONES 29 × 6 × 14,5 CM, INCLUYENDO MORTERO DE PEGA Y RELLENO, REFUERZO EN GRAFIL SEGÚN ESPECIFICACIONES ESTRUCTURALES (CELOSIA)</t>
  </si>
  <si>
    <t>9.4</t>
  </si>
  <si>
    <t>ALFAJÍA O BORDE INFERIOR - LADRILLO PORTANTE COLOR CAPUCHINO, HILADA PARADA INCLUYE CONCRETO 2500 PSI E= 0.15 M Y REFUERZO EN ACERO 60000 PSI</t>
  </si>
  <si>
    <t>9.5</t>
  </si>
  <si>
    <t>DINTEL O BORDE SUPERIOR - LADRILLO PORTANTE COLOR CAPUCHINO, HILADA PARADA INCLUYE CONCRETO 2500 PSI E= 0.15 M Y REFUERZO EN ACERO 60000 PSI</t>
  </si>
  <si>
    <t>9.6</t>
  </si>
  <si>
    <t>5.52 -C</t>
  </si>
  <si>
    <t>DOVELA, GROUTING 3000 PSI</t>
  </si>
  <si>
    <t>9.7</t>
  </si>
  <si>
    <t>9.8</t>
  </si>
  <si>
    <t>5.54 - C</t>
  </si>
  <si>
    <t xml:space="preserve">ANCLAJE 1/2" </t>
  </si>
  <si>
    <t>9.9</t>
  </si>
  <si>
    <t>18,1  - C</t>
  </si>
  <si>
    <t>IMPERMEABILIZACIÓN  FACHADA EN SIKA TRANSPARENTE 10 AÑOS O SIMILAR</t>
  </si>
  <si>
    <t>9.10</t>
  </si>
  <si>
    <t>5.50 - C</t>
  </si>
  <si>
    <t>LAVADA DE FACHADA</t>
  </si>
  <si>
    <t>9.11</t>
  </si>
  <si>
    <t>6,15  - C</t>
  </si>
  <si>
    <t>PAÑETE IMPERMEABILIZADO MUROS 1:3, E=1.5 CM</t>
  </si>
  <si>
    <t>9.12</t>
  </si>
  <si>
    <t>6,16  - C</t>
  </si>
  <si>
    <t>PAÑETE IMPERMEABILIZADO MUROS 1:3, E=1.5 CM (LINEAL)</t>
  </si>
  <si>
    <t>9.13</t>
  </si>
  <si>
    <t>6,3  - C</t>
  </si>
  <si>
    <t>FILOS O DILATACIONES S/MURO</t>
  </si>
  <si>
    <t>ACABADOS DE PISOS</t>
  </si>
  <si>
    <t>10.1</t>
  </si>
  <si>
    <t>SUMINISTRO E INSTALACIÓN DE PISO EN TABLÓN LISTÓN COLOR SAHARA, FORMATO 30,5 × 7,5 CM, EN ESPINA DE PESCADO, INCLUYE PREPARACIÓN DE SUPERFICIE, CORTES, ADHESIVO, BOQUILLAS Y LIMPIEZA FINAL.</t>
  </si>
  <si>
    <t>10.2</t>
  </si>
  <si>
    <t>SUMINISTRO E INSTALACIÓN DE PISO EN TABLÓN LISTÓN COLOR SAHARA, FORMATO 30,5 × 7,5 CM, EN ESPINA DE PESCADO, INCLUYE PREPARACIÓN DE SUPERFICIE, CORTES, ADHESIVO, BOQUILLAS Y LIMPIEZA FINAL. (LINEAL)</t>
  </si>
  <si>
    <t>11.3</t>
  </si>
  <si>
    <t>SUMINISTRO E INSTALACIÓN DE FRANJA DE CENEFAS EN TABLÓN LISTÓN LISO DE GRES COLOR MOCCA, FORMATO 30,5 × 7,5 CM, INCLUYENDO PREPARACIÓN DE SUPERFICIE, CORTES, ADHESIVO, BOQUILLAS Y LIMPIEZA FINAL. (LINEAL)</t>
  </si>
  <si>
    <t>11.4</t>
  </si>
  <si>
    <t>SUMINISTRO E INSTALACIÓN DE PISO EN GRES TABLÓN COLOR SAHARA, FORMATO 30 × 30 CM, INCLUYENDO PREPARACIÓN DE SUPERFICIE, CORTES, ADHESIVO, BOQUILLAS Y LIMPIEZA FINAL.</t>
  </si>
  <si>
    <t>ACABADOS DE MUROS</t>
  </si>
  <si>
    <t>11.1</t>
  </si>
  <si>
    <t>SUMINISTRO E INSTALACIÓN DE ENCHAPE EN PARED CON CERÁMICA FORMATO 30 × 60 CM COLOR NATAL BLANCO CU, INCLUYE PREPARACIÓN DE SUPERFICIE, NIVELACIÓN, CORTES, ADHESIVO TIPO PEGACOR, BOQUILLAS Y LIMPIEZA FINAL.</t>
  </si>
  <si>
    <t>11.2</t>
  </si>
  <si>
    <t>SUMINISTRO E INSTALACIÓN DE ENCHAPE EN PARED CON CERÁMICA FORMATO 30 × 60 CM COLOR NATAL BLANCO CU, INCLUYE PREPARACIÓN DE SUPERFICIE, NIVELACIÓN, CORTES, ADHESIVO TIPO PEGACOR, BOQUILLAS Y LIMPIEZA FINAL. (LINEAL)</t>
  </si>
  <si>
    <t>SUMINISTRO E INSTALACIÓN DE ENCHAPE TIPO FACHALETA, INCLUYE SUMINISTRO DE FACHALETA DE ARCILLA TIPO LADRILLO COLOR CAPUCHINO O SIMILAR, CORTES, NIVELACIÓN DE SUPERFICIE, ADHESIVO, LIMPIEZA FINAL Y ANDAMIAJE NECESARIO</t>
  </si>
  <si>
    <t>SUMINISTRO E INSTALACIÓN DE ENCHAPE TIPO FACHALETA, INCLUYE SUMINISTRO DE FACHALETA DE ARCILLA TIPO LADRILLO COLOR CAPUCHINO O SIMILAR, CORTES, NIVELACIÓN DE SUPERFICIE, ADHESIVO, LIMPIEZA FINAL Y ANDAMIAJE NECESARIO (LINEAL)</t>
  </si>
  <si>
    <t>PINTURAS</t>
  </si>
  <si>
    <t>12.1</t>
  </si>
  <si>
    <t>SUMINISTRO E INSTALACION ESTUCO Y VINILO ANTIBACTERIAL 3 MANOS MUROS (INCLUYE ESTUCO, MANOS EN PINTURA ANTIBACTERIAL, FILOS Y DILATACIONES)</t>
  </si>
  <si>
    <t>12.2</t>
  </si>
  <si>
    <t>SUMINISTRO E INSTALACION ESTUCO Y VINILO ANTIBACTERIAL 3 MANOS MUROS (INCLUYE ESTUCO, MANOS EN PINTURA ANTIBACTERIAL, FILOS Y DILATACIONES) (LINEAL)</t>
  </si>
  <si>
    <t>12.3</t>
  </si>
  <si>
    <t>18,8  - C</t>
  </si>
  <si>
    <t>ESMALTE SOBRE LÁMINA LINEAL</t>
  </si>
  <si>
    <t>APARATOS SANITARIOS, MESONES Y ACCESORIOS</t>
  </si>
  <si>
    <t>13.1</t>
  </si>
  <si>
    <t>SUMINISTRO E INSTALACIÓN DE KIT DE TAZA SANITARIA TIPO ENTRADA POSTERIOR CON VÁLVULA PUSH DE EMPOTRAR, INCLUYENDO ASIENTO SANITARIO, CONEXIONES, ANCLAJES Y PRUEBA DE FUNCIONAMIENTO.</t>
  </si>
  <si>
    <t>13.2</t>
  </si>
  <si>
    <t>SUMINISTRO E INSTALACIÓN DE LAVAMANOS PMR INSTITUCIONAL, REF. O12911001 O SIMILAR, INCLUYENDO SOPORTES, ANCLAJES, CONEXIONES HIDRÁULICAS Y SANITARIAS, SELLADO Y LIMPIEZA FINAL.</t>
  </si>
  <si>
    <t>13.3</t>
  </si>
  <si>
    <t>SUMINISTRO E INSTALACIÓN DE GRIFERÍA PARA LAVAMANOS INSTITUCIONAL TIPO PUSH PARA MONTAJE EN MESA, INCLUYENDO CONEXIONES Y PRUEBA DE FUNCIONAMIENTO.</t>
  </si>
  <si>
    <t>13.4</t>
  </si>
  <si>
    <t>SUMINISTRO E INSTALACIÓN DE REJILLA DE PISO CUADRADA ANTICUCARACHA EN ACERO INOXIDABLE DE 10×10 CM, TIPO INDUSTRIAL, INCLUYENDO CONEXIÓN A DESAGÜE Y SELLADO PERIMETRAL.</t>
  </si>
  <si>
    <t>13.5</t>
  </si>
  <si>
    <t>SUMINISTRO E INSTALACIÓN DE BARRA DE SEGURIDAD FIJA EN ACERO INOXIDABLE DE 24 PULGADAS, ACABADO CEPILLADO, INCLUYENDO ANCLAJES DE FIJACIÓN.</t>
  </si>
  <si>
    <t>13.6</t>
  </si>
  <si>
    <t>SUMINISTRO E INSTALACIÓN DE BARRA DE SEGURIDAD PLEGABLE EN ACERO INOXIDABLE, CON SISTEMA DE FIJACIÓN REFORZADA Y TOPE DE SEGURIDAD, INCLUYENDO ELEMENTOS DE ANCLAJE Y SELLO.</t>
  </si>
  <si>
    <t>13.7</t>
  </si>
  <si>
    <t>SUMINISTRO E INSTALACIÓN DE ESPEJO PARA BAÑO DE MOVILIDAD REDUCIDA EN CRISTAL DE 6 MM, CON SOPORTE OCULTO EN ALUMINIO INCLINADO SEGÚN NTC 6047, INCLUYENDO ELEMENTOS DE FIJACIÓN Y LIMPIEZA FINAL.</t>
  </si>
  <si>
    <t>13.8</t>
  </si>
  <si>
    <t>SUMINISTRO E INSTALACIÓN DE SECADOR DE MANOS AUTOMÁTICO EN ACERO INOXIDABLE, DE SECADO RÁPIDO, CON MONTAJE EN MURO.</t>
  </si>
  <si>
    <t>13.9</t>
  </si>
  <si>
    <t>SUMINISTRO E INSTALACIÓN DE DISPENSADOR DE JABÓN EMPOTRADO EN MESÓN, TIPO INSTITUCIONAL, CON VÁLVULA PUSH Y CUERPO EN ACERO INOXIDABLE, INCLUYENDO ANCLAJES Y SELLADO.</t>
  </si>
  <si>
    <t>13.10</t>
  </si>
  <si>
    <t>SUMINISTRO E INSTALACIÓN DE LLAVE DE JARDÍN CON ACABADO SATINADO, SISTEMA DE CIERRE TIPO BOLA, INCLUYENDO ACCESORIOS, CONEXIONES Y PRUEBA DE FUNCIONAMIENTO.</t>
  </si>
  <si>
    <t>13.11</t>
  </si>
  <si>
    <t>14,37  - C</t>
  </si>
  <si>
    <t>TAPA REGISTRO 20X20</t>
  </si>
  <si>
    <t>13.12</t>
  </si>
  <si>
    <t>SUMINISTRO E INSTALACIÓN DE PORTARROLLOS EN ACERO INOXIDABLE ANTIVANDÁLICO CON SISTEMA DE CIERRE CON LLAVE, INCLUYENDO ANCLAJES, TORNILLERÍA Y LIMPIEZA FINAL.</t>
  </si>
  <si>
    <t>13.13</t>
  </si>
  <si>
    <t>SUMINISTRO E INSTALACIÓN DE PAPELERA METÁLICA DE FABRICACIÓN EN ACERO INOXIDABLE DE 12 LITROS, CON SISTEMA DE FIJACIÓN EXTERNA ANTIVANDÁLICA, INCLUYENDO ELEMENTOS DE SUJECIÓN Y LIMPIEZA FINAL.</t>
  </si>
  <si>
    <t>13.14</t>
  </si>
  <si>
    <t>SUMINISTRO E INSTALACIÓN DE LAVAPLATOS EMPOTRADO EN MESÓN DE ACERO INOXIDABLE CON ACABADO SATINADO, INCLUYENDO CONEXIONES Y GRIFERIA, SELLO SANITARIO Y FIJACIONES.</t>
  </si>
  <si>
    <t>13.15</t>
  </si>
  <si>
    <t>5,8  - C</t>
  </si>
  <si>
    <t>MESONES EN CONCRETO 2500 PSI, E=0.1M (INC. REFUERZO)</t>
  </si>
  <si>
    <t>CARPINTERÍA EN ALUMINIO Y METÁLICA</t>
  </si>
  <si>
    <t>14.1</t>
  </si>
  <si>
    <t>SUMINISTRO E INSTALACIÓN DE PUERTA METÁLICA DE DIMENSIONES 2.55X0.90 M , HOJA ENTAMBORADA CON DILATACIONES (C 1/4 H), MONTANTE VENTILADO CON CELOSÍA EN LÁMINA, ACABADO CON ANTICORROSIVO Y PINTURA ELECTROSTÁTICA COLOR NEGRO RAL 9011, MARCO EN LÁMINA COLD ROLLED CALIBRE 16, EQUIPADA CON CERRADURA DE EMBUTIR CON MANIJA EN ACERO INOXIDABLE, CERROJO INSTITUCIONAL EN ACERO INOXIDABLE, LLAVE DE SIERRA Y BISAGRAS DE 4.5” × 4.5” ACABADO 26D. (PU-1)</t>
  </si>
  <si>
    <t>14.2</t>
  </si>
  <si>
    <t>SUMINISTRO E INSTALACIÓN DE PUERTA METÁLICA DE DIMENSIONES 2.55X1.00 M, HOJA ENTAMBORADA CON DILATACIONES (C 1/4 H), MONTANTE ENTAMBORADO EN LÁMINA, ACABADO CON ANTICORROSIVO Y PINTURA ELECTROSTÁTICA COLOR NEGRO RAL 9011, MARCO EN LÁMINA COLD ROLLED CALIBRE 16, EQUIPADA CON CERRADURA DE EMBUTIR CON MANIJA EN ACERO INOXIDABLE, CERROJO INSTITUCIONAL EN ACERO INOXIDABLE, LLAVE DE SIERRA Y BISAGRAS DE 4.5” × 4.5” ACABADO 26D. (PU-2)</t>
  </si>
  <si>
    <t>14.3</t>
  </si>
  <si>
    <t>SUMINISTRO E INSTALACIÓN DE PUERTA PLEGABLE DE DOS HOJAS TIPO REJILLA, FABRICADO EN LÁMINA METÁLICA, CON ACABADO ANTICORROSIVO Y PINTURA ESMALTE MATE COLOR NEGRO GRAFITO RAL 9011, INCLUYENDO MARCO, BISAGRAS REFORZADAS, CERRADURA, TOPE DE APERTURA, ANCLAJES Y LIMPIEZA FINAL. (PU-5)</t>
  </si>
  <si>
    <t>14.4</t>
  </si>
  <si>
    <t>SUMINISTRO E INSTALACIÓN DE DIVISIÓN DE VIDRIO LAMINADO 4+4MM CON PUERTA BATIENTE EN ALUMINIO ANODIZADO COLOR CHAMPAGNE Y VIDRIO TRANSPARENTE, CON PERFILERÍA DE ALUMINIO ANODIZADO, VIDRIO LAMINADO 4+4 MM, MANIJA EMBUTIR TIPO CLÁSICA EN ACABADO ANODIZADO CHAMPAGNE Y BISAGRAS DE ALUMINIO DE 4”, INCLUYENDO ANCLAJES, FIJACIONES, HERRAJES Y LIMPIEZA FINAL. (DI-1)</t>
  </si>
  <si>
    <t>14.5</t>
  </si>
  <si>
    <t>SUMINISTRO E INSTALACIÓN DE MURO CORTINA EN PERFILERÍA DE ALUMINIO ANODIZADO TRÁFICO PESADO CON MONTANTE SUPERIOR EN REJILLA DE ALUMINIO ANODIZADO Y PAÑOS VIDRIADOS FIJOS/PROYECTANTES EN VIDRIO TEMPLADO LAMINADO 4+4 CON PUERTA BATIENTE DOBLE EN ALUMINIO ANODIZADO COLOR CHAMPAGNE Y VIDRIO TRANSPARENTE , INCLUYE FIJACIONES, BURLETES EPDM, SELLADO CON SILICONA NEUTRA Y LIMPIEZA FINAL. (MC-1)</t>
  </si>
  <si>
    <t>14.6</t>
  </si>
  <si>
    <t>SUMINISTRO E INSTALACIÓN DE MURO CORTINA EN PERFILERÍA DE ALUMINIO ANODIZADO TRÁFICO PESADO CON MONTANTE SUPERIOR EN REJILLA DE ALUMINIO ANODIZADO Y PAÑOS VIDRIADOS FIJOS/PROYECTANTES EN VIDRIO TEMPLADO LAMINADO 4+4 CON PUERTA BATIENTE DOBLE EN ALUMINIO ANODIZADO COLOR CHAMPAGNE Y VIDRIO TRANSPARENTE , INCLUYE FIJACIONES, BURLETES EPDM, SELLADO CON SILICONA NEUTRA Y LIMPIEZA FINAL. (MC-2)</t>
  </si>
  <si>
    <t>14.7</t>
  </si>
  <si>
    <t>SUMINISTRO E INSTALACIÓN DE MURO CORTINA EN PERFILERÍA DE ALUMINIO ANODIZADO TRÁFICO PESADO CON MONTANTE SUPERIOR EN REJILLA DE ALUMINIO ANODIZADO Y PAÑOS VIDRIADOS FIJOS/PROYECTANTES EN VIDRIO TEMPLADO LAMINADO 4+4 CON PUERTA BATIENTE DOBLE EN ALUMINIO ANODIZADO COLOR CHAMPAGNE Y VIDRIO TRANSPARENTE , INCLUYE FIJACIONES, BURLETES EPDM, SELLADO CON SILICONA NEUTRA Y LIMPIEZA FINAL. (MC-3)</t>
  </si>
  <si>
    <t>14.8</t>
  </si>
  <si>
    <t>SUMINISTRO E INSTALACIÓN DE MURO CORTINA EN PERFILERÍA DE ALUMINIO ANODIZADO TRÁFICO PESADO CON MONTANTE SUPERIOR EN REJILLA DE ALUMINIO ANODIZADO Y PAÑOS VIDRIADOS FIJOS/PROYECTANTES EN VIDRIO TEMPLADO LAMINADO 4+4 CON PUERTA BATIENTE DOBLE EN ALUMINIO ANODIZADO COLOR CHAMPAGNE Y VIDRIO TRANSPARENTE , INCLUYE FIJACIONES, BURLETES EPDM, SELLADO CON SILICONA NEUTRA Y LIMPIEZA FINAL. (MC-4)</t>
  </si>
  <si>
    <t>14.9</t>
  </si>
  <si>
    <t>SUMINISTRO E INSTALACIÓN DE MURO CORTINA EN PERFILERÍA DE ALUMINIO ANODIZADO TRÁFICO PESADO CON MONTANTE SUPERIOR EN REJILLA DE ALUMINIO ANODIZADO Y PAÑOS VIDRIADOS FIJOS/PROYECTANTES EN VIDRIO TEMPLADO LAMINADO 4+4 CON PUERTA BATIENTE DOBLE EN ALUMINIO ANODIZADO COLOR CHAMPAGNE Y VIDRIO TRANSPARENTE , INCLUYE FIJACIONES, BURLETES EPDM, SELLADO CON SILICONA NEUTRA Y LIMPIEZA FINAL. (MC-5)</t>
  </si>
  <si>
    <t>14.10</t>
  </si>
  <si>
    <t>SUMINISTRO E INSTALACIÓN DE VENTANA  DE DIMENSIONES 2.55X0.90 M EN PERFILERÍA DE ALUMINIO ANODIZADO  TRÁFICO PESADO CON MONTANTE SUPERIOR Y PAÑOS VIDRIADOS FIJOS/PROYECTANTES EN VIDRIO TEMPLADO LAMINADO 4+4 , INCLUYE FIJACIONES, BURLETES EPDM, SELLADO CON SILICONA NEUTRA Y LIMPIEZA FINAL. (VT-1)</t>
  </si>
  <si>
    <t>14.11</t>
  </si>
  <si>
    <t>SUMINISTRO E INSTALACIÓN DE VENTANA DE DIMENSIONES 2.55X0.90 M EN PERFILERÍA DE ALUMINIO ANODIZADO  TRÁFICO PESADO CON MONTANTE SUPERIOR Y PAÑOS VIDRIADOS FIJOS/PROYECTANTES EN VIDRIO TEMPLADO LAMINADO 4+4 , INCLUYE FIJACIONES, BURLETES EPDM, SELLADO CON SILICONA NEUTRA Y LIMPIEZA FINAL. (VT-2)</t>
  </si>
  <si>
    <t>14.12</t>
  </si>
  <si>
    <t>SUMINISTRO E INSTALACIÓN DE VENTANA  DE DIMENSIONES 2.55X0.90 MEN PERFILERÍA DE ALUMINIO ANODIZADO  TRÁFICO PESADO CON MONTANTE SUPERIOR Y PAÑOS VIDRIADOS FIJOS/PROYECTANTES EN VIDRIO TEMPLADO LAMINADO 4+4 , INCLUYE FIJACIONES, BURLETES EPDM, SELLADO CON SILICONA NEUTRA Y LIMPIEZA FINAL. (VT-3)</t>
  </si>
  <si>
    <t>14.13</t>
  </si>
  <si>
    <t>SUMINISTRO E INSTALACIÓN DE VENTANA  DE DIMENSIONES 2.55X0.90 M TIPO REJILLA EN ALUMINIO ANODIZADO CON PERFILERÍA DE ALUMINIO ANODIZADO TRAFICO PESADO DE ALTA RESISTENCIA, SELLADO CON SILICONA NEUTRA Y LIMPIEZA FINAL. (VT-4)</t>
  </si>
  <si>
    <t>14.14</t>
  </si>
  <si>
    <t>SUMINISTRO E INSTALACIÓN DE LAMINA MICROPERFORADA EN ACERO COLD ROLLED CAL 16 CON ACABADO ANTICORROSIVO Y PINTURA ESMALTE MATE COLOR NEGRO GRAFITO RAL 9011</t>
  </si>
  <si>
    <t>CARPINTERÍA EN MADERA</t>
  </si>
  <si>
    <t>15.1</t>
  </si>
  <si>
    <t>SUMINISTRO E INSTALACIÓN DE PUERTA ENTAMBORADA EN MADERA, CON HOJA EN TRIPLEX ACABADO EN LACA CATALIZADA MATE, INCLUYENDO CERRADURA DE EMBUTIR CON MANIJA EN ACERO INOXIDABLE, CERROJO INSTITUCIONAL, LLAVE DE SIERRA, BISAGRAS, MARCO, FIJACIONES, HERRAJES Y LIMPIEZA FINAL. (PU-2)</t>
  </si>
  <si>
    <t>OBRAS EXTERIORES, URBANISMO Y CERRAMIENTO</t>
  </si>
  <si>
    <t>16.1</t>
  </si>
  <si>
    <t>16,12  - C</t>
  </si>
  <si>
    <t>SUBBASE GRANULAR (NORMA INVIAS 320)</t>
  </si>
  <si>
    <t>16.2</t>
  </si>
  <si>
    <t>16,13  - C</t>
  </si>
  <si>
    <t>BASE GRANULAR  (NORMA INVIAS 330)</t>
  </si>
  <si>
    <t>16.3</t>
  </si>
  <si>
    <t>4.42 - V</t>
  </si>
  <si>
    <t xml:space="preserve">SUMINISTRO  E  INSTALACIÓN  DE  GEOTEXTIL NT 2500 (ESTABILIZACIÓN, FILTRO Y SEPARACIÓN) </t>
  </si>
  <si>
    <t>16.4</t>
  </si>
  <si>
    <t>SUMINISTRO E INSTALACIÓN DE BORDILLO PREFABRICADO EN CONCRETO DE 10 CM DE ALTURA, INCLUYENDO EXCAVACIÓN, CAMA DE APOYO, ALINEACIÓN, NIVELACIÓN, JUNTAS Y LIMPIEZA FINAL.</t>
  </si>
  <si>
    <t>16.5</t>
  </si>
  <si>
    <t>SUMINISTRO E INSTALACIÓN DE BLOQUE ECOLÓGICO EN CEMENTO TIPO 8, COLOR GRIS O SIMILAR, INCLUYENDO PREPARACIÓN DE BASE, CAMA DE APOYO EN ARENA, NIVELACIÓN, AJUSTES PERIMETRALES Y COMPACTACIÓN FINAL.</t>
  </si>
  <si>
    <t>16.6</t>
  </si>
  <si>
    <t>SUMINISTRO E INSTALACIÓN DE BLOQUE DE CEMENTO MACIZO RECTANGULAR TIPO 6 (MULTICOLOR) O SIMILAR, INCLUYENDO PREPARACIÓN DE BASE, CAMA DE ARENA, COLOCACIÓN, NIVELACIÓN, CORTES PERIMETRALES, SELLADO DE JUNTAS Y LIMPIEZA FINAL.</t>
  </si>
  <si>
    <t>16.7</t>
  </si>
  <si>
    <t>5,9  - U</t>
  </si>
  <si>
    <t>CAÑUELA PREFABRICADA TIPO A-120</t>
  </si>
  <si>
    <t>16.8</t>
  </si>
  <si>
    <t>7,2  - U</t>
  </si>
  <si>
    <t>MARCA VIAL CON PINTURA EN FRÍO</t>
  </si>
  <si>
    <t>16.9</t>
  </si>
  <si>
    <t>6,13  - U</t>
  </si>
  <si>
    <t>CICLOPARQUEADERO M100 TIPO 1</t>
  </si>
  <si>
    <t>16.10</t>
  </si>
  <si>
    <t xml:space="preserve">6.10 - U </t>
  </si>
  <si>
    <t>CANECA EN ACERO INOXIDABLE TIPO BARCELONA</t>
  </si>
  <si>
    <t>16.11</t>
  </si>
  <si>
    <t>16.12</t>
  </si>
  <si>
    <t>16.13</t>
  </si>
  <si>
    <t>16.14</t>
  </si>
  <si>
    <t>SUMINISTRO E INSTALACIÓN DE PORTÓN BATIENTE DE DOS HOJAS ENTAMBORADAS CON DILATACIONES (C 1/4 H), FABRICADO EN LÁMINA METÁLICA, CON ACABADO ANTICORROSIVO Y PINTURA ESMALTE MATE COLOR NEGRO GRAFITO RAL 9011, INCLUYENDO MARCO, BISAGRAS REFORZADAS, CERRADURA, TOPE DE APERTURA, ANCLAJES Y LIMPIEZA FINAL. (VEHICULAR)</t>
  </si>
  <si>
    <t>16.15</t>
  </si>
  <si>
    <t>SUMINISTRO E INSTALACIÓN DE PORTÓN BATIENTE DE DOS HOJAS ENTAMBORADAS CON DILATACIONES (C 1/4 H), FABRICADO EN LÁMINA METÁLICA, CON ACABADO ANTICORROSIVO Y PINTURA ESMALTE MATE COLOR NEGRO GRAFITO RAL 9011, INCLUYENDO MARCO, BISAGRAS REFORZADAS, CERRADURA, TOPE DE APERTURA, ANCLAJES Y LIMPIEZA FINAL. (PEATONAL)</t>
  </si>
  <si>
    <t>PORTICO DE FACHADA</t>
  </si>
  <si>
    <t>17.1</t>
  </si>
  <si>
    <t>10,23  - C</t>
  </si>
  <si>
    <t>17.2</t>
  </si>
  <si>
    <t>SUMINISTRO E INSTALACIÓN DE REVESTIMIENTO EN LAMINADO DE ALTA PRESIÓN (HPL) SÓLIDO FENÓLICO, FABRICADO CON FIBRAS CELULÓSICAS IMPREGNADAS EN RESINAS TERMOESTABLES, INCLUYENDO ANCLAJES, ESTRUCTURA DE FIJACION, ADHESIVOS, FIJACIONES, EMPATES, SELLADO PERIMETRAL Y LIMPIEZA FINAL, CON ACABADO DECORATIVO SEGÚN COLOR Y TEXTURA APROBADA EN OBRA.</t>
  </si>
  <si>
    <t>17.3</t>
  </si>
  <si>
    <t>SUMINISTRO E INSTALACIÓN DE AVISO DE IDENTIFICACIÓN DEL PROYECTO, EN LETRAS RECORTADAS DE LÁMINA DE ALUMINIO, CON DILATADORES EN ACERO INOXIDABLE Y SISTEMA DE RETROILUMINACIÓN LED. INCLUYE ESTRUCTURA DE SOPORTE, CABLEADO, PRUEBAS DE FUNCIONAMIENTO, MANO DE OBRA, MATERIALES, EQUIPOS, HERRAMIENTAS Y LIMPIEZA FINAL DEL ÁREA INTERVENIDA.</t>
  </si>
  <si>
    <t>PAISAJISMO</t>
  </si>
  <si>
    <t>18.1</t>
  </si>
  <si>
    <t>6,7  - V</t>
  </si>
  <si>
    <t>EMPRADIZACIÓN (INCLUYE 10 CM DE TIERRA NEGRA)</t>
  </si>
  <si>
    <t>18.2</t>
  </si>
  <si>
    <t>SUMINISTRO Y SIEMBRA DE JARDÍN VERDE CON PLANTAS DECORATIVAS, (DIETES IRIDIOIDES ) PARA DISEÑO DE PAISAJISMO, INCLUYENDO PREPARACIÓN DEL TERRENO, NIVELACIÓN, FERTILIZACIÓN Y RIEGO INICIAL H= 0.60 M</t>
  </si>
  <si>
    <t>18.3</t>
  </si>
  <si>
    <t>SUMINISTRO Y PLANTACIÓN DE ÁRBOL ESPECIE YARUMO PLATEADO (MYRCIA POPAYANENSIS), INCLUYENDO SUSTRATO, ABONO ORGÁNICO, RIEGO y MANTENIMIENTO H=1.5M</t>
  </si>
  <si>
    <t>18.4</t>
  </si>
  <si>
    <t>SUMINISTRO Y PLANTACIÓN DE ÁRBOL ESPECIE GUAYACÁN (TABEBUIA CHRYSANTHA), INCLUYENDO SUSTRATO, ABONO ORGÁNICO, RIEGO Y MANTENIMIENTO INICIAL. H=1.5M</t>
  </si>
  <si>
    <t>ASEO</t>
  </si>
  <si>
    <t>19.1</t>
  </si>
  <si>
    <t>EJECUCIÓN DE ASEO Y LIMPIEZA FINAL DE OBRA, INCLUYENDO RETIRO DE ESCOMBROS Y RESIDUOS, BARRIDO, LAVADO DE SUPERFICIES, PULIDO DE VIDRIOS AMBAS CARAS, DESINFECCIÓN DE ÁREAS, RECOLECCIÓN Y DISPOSICIÓN EN SITIO AUTORIZADO, ASÍ COMO ENTREGA DE ÁREAS LIBRES DE POLVO Y EN CONDICIONES ÓPTIMAS PARA SU USO. INCLUYE MANO DE OBRA, MATERIALES, EQUIPOS, HERRAMIENTAS Y DISPOSICIÓN FINAL.</t>
  </si>
  <si>
    <t>19.2</t>
  </si>
  <si>
    <t xml:space="preserve">EJECUCIÓN DE ASEO Y LIMPIEZA FINAL DE OBRA EN ZONAS EXTERIORES, TALES COMO PARQUEADEROS, ANDENES, RAMPAS Y ACCESOS, INCLUYENDO BARRIDO MECÁNICO/MANUAL, HIDROLAVADO A PRESIÓN, DESENGRASE DE MANCHAS DE ACEITE, RETIRO DE RESTOS DE OBRA Y RESIDUOS, LIMPIEZA DE BORDILLOS Y REJILLAS/CAPTACIONES PLUVIALES, RECOLECCIÓN, CARGUE, TRANSPORTE Y DISPOSICIÓN EN SITIO AUTORIZADO. </t>
  </si>
  <si>
    <t>TRAMITES Y CONEXIONES FINALES</t>
  </si>
  <si>
    <t>20.1</t>
  </si>
  <si>
    <t>20.2</t>
  </si>
  <si>
    <t>20.3</t>
  </si>
  <si>
    <t>20.4</t>
  </si>
  <si>
    <t>20.5</t>
  </si>
  <si>
    <t>PLANOS AS BUILT</t>
  </si>
  <si>
    <t>20.6</t>
  </si>
  <si>
    <t>TRAMITES DE ENERGIZACIÓN DEL PROYECTO</t>
  </si>
  <si>
    <t>20.7</t>
  </si>
  <si>
    <t>CERTIFICADOS RETIE (DISTRIBUCIÓN Y USO FINAL)</t>
  </si>
  <si>
    <t>20.8</t>
  </si>
  <si>
    <t>PRUEBAS HIDROSTATICAS</t>
  </si>
  <si>
    <t>SUBTOTAL OBRA (INCLUYE AIU)</t>
  </si>
  <si>
    <t>SUBTOTAL TRAMITES Y CONEXIONES FINALES (INCLUYE IVA)</t>
  </si>
  <si>
    <t>VALOR TOTAL</t>
  </si>
  <si>
    <r>
      <rPr>
        <b/>
        <sz val="10"/>
        <rFont val="Arial"/>
        <family val="2"/>
      </rPr>
      <t xml:space="preserve">NOTA 1: </t>
    </r>
    <r>
      <rPr>
        <sz val="10"/>
        <rFont val="Arial"/>
        <family val="2"/>
      </rPr>
      <t xml:space="preserve"> Se debe tener en cuenta que el PRECIO UNITARIO DE OBRA incluye el valor de A.I.U y el PRECIO UNITARIO TRAMITES Y CONEXIÓN FINALES incluye el valor del IVA </t>
    </r>
  </si>
  <si>
    <t>DESCRIPCION</t>
  </si>
  <si>
    <t>PORCENTAJE</t>
  </si>
  <si>
    <r>
      <rPr>
        <b/>
        <sz val="10"/>
        <rFont val="Arial"/>
        <family val="2"/>
      </rPr>
      <t>NOTA 2</t>
    </r>
    <r>
      <rPr>
        <sz val="10"/>
        <rFont val="Arial"/>
        <family val="2"/>
      </rPr>
      <t xml:space="preserve">: Cuando la fracción decimal del peso sea  igual o superior a 5 se aproximará por exceso al número entero siguiente del peso y cuando la fracción decimal del peso sea inferior a 5 se aproximará por defecto al número entero del peso. </t>
    </r>
  </si>
  <si>
    <t>ADMINISTRACIÓN</t>
  </si>
  <si>
    <t>A=</t>
  </si>
  <si>
    <r>
      <rPr>
        <b/>
        <sz val="10"/>
        <rFont val="Arial"/>
        <family val="2"/>
      </rPr>
      <t>NOTA 3:</t>
    </r>
    <r>
      <rPr>
        <sz val="10"/>
        <rFont val="Arial"/>
        <family val="2"/>
      </rPr>
      <t xml:space="preserve"> El A.I.U y su discriminación deben estar en porcentaje (%). </t>
    </r>
  </si>
  <si>
    <t>IMPREVISTO</t>
  </si>
  <si>
    <t>I=</t>
  </si>
  <si>
    <t>UTILIDAD</t>
  </si>
  <si>
    <t>U=</t>
  </si>
  <si>
    <t>TOTAL A.I.U</t>
  </si>
  <si>
    <t>A.I.U.=</t>
  </si>
  <si>
    <t>SUMINISTRO E INSTALACIÓN DE INTERRUPTOR SENCILLO, INCLUYE APARATO CON TAPA,  TUBERIA PVC 3/4" PROMEDIO 3M, CABLE 3X12 AWG LSHZ 600V CU PROMEDIO 3M, CAJA DE PASO METALICA 5800, CONECTOR RESORTE</t>
  </si>
  <si>
    <t>SUMINISTRO E INSTALACIÓN DE INTERRUPTOR TRIPLE, INCLUYE APARATO CON TAPA,  TUBERIA PVC 3/4" PROMEDIO 3M, CABLE 3X12 AWG LSHZ 600V CU PROMEDIO 3M, CAJA DE PASO METALICA 5800, CONECTOR RESORTE</t>
  </si>
  <si>
    <t xml:space="preserve">SUMINISTRO E INSTALACIÓN DE GABINETE TIPO RACK 11U DE MONTAJE EN PARED INCLUYE (1) ORGANIZADORES HORIZONTAL ACCESORIOS DE ANCLAJE Y FIJACION, </t>
  </si>
  <si>
    <t>SUMINISTRO E INSTALACIÓN DE BANDEJA PARA FIBRA OPTICA INCLUYE ACCESORIOS DE ANCLAJE Y FIJACION</t>
  </si>
  <si>
    <t>SUMINISTRO E INSTALACIÓN DE PATCH PANEL PREEMSAMBLADO 18 PUERTOS CATEGORIA 6A</t>
  </si>
  <si>
    <t>SUMINISTRO E INSTALACIÓN DE FIBRA OPTICA OM3 SEIS PARES TIPO INTERIOR</t>
  </si>
  <si>
    <t>SUMINISTRO E INSTALACIÓN DE CABLE UTP CATEGORIA 6A LSHZ</t>
  </si>
  <si>
    <t>SUMINISTRO E INSTALACIÓN DE PATCH CORD UTP CATEGORIA 6A 3FT</t>
  </si>
  <si>
    <t>SUMINISTRO E INSTALACIÓN DE PATCH CORD UTP CATEGORIA 6A 5FT</t>
  </si>
  <si>
    <t>SUMINISTRO E INSTALACIÓN DE PUNTOS DE RED CABLEADOS SENCILLOS, CATEGORÍA 6A, INCLUYE CONECTORES Y FACEPLATE IDENTIFICADO, TUBERIA PVC 3/4", CAJA DE PASO METALICA 2400</t>
  </si>
  <si>
    <t>SUMINISTRO E INSTALACIÓN DE PUNTOS DE RED CABLEADOS DOBLE, CATEGORÍA 6A, INCLUYE CONECTORES Y FACEPLATE IDENTIFICADO, TUBERIA PVC 3/4", CAJA DE PASO METALICA 2400</t>
  </si>
  <si>
    <t>SUMINISTRO E INSTALACIÓN DE ACCESS POINT TECNOLOGIA DUAL U6+ DE TECHO, INCLUE DISPOSITIVO, FACEPLATE SENCILLO, JACK CAT 6A, TUBERIA PVC SCH40 3/4"</t>
  </si>
  <si>
    <t>SUMINISTRO E INSTALACIÓN DE SALIDA PARA TOMA XLR, INLCUYE APARATO TUBERIA PVC 3/4", CAJA DE PASO METALICA 2400</t>
  </si>
  <si>
    <t>SUMINISTRO E INSTALACIÓN DE PARLANTE 15CM DIAMETRO 25W 82DB DE INCRUSTAR, INCLUYE ACCESORIOS DE ANCLAJE Y FJIACION</t>
  </si>
  <si>
    <t>SUMINISTRO E INSTALACIÓN DE SALIDA PARA AUDIO, INCLUYE TUBERIA PVC SCH40 3/4", CAJA DE PASO METALICA 2400</t>
  </si>
  <si>
    <t>SUMINISTRO E INSTALACIÓN DE AMPLIFICADOR DE SONIDO, INCLUYE ACCESORIOS DE ANCLAJE Y FJIACION</t>
  </si>
  <si>
    <t>SUMINISTRO E INSTALACIÓN DE CABLE POLARIZADO PARA AUDIO 2X14</t>
  </si>
  <si>
    <t>SUMINISTRO E INSTALACIÓN DE SALIDA HDMI, INCLUYE TUBERIA PVC SCH40 1-1/4", CAJA DE PASO METALICA 2400</t>
  </si>
  <si>
    <t>SUMINISTRO E INSTALACIÓN DE CABLE HDMI 40M</t>
  </si>
  <si>
    <t>SUMINISTRO E INSTALACIÓN DE TUBERÍA 1-1/4" PVC RDE 21</t>
  </si>
  <si>
    <t>SUMINISTRO E INSTALACIÓN VÁLVULA DE COMPUERTA DE 1-1/4"</t>
  </si>
  <si>
    <t>SUMINISTRO E INSTALACIÓN VÁLVULA DE PIE DE 1-1/2"</t>
  </si>
  <si>
    <t>SUMINISTRO E INSTALACIÓN DE CHEQUE DE 1 A 1-1/2"</t>
  </si>
  <si>
    <t>SUMINISTRO E INSTALACIÓN DE UNIVERSAL DE 1 A 1-1/2"</t>
  </si>
  <si>
    <t>SUMINISTRO E INSTALACIÓN DE BOMBAS  PARA AGUA AGUA POTABLE H=27,4 MCA ; Q =2,5 LPS) (H=39 PSI; Q = 40 GPM), (PRESIÓN CONSTANTE CON VARIADOR DE VELOCIDAD) INCLUYE SISTEMA ELÉCTRICO INCLUYE SENSORES DE NIVEL, HIDRONEUMATICO DE 60 LITROS Y ACCESORIOS</t>
  </si>
  <si>
    <t>SUMINISTRO E INSTALACIÓN TUBERÍA VENTILACIÓN DE 2"</t>
  </si>
  <si>
    <t>CAJAS DE INSPECCIÓN DE 60X60 INCLUYE TAPA CON MARCO</t>
  </si>
  <si>
    <t>PUNTOS SANITARIOS Y ACCESORIOS DE 2"</t>
  </si>
  <si>
    <t>PUNTOS SANITARIOS Y ACCESORIOS DE 3"</t>
  </si>
  <si>
    <t>PUNTOS SANITARIOS Y ACCESORIOS DE 4"</t>
  </si>
  <si>
    <t>SUMINISTRO E INSTALACIÓN TUBERÍA AGUAS LLUVIAS 2"</t>
  </si>
  <si>
    <t>TUBERÍA PVC ALCANTARILLADO 8"</t>
  </si>
  <si>
    <t>CUNETA CON REJILLA</t>
  </si>
  <si>
    <t>CERTIFICACION RETIE SALIDAS DE USO FINAL</t>
  </si>
  <si>
    <t>CERTIFICACION RETILAP</t>
  </si>
  <si>
    <t xml:space="preserve">CERTIFICACION DE PUNTOS DE RED </t>
  </si>
  <si>
    <t>COMISSIONING SISTEMA DE AUDIO</t>
  </si>
  <si>
    <t>IMPUESTO AL VALOR AGREGADO</t>
  </si>
  <si>
    <t>IVA=</t>
  </si>
  <si>
    <t>VERIFICACIÓN</t>
  </si>
  <si>
    <t>VALOR UNITARIO SIN AIU O SIN IVA OFERTADO</t>
  </si>
  <si>
    <t>VALOR UNITARIO SIN AIU O SIN IVA
CORREGIDO</t>
  </si>
  <si>
    <t>VALOR UNITARIO CON AIU O CON IVA
CORREGIDO</t>
  </si>
  <si>
    <t>VALOR UNITARIO CON AIU O CON IVA CORREGIDO x CANTIDAD</t>
  </si>
  <si>
    <t>VALOR CORREGIDO</t>
  </si>
  <si>
    <t>VERIFICACION TOTAL OFERTA ECONOMICA</t>
  </si>
  <si>
    <t>VERIFICACION DEL A.I.U. E IVA</t>
  </si>
  <si>
    <t>PROPUESTA ECONOMICA</t>
  </si>
  <si>
    <t>VALOR UNITARIO SIN AIU O SIN IVA</t>
  </si>
  <si>
    <t>VALOR UNITARIO CON AIU O CON IVA</t>
  </si>
  <si>
    <t>SUMINISTRO E INSTALACIÓN DE ACOMETIDA DESDE PUNTO CONEXIÓN OR HASTA TABLERO TGN EN 3X6F+1X6N+1X8T AWG CU LSHZ 600V EN TUBERIA IMC 1-1/4"</t>
  </si>
  <si>
    <t>SUMINISTRO E INSTALACIÓN DE CABLE NO.3X12 AWG-LSHZ-600V EN COBRE PARA SALIDAS DE CIRCUITOS RAMALES</t>
  </si>
  <si>
    <t>10.3</t>
  </si>
  <si>
    <t>10.4</t>
  </si>
  <si>
    <t>FORMULARIO - OFERTA ECONOMICA</t>
  </si>
  <si>
    <t>(FIRMA)</t>
  </si>
  <si>
    <t>NOMBRE DEL REPRESENTANTE LEGAL</t>
  </si>
  <si>
    <t>NOMBRE DEL PROPONENTE</t>
  </si>
  <si>
    <t>CORRECIONES ARITMETICAS VALOR UNITARIO OFERTADO</t>
  </si>
  <si>
    <r>
      <rPr>
        <b/>
        <sz val="10"/>
        <rFont val="Arial"/>
        <family val="2"/>
      </rPr>
      <t>NOTA 4:</t>
    </r>
    <r>
      <rPr>
        <sz val="10"/>
        <rFont val="Arial"/>
        <family val="2"/>
      </rPr>
      <t xml:space="preserve"> Para el cálculo del presupuesto oficial, se formularon cantidades para cada uno de los ítems que conforman el mismo, aclarando que estas podrán aumentar, disminuir o suprimirse durante la ejecución del contrato, y esto no será objeto de futuras reclamaciones. </t>
    </r>
  </si>
  <si>
    <r>
      <rPr>
        <b/>
        <sz val="10"/>
        <rFont val="Arial"/>
        <family val="2"/>
      </rPr>
      <t>NOTA 5:</t>
    </r>
    <r>
      <rPr>
        <sz val="10"/>
        <rFont val="Arial"/>
        <family val="2"/>
      </rPr>
      <t xml:space="preserve"> Los proponentes deberan diligenciar unicamente las celdas de la columna denominada "valor unitario sin aiu o sin iva ofertado" y los valores para la "Administración", "Imprevisto" y "Utilidad".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</si>
</sst>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 #,##0.00_-;\-&quot;$&quot;\ * #,##0.00_-;_-&quot;$&quot;\ * &quot;-&quot;??_-;_-@_-"/>
    <numFmt numFmtId="164" formatCode="_(&quot;$&quot;\ * #,##0.00_);_(&quot;$&quot;\ * \(#,##0.00\);_(&quot;$&quot;\ * &quot;-&quot;??_);_(@_)"/>
    <numFmt numFmtId="165" formatCode="0.0"/>
    <numFmt numFmtId="166" formatCode="0.000"/>
    <numFmt numFmtId="167" formatCode="_([$$-240A]\ * #,##0.00_);_([$$-240A]\ * \(#,##0.00\);_([$$-240A]\ * &quot;-&quot;??_);_(@_)"/>
    <numFmt numFmtId="168" formatCode="_ * #,##0.00_ ;_ * \-#,##0.00_ ;_ * &quot;-&quot;??_ ;_ @_ "/>
    <numFmt numFmtId="169" formatCode="_ * #,##0_ ;_ * \-#,##0_ ;_ * &quot;-&quot;??_ ;_ @_ "/>
    <numFmt numFmtId="170" formatCode="_-[$$-240A]* #,##0.00_-;\-[$$-240A]* #,##0.00_-;_-[$$-240A]* &quot;-&quot;??_-;_-@_-"/>
  </numFmts>
  <fonts count="11" x14ac:knownFonts="1">
    <font>
      <sz val="11"/>
      <color theme="1"/>
      <name val="Calibri"/>
      <family val="2"/>
      <scheme val="minor"/>
    </font>
    <font>
      <sz val="11"/>
      <color theme="1"/>
      <name val="Calibri"/>
      <family val="2"/>
      <scheme val="minor"/>
    </font>
    <font>
      <sz val="10"/>
      <color theme="1"/>
      <name val="Arial"/>
      <family val="2"/>
    </font>
    <font>
      <sz val="10"/>
      <name val="Arial"/>
      <family val="2"/>
    </font>
    <font>
      <b/>
      <sz val="10"/>
      <name val="Arial"/>
      <family val="2"/>
    </font>
    <font>
      <b/>
      <sz val="10"/>
      <color theme="1"/>
      <name val="Arial"/>
      <family val="2"/>
    </font>
    <font>
      <b/>
      <u val="singleAccounting"/>
      <sz val="10"/>
      <name val="Arial"/>
      <family val="2"/>
    </font>
    <font>
      <sz val="10"/>
      <color rgb="FFFF0000"/>
      <name val="Arial"/>
      <family val="2"/>
    </font>
    <font>
      <sz val="10"/>
      <color rgb="FF0070C0"/>
      <name val="Arial"/>
      <family val="2"/>
    </font>
    <font>
      <sz val="8"/>
      <name val="Calibri"/>
      <family val="2"/>
      <scheme val="minor"/>
    </font>
    <font>
      <b/>
      <sz val="12"/>
      <name val="Arial"/>
      <family val="2"/>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0" tint="-0.34998626667073579"/>
        <bgColor indexed="64"/>
      </patternFill>
    </fill>
  </fills>
  <borders count="44">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double">
        <color auto="1"/>
      </left>
      <right/>
      <top/>
      <bottom style="double">
        <color auto="1"/>
      </bottom>
      <diagonal/>
    </border>
    <border>
      <left/>
      <right/>
      <top/>
      <bottom style="double">
        <color auto="1"/>
      </bottom>
      <diagonal/>
    </border>
    <border>
      <left/>
      <right style="double">
        <color indexed="64"/>
      </right>
      <top/>
      <bottom style="double">
        <color auto="1"/>
      </bottom>
      <diagonal/>
    </border>
    <border>
      <left style="thin">
        <color auto="1"/>
      </left>
      <right/>
      <top style="medium">
        <color auto="1"/>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auto="1"/>
      </right>
      <top style="medium">
        <color indexed="64"/>
      </top>
      <bottom style="thin">
        <color auto="1"/>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right style="thin">
        <color auto="1"/>
      </right>
      <top style="medium">
        <color indexed="64"/>
      </top>
      <bottom/>
      <diagonal/>
    </border>
    <border>
      <left style="medium">
        <color indexed="64"/>
      </left>
      <right style="thin">
        <color indexed="64"/>
      </right>
      <top style="medium">
        <color indexed="64"/>
      </top>
      <bottom style="medium">
        <color indexed="64"/>
      </bottom>
      <diagonal/>
    </border>
  </borders>
  <cellStyleXfs count="12">
    <xf numFmtId="0" fontId="0" fillId="0" borderId="0"/>
    <xf numFmtId="9" fontId="1" fillId="0" borderId="0" applyFont="0" applyFill="0" applyBorder="0" applyAlignment="0" applyProtection="0"/>
    <xf numFmtId="44" fontId="1" fillId="0" borderId="0" applyFont="0" applyFill="0" applyBorder="0" applyAlignment="0" applyProtection="0"/>
    <xf numFmtId="0" fontId="3" fillId="0" borderId="0"/>
    <xf numFmtId="0" fontId="3" fillId="0" borderId="0"/>
    <xf numFmtId="0" fontId="3" fillId="0" borderId="0"/>
    <xf numFmtId="167" fontId="1" fillId="0" borderId="0"/>
    <xf numFmtId="0" fontId="1" fillId="0" borderId="0"/>
    <xf numFmtId="9" fontId="1" fillId="0" borderId="0" applyFont="0" applyFill="0" applyBorder="0" applyAlignment="0" applyProtection="0"/>
    <xf numFmtId="0" fontId="3" fillId="0" borderId="0"/>
    <xf numFmtId="0" fontId="3" fillId="0" borderId="0"/>
    <xf numFmtId="168" fontId="3" fillId="0" borderId="0" applyFont="0" applyFill="0" applyBorder="0" applyAlignment="0" applyProtection="0"/>
  </cellStyleXfs>
  <cellXfs count="303">
    <xf numFmtId="0" fontId="0" fillId="0" borderId="0" xfId="0"/>
    <xf numFmtId="44" fontId="2" fillId="6" borderId="11" xfId="2" applyFont="1" applyFill="1" applyBorder="1" applyAlignment="1" applyProtection="1">
      <alignment vertical="center"/>
    </xf>
    <xf numFmtId="44" fontId="2" fillId="6" borderId="30" xfId="2" applyFont="1" applyFill="1" applyBorder="1" applyAlignment="1" applyProtection="1">
      <alignment vertical="center"/>
    </xf>
    <xf numFmtId="164" fontId="2" fillId="6" borderId="12" xfId="2" applyNumberFormat="1" applyFont="1" applyFill="1" applyBorder="1" applyAlignment="1" applyProtection="1">
      <alignment vertical="center"/>
    </xf>
    <xf numFmtId="44" fontId="2" fillId="0" borderId="11" xfId="2" applyFont="1" applyBorder="1" applyAlignment="1" applyProtection="1">
      <alignment vertical="center"/>
    </xf>
    <xf numFmtId="44" fontId="2" fillId="0" borderId="30" xfId="2" applyFont="1" applyBorder="1" applyAlignment="1" applyProtection="1">
      <alignment vertical="center"/>
    </xf>
    <xf numFmtId="164" fontId="3" fillId="0" borderId="12" xfId="2" applyNumberFormat="1" applyFont="1" applyBorder="1" applyAlignment="1" applyProtection="1">
      <alignment vertical="center"/>
    </xf>
    <xf numFmtId="164" fontId="6" fillId="0" borderId="12" xfId="2" applyNumberFormat="1" applyFont="1" applyBorder="1" applyAlignment="1" applyProtection="1">
      <alignment vertical="center"/>
    </xf>
    <xf numFmtId="44" fontId="2" fillId="3" borderId="11" xfId="2" applyFont="1" applyFill="1" applyBorder="1" applyAlignment="1" applyProtection="1">
      <alignment vertical="center"/>
    </xf>
    <xf numFmtId="44" fontId="2" fillId="3" borderId="30" xfId="2" applyFont="1" applyFill="1" applyBorder="1" applyAlignment="1" applyProtection="1">
      <alignment vertical="center"/>
    </xf>
    <xf numFmtId="164" fontId="2" fillId="3" borderId="12" xfId="2" applyNumberFormat="1" applyFont="1" applyFill="1" applyBorder="1" applyAlignment="1" applyProtection="1">
      <alignment vertical="center"/>
    </xf>
    <xf numFmtId="44" fontId="8" fillId="6" borderId="11" xfId="2" applyFont="1" applyFill="1" applyBorder="1" applyAlignment="1" applyProtection="1">
      <alignment vertical="center"/>
    </xf>
    <xf numFmtId="44" fontId="8" fillId="6" borderId="30" xfId="2" applyFont="1" applyFill="1" applyBorder="1" applyAlignment="1" applyProtection="1">
      <alignment vertical="center"/>
    </xf>
    <xf numFmtId="164" fontId="8" fillId="6" borderId="12" xfId="2" applyNumberFormat="1" applyFont="1" applyFill="1" applyBorder="1" applyAlignment="1" applyProtection="1">
      <alignment vertical="center"/>
    </xf>
    <xf numFmtId="44" fontId="2" fillId="7" borderId="11" xfId="2" applyFont="1" applyFill="1" applyBorder="1" applyAlignment="1" applyProtection="1">
      <alignment vertical="center"/>
    </xf>
    <xf numFmtId="44" fontId="2" fillId="7" borderId="30" xfId="2" applyFont="1" applyFill="1" applyBorder="1" applyAlignment="1" applyProtection="1">
      <alignment vertical="center"/>
    </xf>
    <xf numFmtId="164" fontId="2" fillId="7" borderId="12" xfId="2" applyNumberFormat="1" applyFont="1" applyFill="1" applyBorder="1" applyAlignment="1" applyProtection="1">
      <alignment vertical="center"/>
    </xf>
    <xf numFmtId="44" fontId="3" fillId="0" borderId="11" xfId="2" applyFont="1" applyBorder="1" applyAlignment="1" applyProtection="1">
      <alignment horizontal="center" vertical="center"/>
    </xf>
    <xf numFmtId="44" fontId="3" fillId="0" borderId="11" xfId="2" applyFont="1" applyBorder="1" applyAlignment="1" applyProtection="1">
      <alignment vertical="center"/>
    </xf>
    <xf numFmtId="44" fontId="2" fillId="0" borderId="11" xfId="2" applyFont="1" applyBorder="1" applyAlignment="1" applyProtection="1">
      <alignment horizontal="center" vertical="center"/>
    </xf>
    <xf numFmtId="44" fontId="3" fillId="2" borderId="11" xfId="2" applyFont="1" applyFill="1" applyBorder="1" applyAlignment="1" applyProtection="1">
      <alignment vertical="center"/>
    </xf>
    <xf numFmtId="44" fontId="8" fillId="8" borderId="11" xfId="2" applyFont="1" applyFill="1" applyBorder="1" applyAlignment="1" applyProtection="1">
      <alignment vertical="center"/>
    </xf>
    <xf numFmtId="44" fontId="8" fillId="8" borderId="30" xfId="2" applyFont="1" applyFill="1" applyBorder="1" applyAlignment="1" applyProtection="1">
      <alignment vertical="center"/>
    </xf>
    <xf numFmtId="164" fontId="8" fillId="8" borderId="12" xfId="2" applyNumberFormat="1" applyFont="1" applyFill="1" applyBorder="1" applyAlignment="1" applyProtection="1">
      <alignment vertical="center"/>
    </xf>
    <xf numFmtId="44" fontId="3" fillId="0" borderId="11" xfId="2" applyFont="1" applyFill="1" applyBorder="1" applyAlignment="1" applyProtection="1">
      <alignment vertical="center"/>
    </xf>
    <xf numFmtId="44" fontId="4" fillId="5" borderId="11" xfId="2" applyFont="1" applyFill="1" applyBorder="1" applyAlignment="1" applyProtection="1">
      <alignment vertical="center"/>
    </xf>
    <xf numFmtId="44" fontId="4" fillId="5" borderId="30" xfId="2" applyFont="1" applyFill="1" applyBorder="1" applyAlignment="1" applyProtection="1">
      <alignment vertical="center"/>
    </xf>
    <xf numFmtId="164" fontId="4" fillId="5" borderId="12" xfId="2" applyNumberFormat="1" applyFont="1" applyFill="1" applyBorder="1" applyAlignment="1" applyProtection="1">
      <alignment vertical="center"/>
    </xf>
    <xf numFmtId="44" fontId="2" fillId="0" borderId="14" xfId="2" applyFont="1" applyBorder="1" applyAlignment="1" applyProtection="1">
      <alignment vertical="center"/>
    </xf>
    <xf numFmtId="44" fontId="2" fillId="0" borderId="31" xfId="2" applyFont="1" applyBorder="1" applyAlignment="1" applyProtection="1">
      <alignment vertical="center"/>
    </xf>
    <xf numFmtId="2" fontId="3" fillId="0" borderId="0" xfId="8" applyNumberFormat="1" applyFont="1" applyBorder="1" applyAlignment="1" applyProtection="1">
      <alignment horizontal="center" vertical="center"/>
    </xf>
    <xf numFmtId="44" fontId="2" fillId="0" borderId="0" xfId="2" applyFont="1" applyBorder="1" applyAlignment="1" applyProtection="1">
      <alignment vertical="center"/>
    </xf>
    <xf numFmtId="164" fontId="2" fillId="0" borderId="16" xfId="2" applyNumberFormat="1" applyFont="1" applyBorder="1" applyAlignment="1" applyProtection="1">
      <alignment vertical="center"/>
    </xf>
    <xf numFmtId="164" fontId="4" fillId="5" borderId="9" xfId="2" applyNumberFormat="1" applyFont="1" applyFill="1" applyBorder="1" applyAlignment="1" applyProtection="1">
      <alignment vertical="center"/>
    </xf>
    <xf numFmtId="164" fontId="4" fillId="5" borderId="17" xfId="2" applyNumberFormat="1" applyFont="1" applyFill="1" applyBorder="1" applyAlignment="1" applyProtection="1">
      <alignment vertical="center"/>
    </xf>
    <xf numFmtId="44" fontId="3" fillId="0" borderId="6" xfId="2" applyFont="1" applyBorder="1" applyProtection="1"/>
    <xf numFmtId="164" fontId="4" fillId="0" borderId="19" xfId="2" applyNumberFormat="1" applyFont="1" applyBorder="1" applyAlignment="1" applyProtection="1">
      <alignment vertical="center"/>
    </xf>
    <xf numFmtId="164" fontId="4" fillId="4" borderId="9" xfId="2" applyNumberFormat="1" applyFont="1" applyFill="1" applyBorder="1" applyAlignment="1" applyProtection="1">
      <alignment horizontal="center" vertical="center"/>
    </xf>
    <xf numFmtId="44" fontId="4" fillId="4" borderId="11" xfId="2" applyFont="1" applyFill="1" applyBorder="1" applyAlignment="1" applyProtection="1">
      <alignment horizontal="center" vertical="center"/>
    </xf>
    <xf numFmtId="10" fontId="3" fillId="3" borderId="12" xfId="1" applyNumberFormat="1" applyFont="1" applyFill="1" applyBorder="1" applyAlignment="1" applyProtection="1">
      <alignment horizontal="center" vertical="center"/>
    </xf>
    <xf numFmtId="44" fontId="4" fillId="4" borderId="14" xfId="2" applyFont="1" applyFill="1" applyBorder="1" applyAlignment="1" applyProtection="1">
      <alignment horizontal="center" vertical="center"/>
    </xf>
    <xf numFmtId="10" fontId="3" fillId="3" borderId="17" xfId="1" applyNumberFormat="1" applyFont="1" applyFill="1" applyBorder="1" applyAlignment="1" applyProtection="1">
      <alignment horizontal="center" vertical="center"/>
    </xf>
    <xf numFmtId="44" fontId="4" fillId="0" borderId="41" xfId="2" applyFont="1" applyFill="1" applyBorder="1" applyAlignment="1" applyProtection="1">
      <alignment horizontal="center" vertical="center"/>
    </xf>
    <xf numFmtId="10" fontId="3" fillId="0" borderId="42" xfId="1" applyNumberFormat="1" applyFont="1" applyFill="1" applyBorder="1" applyAlignment="1" applyProtection="1">
      <alignment horizontal="center" vertical="center"/>
    </xf>
    <xf numFmtId="44" fontId="4" fillId="4" borderId="35" xfId="2" applyFont="1" applyFill="1" applyBorder="1" applyAlignment="1" applyProtection="1">
      <alignment horizontal="center" vertical="center"/>
    </xf>
    <xf numFmtId="10" fontId="3" fillId="3" borderId="36" xfId="1" applyNumberFormat="1" applyFont="1" applyFill="1" applyBorder="1" applyAlignment="1" applyProtection="1">
      <alignment horizontal="center" vertical="center"/>
    </xf>
    <xf numFmtId="44" fontId="2" fillId="0" borderId="0" xfId="2" applyFont="1" applyAlignment="1" applyProtection="1">
      <alignment vertical="center"/>
    </xf>
    <xf numFmtId="164" fontId="2" fillId="0" borderId="0" xfId="2" applyNumberFormat="1" applyFont="1" applyAlignment="1" applyProtection="1">
      <alignment vertical="center"/>
    </xf>
    <xf numFmtId="44" fontId="4" fillId="2" borderId="0" xfId="2" applyFont="1" applyFill="1" applyBorder="1" applyAlignment="1" applyProtection="1">
      <alignment horizontal="center" vertical="center" wrapText="1"/>
    </xf>
    <xf numFmtId="44" fontId="4" fillId="0" borderId="0" xfId="2" applyFont="1" applyFill="1" applyBorder="1" applyAlignment="1" applyProtection="1">
      <alignment horizontal="center" vertical="center" wrapText="1"/>
    </xf>
    <xf numFmtId="44" fontId="2" fillId="6" borderId="10" xfId="2" applyFont="1" applyFill="1" applyBorder="1" applyAlignment="1" applyProtection="1">
      <alignment vertical="center"/>
    </xf>
    <xf numFmtId="44" fontId="2" fillId="6" borderId="12" xfId="2" applyFont="1" applyFill="1" applyBorder="1" applyAlignment="1" applyProtection="1">
      <alignment vertical="center"/>
    </xf>
    <xf numFmtId="44" fontId="2" fillId="0" borderId="0" xfId="2" applyFont="1" applyFill="1" applyBorder="1" applyAlignment="1" applyProtection="1">
      <alignment vertical="center"/>
    </xf>
    <xf numFmtId="164" fontId="3" fillId="0" borderId="11" xfId="2" applyNumberFormat="1" applyFont="1" applyBorder="1" applyAlignment="1" applyProtection="1">
      <alignment vertical="center"/>
    </xf>
    <xf numFmtId="164" fontId="6" fillId="0" borderId="11" xfId="2" applyNumberFormat="1" applyFont="1" applyBorder="1" applyAlignment="1" applyProtection="1">
      <alignment vertical="center"/>
    </xf>
    <xf numFmtId="44" fontId="2" fillId="0" borderId="12" xfId="2" applyFont="1" applyBorder="1" applyAlignment="1" applyProtection="1">
      <alignment vertical="center"/>
    </xf>
    <xf numFmtId="164" fontId="2" fillId="6" borderId="11" xfId="2" applyNumberFormat="1" applyFont="1" applyFill="1" applyBorder="1" applyAlignment="1" applyProtection="1">
      <alignment vertical="center"/>
    </xf>
    <xf numFmtId="164" fontId="2" fillId="3" borderId="11" xfId="2" applyNumberFormat="1" applyFont="1" applyFill="1" applyBorder="1" applyAlignment="1" applyProtection="1">
      <alignment vertical="center"/>
    </xf>
    <xf numFmtId="44" fontId="2" fillId="3" borderId="12" xfId="2" applyFont="1" applyFill="1" applyBorder="1" applyAlignment="1" applyProtection="1">
      <alignment vertical="center"/>
    </xf>
    <xf numFmtId="164" fontId="8" fillId="6" borderId="11" xfId="2" applyNumberFormat="1" applyFont="1" applyFill="1" applyBorder="1" applyAlignment="1" applyProtection="1">
      <alignment vertical="center"/>
    </xf>
    <xf numFmtId="44" fontId="8" fillId="6" borderId="12" xfId="2" applyFont="1" applyFill="1" applyBorder="1" applyAlignment="1" applyProtection="1">
      <alignment vertical="center"/>
    </xf>
    <xf numFmtId="44" fontId="8" fillId="0" borderId="0" xfId="2" applyFont="1" applyFill="1" applyBorder="1" applyAlignment="1" applyProtection="1">
      <alignment vertical="center"/>
    </xf>
    <xf numFmtId="164" fontId="2" fillId="7" borderId="11" xfId="2" applyNumberFormat="1" applyFont="1" applyFill="1" applyBorder="1" applyAlignment="1" applyProtection="1">
      <alignment vertical="center"/>
    </xf>
    <xf numFmtId="44" fontId="2" fillId="7" borderId="12" xfId="2" applyFont="1" applyFill="1" applyBorder="1" applyAlignment="1" applyProtection="1">
      <alignment vertical="center"/>
    </xf>
    <xf numFmtId="164" fontId="8" fillId="8" borderId="11" xfId="2" applyNumberFormat="1" applyFont="1" applyFill="1" applyBorder="1" applyAlignment="1" applyProtection="1">
      <alignment vertical="center"/>
    </xf>
    <xf numFmtId="44" fontId="8" fillId="8" borderId="12" xfId="2" applyFont="1" applyFill="1" applyBorder="1" applyAlignment="1" applyProtection="1">
      <alignment vertical="center"/>
    </xf>
    <xf numFmtId="164" fontId="4" fillId="5" borderId="11" xfId="2" applyNumberFormat="1" applyFont="1" applyFill="1" applyBorder="1" applyAlignment="1" applyProtection="1">
      <alignment vertical="center"/>
    </xf>
    <xf numFmtId="44" fontId="4" fillId="5" borderId="12" xfId="2" applyFont="1" applyFill="1" applyBorder="1" applyAlignment="1" applyProtection="1">
      <alignment vertical="center"/>
    </xf>
    <xf numFmtId="44" fontId="4" fillId="0" borderId="0" xfId="2" applyFont="1" applyFill="1" applyBorder="1" applyAlignment="1" applyProtection="1">
      <alignment vertical="center"/>
    </xf>
    <xf numFmtId="164" fontId="6" fillId="0" borderId="14" xfId="2" applyNumberFormat="1" applyFont="1" applyBorder="1" applyAlignment="1" applyProtection="1">
      <alignment vertical="center"/>
    </xf>
    <xf numFmtId="164" fontId="3" fillId="0" borderId="19" xfId="2" applyNumberFormat="1" applyFont="1" applyBorder="1" applyProtection="1"/>
    <xf numFmtId="44" fontId="3" fillId="0" borderId="0" xfId="2" applyFont="1" applyBorder="1" applyProtection="1"/>
    <xf numFmtId="164" fontId="3" fillId="0" borderId="0" xfId="2" applyNumberFormat="1" applyFont="1" applyBorder="1" applyProtection="1"/>
    <xf numFmtId="169" fontId="3" fillId="0" borderId="27" xfId="11" applyNumberFormat="1" applyFont="1" applyBorder="1" applyProtection="1"/>
    <xf numFmtId="44" fontId="3" fillId="0" borderId="27" xfId="2" applyFont="1" applyBorder="1" applyProtection="1"/>
    <xf numFmtId="164" fontId="3" fillId="0" borderId="27" xfId="2" applyNumberFormat="1" applyFont="1" applyBorder="1" applyProtection="1"/>
    <xf numFmtId="44" fontId="3" fillId="0" borderId="0" xfId="2" applyFont="1" applyProtection="1"/>
    <xf numFmtId="164" fontId="3" fillId="0" borderId="0" xfId="2" applyNumberFormat="1" applyFont="1" applyProtection="1"/>
    <xf numFmtId="168" fontId="3" fillId="0" borderId="0" xfId="11" applyFont="1" applyProtection="1"/>
    <xf numFmtId="0" fontId="2" fillId="0" borderId="0" xfId="0" applyFont="1" applyAlignment="1" applyProtection="1">
      <alignment vertical="center"/>
      <protection locked="0"/>
    </xf>
    <xf numFmtId="0" fontId="3" fillId="0" borderId="0" xfId="0" applyFont="1" applyProtection="1">
      <protection locked="0"/>
    </xf>
    <xf numFmtId="44" fontId="2" fillId="6" borderId="10" xfId="2" applyFont="1" applyFill="1" applyBorder="1" applyAlignment="1" applyProtection="1">
      <alignment vertical="center"/>
      <protection locked="0"/>
    </xf>
    <xf numFmtId="44" fontId="2" fillId="0" borderId="10" xfId="2" applyFont="1" applyBorder="1" applyAlignment="1" applyProtection="1">
      <alignment vertical="center"/>
      <protection locked="0"/>
    </xf>
    <xf numFmtId="44" fontId="2" fillId="3" borderId="10" xfId="2" applyFont="1" applyFill="1" applyBorder="1" applyAlignment="1" applyProtection="1">
      <alignment vertical="center"/>
      <protection locked="0"/>
    </xf>
    <xf numFmtId="44" fontId="8" fillId="6" borderId="10" xfId="2" applyFont="1" applyFill="1" applyBorder="1" applyAlignment="1" applyProtection="1">
      <alignment vertical="center"/>
      <protection locked="0"/>
    </xf>
    <xf numFmtId="44" fontId="2" fillId="7" borderId="10" xfId="2" applyFont="1" applyFill="1" applyBorder="1" applyAlignment="1" applyProtection="1">
      <alignment vertical="center"/>
      <protection locked="0"/>
    </xf>
    <xf numFmtId="44" fontId="8" fillId="8" borderId="10" xfId="2" applyFont="1" applyFill="1" applyBorder="1" applyAlignment="1" applyProtection="1">
      <alignment vertical="center"/>
      <protection locked="0"/>
    </xf>
    <xf numFmtId="44" fontId="4" fillId="5" borderId="10" xfId="2" applyFont="1" applyFill="1" applyBorder="1" applyAlignment="1" applyProtection="1">
      <alignment vertical="center"/>
      <protection locked="0"/>
    </xf>
    <xf numFmtId="10" fontId="3" fillId="3" borderId="12" xfId="1" applyNumberFormat="1" applyFont="1" applyFill="1" applyBorder="1" applyAlignment="1" applyProtection="1">
      <alignment horizontal="center" vertical="center"/>
      <protection locked="0"/>
    </xf>
    <xf numFmtId="0" fontId="4" fillId="0" borderId="11" xfId="4" applyFont="1" applyBorder="1" applyAlignment="1">
      <alignment horizontal="center" vertical="center" wrapText="1"/>
    </xf>
    <xf numFmtId="1" fontId="5" fillId="6" borderId="10" xfId="0" applyNumberFormat="1" applyFont="1" applyFill="1" applyBorder="1" applyAlignment="1">
      <alignment horizontal="center" vertical="center"/>
    </xf>
    <xf numFmtId="0" fontId="2" fillId="6" borderId="11" xfId="0" applyFont="1" applyFill="1" applyBorder="1" applyAlignment="1">
      <alignment vertical="center"/>
    </xf>
    <xf numFmtId="2" fontId="3" fillId="6" borderId="11" xfId="0" applyNumberFormat="1" applyFont="1" applyFill="1" applyBorder="1" applyAlignment="1">
      <alignment vertical="center"/>
    </xf>
    <xf numFmtId="165" fontId="3" fillId="0" borderId="10" xfId="0" applyNumberFormat="1" applyFont="1" applyBorder="1" applyAlignment="1">
      <alignment horizontal="center" vertical="center"/>
    </xf>
    <xf numFmtId="2" fontId="3" fillId="0" borderId="11" xfId="0" applyNumberFormat="1" applyFont="1" applyBorder="1" applyAlignment="1">
      <alignment horizontal="center" vertical="center"/>
    </xf>
    <xf numFmtId="0" fontId="3" fillId="0" borderId="11" xfId="0" applyFont="1" applyBorder="1" applyAlignment="1">
      <alignment horizontal="justify" vertical="center" wrapText="1"/>
    </xf>
    <xf numFmtId="0" fontId="3" fillId="0" borderId="11" xfId="0" applyFont="1" applyBorder="1" applyAlignment="1">
      <alignment horizontal="center" vertical="center"/>
    </xf>
    <xf numFmtId="0" fontId="4" fillId="0" borderId="11" xfId="0" applyFont="1" applyBorder="1" applyAlignment="1">
      <alignment vertical="center"/>
    </xf>
    <xf numFmtId="165" fontId="2" fillId="0" borderId="10" xfId="0" applyNumberFormat="1" applyFont="1" applyBorder="1" applyAlignment="1">
      <alignment horizontal="center" vertical="center"/>
    </xf>
    <xf numFmtId="2" fontId="2" fillId="0" borderId="11" xfId="0" applyNumberFormat="1" applyFont="1" applyBorder="1" applyAlignment="1">
      <alignment horizontal="center" vertical="center"/>
    </xf>
    <xf numFmtId="0" fontId="5" fillId="0" borderId="11" xfId="0" applyFont="1" applyBorder="1" applyAlignment="1">
      <alignment vertical="center"/>
    </xf>
    <xf numFmtId="0" fontId="2" fillId="0" borderId="11" xfId="0" applyFont="1" applyBorder="1" applyAlignment="1">
      <alignment vertical="center"/>
    </xf>
    <xf numFmtId="2" fontId="3" fillId="0" borderId="11" xfId="0" applyNumberFormat="1" applyFont="1" applyBorder="1" applyAlignment="1">
      <alignment vertical="center"/>
    </xf>
    <xf numFmtId="165" fontId="5" fillId="3" borderId="10" xfId="0" applyNumberFormat="1" applyFont="1" applyFill="1" applyBorder="1" applyAlignment="1">
      <alignment horizontal="center" vertical="center"/>
    </xf>
    <xf numFmtId="0" fontId="2" fillId="3" borderId="11" xfId="0" applyFont="1" applyFill="1" applyBorder="1" applyAlignment="1">
      <alignment vertical="center"/>
    </xf>
    <xf numFmtId="2" fontId="3" fillId="3" borderId="11" xfId="0" applyNumberFormat="1" applyFont="1" applyFill="1" applyBorder="1" applyAlignment="1">
      <alignment vertical="center"/>
    </xf>
    <xf numFmtId="0" fontId="3" fillId="0" borderId="11" xfId="3" applyBorder="1" applyAlignment="1">
      <alignment horizontal="center" vertical="center"/>
    </xf>
    <xf numFmtId="0" fontId="3" fillId="0" borderId="11" xfId="5" applyBorder="1" applyAlignment="1">
      <alignment horizontal="justify" vertical="center" wrapText="1"/>
    </xf>
    <xf numFmtId="2" fontId="7" fillId="0" borderId="11" xfId="0" applyNumberFormat="1" applyFont="1" applyBorder="1" applyAlignment="1">
      <alignment horizontal="center" vertical="center"/>
    </xf>
    <xf numFmtId="2" fontId="3" fillId="0" borderId="11" xfId="0" applyNumberFormat="1" applyFont="1" applyBorder="1" applyAlignment="1">
      <alignment horizontal="center" vertical="center" wrapText="1"/>
    </xf>
    <xf numFmtId="2" fontId="2" fillId="0" borderId="10" xfId="0" applyNumberFormat="1" applyFont="1" applyBorder="1" applyAlignment="1">
      <alignment horizontal="center" vertical="center"/>
    </xf>
    <xf numFmtId="2" fontId="3" fillId="0" borderId="10" xfId="4" applyNumberFormat="1" applyBorder="1" applyAlignment="1">
      <alignment horizontal="center" vertical="center"/>
    </xf>
    <xf numFmtId="0" fontId="3" fillId="0" borderId="11" xfId="3" applyBorder="1" applyAlignment="1">
      <alignment horizontal="justify" vertical="center" wrapText="1"/>
    </xf>
    <xf numFmtId="0" fontId="3" fillId="0" borderId="11" xfId="3" applyBorder="1" applyAlignment="1">
      <alignment horizontal="center" vertical="center" wrapText="1"/>
    </xf>
    <xf numFmtId="0" fontId="8" fillId="6" borderId="11" xfId="0" applyFont="1" applyFill="1" applyBorder="1" applyAlignment="1">
      <alignment vertical="center"/>
    </xf>
    <xf numFmtId="0" fontId="2" fillId="7" borderId="11" xfId="0" applyFont="1" applyFill="1" applyBorder="1" applyAlignment="1">
      <alignment vertical="center"/>
    </xf>
    <xf numFmtId="2" fontId="3" fillId="7" borderId="11" xfId="0" applyNumberFormat="1" applyFont="1" applyFill="1" applyBorder="1" applyAlignment="1">
      <alignmen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2" borderId="11" xfId="0" applyFont="1" applyFill="1" applyBorder="1" applyAlignment="1">
      <alignment horizontal="justify" vertical="center" wrapText="1"/>
    </xf>
    <xf numFmtId="0" fontId="2" fillId="2" borderId="11" xfId="0" applyFont="1" applyFill="1" applyBorder="1" applyAlignment="1">
      <alignment horizontal="center" vertical="center"/>
    </xf>
    <xf numFmtId="0" fontId="5" fillId="0" borderId="11" xfId="0" applyFont="1" applyBorder="1" applyAlignment="1">
      <alignment horizontal="justify" vertical="center"/>
    </xf>
    <xf numFmtId="165" fontId="5" fillId="6" borderId="10" xfId="0" applyNumberFormat="1" applyFont="1" applyFill="1" applyBorder="1" applyAlignment="1">
      <alignment horizontal="center" vertical="center"/>
    </xf>
    <xf numFmtId="166" fontId="5" fillId="3" borderId="10" xfId="0" applyNumberFormat="1" applyFont="1" applyFill="1" applyBorder="1" applyAlignment="1">
      <alignment horizontal="center" vertical="center"/>
    </xf>
    <xf numFmtId="0" fontId="2" fillId="0" borderId="11" xfId="0" applyFont="1" applyBorder="1" applyAlignment="1">
      <alignment horizontal="justify" vertical="center" wrapText="1"/>
    </xf>
    <xf numFmtId="167" fontId="2" fillId="0" borderId="11" xfId="6" applyFont="1" applyBorder="1" applyAlignment="1">
      <alignment horizontal="justify" vertical="center" wrapText="1"/>
    </xf>
    <xf numFmtId="0" fontId="3" fillId="2" borderId="11" xfId="0" applyFont="1" applyFill="1" applyBorder="1" applyAlignment="1">
      <alignment horizontal="justify" vertical="center" wrapText="1"/>
    </xf>
    <xf numFmtId="0" fontId="3" fillId="2" borderId="11" xfId="0" applyFont="1" applyFill="1" applyBorder="1" applyAlignment="1">
      <alignment horizontal="center" vertical="center"/>
    </xf>
    <xf numFmtId="166" fontId="5" fillId="7" borderId="10" xfId="0" applyNumberFormat="1" applyFont="1" applyFill="1" applyBorder="1" applyAlignment="1">
      <alignment horizontal="center" vertical="center"/>
    </xf>
    <xf numFmtId="165" fontId="5" fillId="8" borderId="10" xfId="0" applyNumberFormat="1" applyFont="1" applyFill="1" applyBorder="1" applyAlignment="1">
      <alignment horizontal="center" vertical="center"/>
    </xf>
    <xf numFmtId="0" fontId="8" fillId="8" borderId="11" xfId="0" applyFont="1" applyFill="1" applyBorder="1" applyAlignment="1">
      <alignment vertical="center"/>
    </xf>
    <xf numFmtId="2" fontId="3" fillId="8" borderId="11" xfId="0" applyNumberFormat="1" applyFont="1" applyFill="1" applyBorder="1" applyAlignment="1">
      <alignment vertical="center"/>
    </xf>
    <xf numFmtId="1" fontId="5" fillId="6" borderId="11" xfId="0" applyNumberFormat="1" applyFont="1" applyFill="1" applyBorder="1" applyAlignment="1">
      <alignment horizontal="center" vertical="center"/>
    </xf>
    <xf numFmtId="2" fontId="5" fillId="6" borderId="11" xfId="0" applyNumberFormat="1" applyFont="1" applyFill="1" applyBorder="1" applyAlignment="1">
      <alignment horizontal="center" vertical="center"/>
    </xf>
    <xf numFmtId="0" fontId="5" fillId="6" borderId="11" xfId="0" applyFont="1" applyFill="1" applyBorder="1" applyAlignment="1">
      <alignment vertical="center"/>
    </xf>
    <xf numFmtId="0" fontId="4" fillId="5" borderId="10" xfId="3" applyFont="1" applyFill="1" applyBorder="1" applyAlignment="1">
      <alignment horizontal="center" vertical="center"/>
    </xf>
    <xf numFmtId="0" fontId="4" fillId="5" borderId="11" xfId="3" applyFont="1" applyFill="1" applyBorder="1" applyAlignment="1">
      <alignment vertical="center"/>
    </xf>
    <xf numFmtId="2" fontId="4" fillId="5" borderId="11" xfId="3" applyNumberFormat="1" applyFont="1" applyFill="1" applyBorder="1" applyAlignment="1">
      <alignment vertical="center"/>
    </xf>
    <xf numFmtId="165" fontId="3" fillId="0" borderId="13" xfId="0" applyNumberFormat="1" applyFont="1" applyBorder="1" applyAlignment="1">
      <alignment horizontal="center" vertical="center"/>
    </xf>
    <xf numFmtId="2" fontId="2" fillId="0" borderId="14" xfId="0" applyNumberFormat="1" applyFont="1" applyBorder="1" applyAlignment="1">
      <alignment horizontal="center" vertical="center"/>
    </xf>
    <xf numFmtId="0" fontId="5" fillId="0" borderId="14" xfId="0" applyFont="1" applyBorder="1" applyAlignment="1">
      <alignment horizontal="justify" vertical="center"/>
    </xf>
    <xf numFmtId="0" fontId="2" fillId="0" borderId="14" xfId="0" applyFont="1" applyBorder="1" applyAlignment="1">
      <alignment vertical="center"/>
    </xf>
    <xf numFmtId="2" fontId="3" fillId="0" borderId="14" xfId="0" applyNumberFormat="1" applyFont="1" applyBorder="1" applyAlignment="1">
      <alignment vertical="center"/>
    </xf>
    <xf numFmtId="0" fontId="2" fillId="0" borderId="15" xfId="0" applyFont="1" applyBorder="1" applyAlignment="1">
      <alignment horizontal="center" vertical="center"/>
    </xf>
    <xf numFmtId="2" fontId="2" fillId="0" borderId="0" xfId="0" applyNumberFormat="1" applyFont="1" applyAlignment="1">
      <alignment vertical="center"/>
    </xf>
    <xf numFmtId="0" fontId="5" fillId="0" borderId="0" xfId="0" applyFont="1" applyAlignment="1">
      <alignment vertical="center"/>
    </xf>
    <xf numFmtId="0" fontId="2" fillId="0" borderId="0" xfId="0" applyFont="1" applyAlignment="1">
      <alignment horizontal="center" vertical="center"/>
    </xf>
    <xf numFmtId="0" fontId="3" fillId="0" borderId="15" xfId="9" applyBorder="1" applyAlignment="1">
      <alignment horizontal="center" vertical="center"/>
    </xf>
    <xf numFmtId="0" fontId="3" fillId="0" borderId="0" xfId="9" applyAlignment="1">
      <alignment horizontal="center"/>
    </xf>
    <xf numFmtId="0" fontId="3" fillId="0" borderId="0" xfId="9"/>
    <xf numFmtId="0" fontId="3" fillId="0" borderId="18" xfId="9" applyBorder="1" applyAlignment="1">
      <alignment horizontal="center" vertical="center"/>
    </xf>
    <xf numFmtId="0" fontId="3" fillId="0" borderId="6" xfId="9" applyBorder="1" applyAlignment="1">
      <alignment horizontal="center"/>
    </xf>
    <xf numFmtId="0" fontId="3" fillId="0" borderId="6" xfId="9" applyBorder="1"/>
    <xf numFmtId="2" fontId="3" fillId="0" borderId="6" xfId="9" applyNumberFormat="1" applyBorder="1"/>
    <xf numFmtId="0" fontId="4" fillId="0" borderId="15" xfId="10" applyFont="1" applyBorder="1" applyAlignment="1">
      <alignment horizontal="center" vertical="center"/>
    </xf>
    <xf numFmtId="3" fontId="4" fillId="4" borderId="8" xfId="0" applyNumberFormat="1" applyFont="1" applyFill="1" applyBorder="1" applyAlignment="1">
      <alignment horizontal="center" vertical="center" wrapText="1"/>
    </xf>
    <xf numFmtId="0" fontId="3" fillId="0" borderId="15" xfId="0" applyFont="1" applyBorder="1" applyAlignment="1">
      <alignment horizontal="center" vertical="center"/>
    </xf>
    <xf numFmtId="0" fontId="3" fillId="0" borderId="0" xfId="0" applyFont="1" applyAlignment="1">
      <alignment vertical="center" wrapText="1"/>
    </xf>
    <xf numFmtId="3" fontId="4" fillId="0" borderId="0" xfId="0" applyNumberFormat="1" applyFont="1" applyAlignment="1">
      <alignment vertical="center"/>
    </xf>
    <xf numFmtId="3" fontId="4" fillId="0" borderId="0" xfId="0" applyNumberFormat="1" applyFont="1" applyAlignment="1">
      <alignment horizontal="center" vertical="center"/>
    </xf>
    <xf numFmtId="3" fontId="4" fillId="0" borderId="41" xfId="0" applyNumberFormat="1" applyFont="1" applyBorder="1" applyAlignment="1">
      <alignment horizontal="center" vertical="center"/>
    </xf>
    <xf numFmtId="4" fontId="5" fillId="0" borderId="12" xfId="0" applyNumberFormat="1" applyFont="1" applyBorder="1" applyAlignment="1">
      <alignment horizontal="center" vertical="center" wrapText="1"/>
    </xf>
    <xf numFmtId="0" fontId="3" fillId="0" borderId="14" xfId="0" applyFont="1" applyBorder="1"/>
    <xf numFmtId="0" fontId="3" fillId="0" borderId="17" xfId="0" applyFont="1" applyBorder="1"/>
    <xf numFmtId="0" fontId="2" fillId="0" borderId="0" xfId="0" applyFont="1" applyAlignment="1">
      <alignment vertical="center"/>
    </xf>
    <xf numFmtId="2" fontId="3" fillId="0" borderId="0" xfId="0" applyNumberFormat="1" applyFont="1" applyAlignment="1">
      <alignment vertical="center"/>
    </xf>
    <xf numFmtId="0" fontId="3" fillId="0" borderId="0" xfId="0" applyFont="1"/>
    <xf numFmtId="0" fontId="3" fillId="0" borderId="0" xfId="0" applyFont="1" applyAlignment="1">
      <alignment horizontal="center"/>
    </xf>
    <xf numFmtId="0" fontId="3" fillId="0" borderId="4" xfId="0" applyFont="1" applyBorder="1"/>
    <xf numFmtId="0" fontId="3" fillId="0" borderId="5" xfId="0" applyFont="1" applyBorder="1"/>
    <xf numFmtId="0" fontId="3" fillId="2" borderId="4" xfId="0" applyFont="1" applyFill="1" applyBorder="1"/>
    <xf numFmtId="0" fontId="3" fillId="2" borderId="0" xfId="0" applyFont="1" applyFill="1"/>
    <xf numFmtId="0" fontId="3" fillId="0" borderId="0" xfId="7" applyFont="1"/>
    <xf numFmtId="0" fontId="3" fillId="0" borderId="4" xfId="7" applyFont="1" applyBorder="1"/>
    <xf numFmtId="0" fontId="3" fillId="0" borderId="5" xfId="7" applyFont="1" applyBorder="1"/>
    <xf numFmtId="0" fontId="3" fillId="0" borderId="13" xfId="0" applyFont="1" applyBorder="1"/>
    <xf numFmtId="0" fontId="3" fillId="0" borderId="15" xfId="0" applyFont="1" applyBorder="1"/>
    <xf numFmtId="0" fontId="3" fillId="0" borderId="16" xfId="0" applyFont="1" applyBorder="1"/>
    <xf numFmtId="0" fontId="3" fillId="0" borderId="4" xfId="9" applyBorder="1"/>
    <xf numFmtId="0" fontId="3" fillId="0" borderId="15" xfId="9" applyBorder="1"/>
    <xf numFmtId="0" fontId="3" fillId="0" borderId="18" xfId="0" applyFont="1" applyBorder="1" applyAlignment="1">
      <alignment horizontal="center" vertical="center"/>
    </xf>
    <xf numFmtId="0" fontId="3" fillId="0" borderId="6" xfId="0" applyFont="1" applyBorder="1"/>
    <xf numFmtId="0" fontId="3" fillId="0" borderId="6" xfId="0" applyFont="1" applyBorder="1" applyAlignment="1">
      <alignment horizontal="center"/>
    </xf>
    <xf numFmtId="2" fontId="3" fillId="0" borderId="6" xfId="0" applyNumberFormat="1" applyFont="1" applyBorder="1"/>
    <xf numFmtId="0" fontId="3" fillId="0" borderId="0" xfId="0" applyFont="1" applyAlignment="1">
      <alignment horizontal="center" vertical="center"/>
    </xf>
    <xf numFmtId="2" fontId="3" fillId="0" borderId="0" xfId="0" applyNumberFormat="1" applyFont="1"/>
    <xf numFmtId="170" fontId="3" fillId="0" borderId="8" xfId="7" applyNumberFormat="1" applyFont="1" applyBorder="1"/>
    <xf numFmtId="4" fontId="5" fillId="0" borderId="9" xfId="0" applyNumberFormat="1" applyFont="1" applyBorder="1" applyAlignment="1">
      <alignment horizontal="center" vertical="center" wrapText="1"/>
    </xf>
    <xf numFmtId="0" fontId="4" fillId="0" borderId="0" xfId="0" applyFont="1"/>
    <xf numFmtId="4" fontId="5" fillId="0" borderId="17" xfId="0" applyNumberFormat="1" applyFont="1" applyBorder="1" applyAlignment="1">
      <alignment horizontal="center" vertical="center" wrapText="1"/>
    </xf>
    <xf numFmtId="0" fontId="3" fillId="0" borderId="15" xfId="7" applyFont="1" applyBorder="1"/>
    <xf numFmtId="4" fontId="5" fillId="0" borderId="36" xfId="0" applyNumberFormat="1" applyFont="1" applyBorder="1" applyAlignment="1">
      <alignment horizontal="center" vertical="center" wrapText="1"/>
    </xf>
    <xf numFmtId="0" fontId="3" fillId="0" borderId="19" xfId="0" applyFont="1" applyBorder="1"/>
    <xf numFmtId="0" fontId="4" fillId="0" borderId="0" xfId="0" applyFont="1" applyAlignment="1">
      <alignment horizontal="center"/>
    </xf>
    <xf numFmtId="0" fontId="3" fillId="0" borderId="26" xfId="9" applyBorder="1"/>
    <xf numFmtId="0" fontId="3" fillId="0" borderId="27" xfId="0" applyFont="1" applyBorder="1" applyAlignment="1">
      <alignment horizontal="center" vertical="center"/>
    </xf>
    <xf numFmtId="0" fontId="3" fillId="0" borderId="27" xfId="0" applyFont="1" applyBorder="1"/>
    <xf numFmtId="0" fontId="3" fillId="0" borderId="27" xfId="0" applyFont="1" applyBorder="1" applyAlignment="1">
      <alignment horizontal="center"/>
    </xf>
    <xf numFmtId="2" fontId="3" fillId="0" borderId="27" xfId="0" applyNumberFormat="1" applyFont="1" applyBorder="1"/>
    <xf numFmtId="0" fontId="3" fillId="0" borderId="28" xfId="0" applyFont="1" applyBorder="1"/>
    <xf numFmtId="44" fontId="4" fillId="2" borderId="11" xfId="2" applyFont="1" applyFill="1" applyBorder="1" applyAlignment="1" applyProtection="1">
      <alignment horizontal="center" vertical="center" wrapText="1"/>
    </xf>
    <xf numFmtId="44" fontId="4" fillId="2" borderId="12" xfId="2" applyFont="1" applyFill="1" applyBorder="1" applyAlignment="1" applyProtection="1">
      <alignment horizontal="center" vertical="center" wrapText="1"/>
    </xf>
    <xf numFmtId="0" fontId="10" fillId="0" borderId="7"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4" fillId="0" borderId="20" xfId="7" applyFont="1" applyBorder="1" applyAlignment="1">
      <alignment horizontal="center" vertical="center"/>
    </xf>
    <xf numFmtId="0" fontId="4" fillId="0" borderId="37" xfId="7" applyFont="1" applyBorder="1" applyAlignment="1">
      <alignment horizontal="center" vertical="center"/>
    </xf>
    <xf numFmtId="44" fontId="4" fillId="2" borderId="10" xfId="2" applyFont="1" applyFill="1" applyBorder="1" applyAlignment="1" applyProtection="1">
      <alignment horizontal="center" vertical="center" wrapText="1"/>
    </xf>
    <xf numFmtId="0" fontId="4" fillId="0" borderId="22" xfId="7" applyFont="1" applyBorder="1" applyAlignment="1">
      <alignment horizontal="center" vertical="center" wrapText="1"/>
    </xf>
    <xf numFmtId="0" fontId="4" fillId="0" borderId="23" xfId="7" applyFont="1" applyBorder="1" applyAlignment="1">
      <alignment horizontal="center" vertical="center" wrapText="1"/>
    </xf>
    <xf numFmtId="0" fontId="4" fillId="0" borderId="38" xfId="7" applyFont="1" applyBorder="1" applyAlignment="1">
      <alignment horizontal="center" vertical="center" wrapText="1"/>
    </xf>
    <xf numFmtId="0" fontId="4" fillId="0" borderId="24" xfId="7" applyFont="1" applyBorder="1" applyAlignment="1">
      <alignment horizontal="center" vertical="center"/>
    </xf>
    <xf numFmtId="0" fontId="4" fillId="0" borderId="25" xfId="7" applyFont="1" applyBorder="1" applyAlignment="1">
      <alignment horizontal="center" vertical="center"/>
    </xf>
    <xf numFmtId="0" fontId="4" fillId="0" borderId="40" xfId="7" applyFont="1" applyBorder="1" applyAlignment="1">
      <alignment horizontal="center" vertical="center"/>
    </xf>
    <xf numFmtId="0" fontId="4" fillId="0" borderId="33" xfId="7" applyFont="1" applyBorder="1" applyAlignment="1">
      <alignment horizontal="center" vertical="center"/>
    </xf>
    <xf numFmtId="0" fontId="4" fillId="0" borderId="34" xfId="7" applyFont="1" applyBorder="1" applyAlignment="1">
      <alignment horizontal="center" vertical="center"/>
    </xf>
    <xf numFmtId="0" fontId="4" fillId="0" borderId="39" xfId="7" applyFont="1" applyBorder="1" applyAlignment="1">
      <alignment horizontal="center" vertical="center"/>
    </xf>
    <xf numFmtId="0" fontId="4" fillId="0" borderId="7" xfId="0" applyFont="1" applyBorder="1" applyAlignment="1">
      <alignment horizontal="right"/>
    </xf>
    <xf numFmtId="0" fontId="4" fillId="0" borderId="8" xfId="0" applyFont="1" applyBorder="1" applyAlignment="1">
      <alignment horizontal="right"/>
    </xf>
    <xf numFmtId="0" fontId="4" fillId="0" borderId="10" xfId="0" applyFont="1" applyBorder="1" applyAlignment="1">
      <alignment horizontal="right"/>
    </xf>
    <xf numFmtId="0" fontId="4" fillId="0" borderId="11" xfId="0" applyFont="1" applyBorder="1" applyAlignment="1">
      <alignment horizontal="right"/>
    </xf>
    <xf numFmtId="0" fontId="4" fillId="0" borderId="13" xfId="0" applyFont="1" applyBorder="1" applyAlignment="1">
      <alignment horizontal="right"/>
    </xf>
    <xf numFmtId="0" fontId="4" fillId="0" borderId="14" xfId="0" applyFont="1" applyBorder="1" applyAlignment="1">
      <alignment horizontal="right"/>
    </xf>
    <xf numFmtId="3" fontId="4" fillId="4" borderId="22" xfId="0" applyNumberFormat="1" applyFont="1" applyFill="1" applyBorder="1" applyAlignment="1">
      <alignment horizontal="center" vertical="center"/>
    </xf>
    <xf numFmtId="3" fontId="4" fillId="4" borderId="38" xfId="0" applyNumberFormat="1" applyFont="1" applyFill="1" applyBorder="1" applyAlignment="1">
      <alignment horizontal="center" vertical="center"/>
    </xf>
    <xf numFmtId="3" fontId="4" fillId="4" borderId="33" xfId="0" applyNumberFormat="1" applyFont="1" applyFill="1" applyBorder="1" applyAlignment="1">
      <alignment horizontal="center" vertical="center"/>
    </xf>
    <xf numFmtId="3" fontId="4" fillId="4" borderId="39" xfId="0" applyNumberFormat="1" applyFont="1" applyFill="1" applyBorder="1" applyAlignment="1">
      <alignment horizontal="center" vertical="center"/>
    </xf>
    <xf numFmtId="3" fontId="4" fillId="4" borderId="24" xfId="0" applyNumberFormat="1" applyFont="1" applyFill="1" applyBorder="1" applyAlignment="1">
      <alignment horizontal="center" vertical="center"/>
    </xf>
    <xf numFmtId="3" fontId="4" fillId="4" borderId="40" xfId="0" applyNumberFormat="1" applyFont="1" applyFill="1" applyBorder="1" applyAlignment="1">
      <alignment horizontal="center" vertical="center"/>
    </xf>
    <xf numFmtId="3" fontId="4" fillId="4" borderId="20" xfId="0" applyNumberFormat="1" applyFont="1" applyFill="1" applyBorder="1" applyAlignment="1">
      <alignment horizontal="center" vertical="center" wrapText="1"/>
    </xf>
    <xf numFmtId="3" fontId="4" fillId="4" borderId="37" xfId="0" applyNumberFormat="1" applyFont="1" applyFill="1" applyBorder="1" applyAlignment="1">
      <alignment horizontal="center" vertical="center" wrapText="1"/>
    </xf>
    <xf numFmtId="3" fontId="4" fillId="4" borderId="10" xfId="0" applyNumberFormat="1" applyFont="1" applyFill="1" applyBorder="1" applyAlignment="1">
      <alignment horizontal="center" vertical="center"/>
    </xf>
    <xf numFmtId="3" fontId="4" fillId="4" borderId="11" xfId="0" applyNumberFormat="1" applyFont="1" applyFill="1" applyBorder="1" applyAlignment="1">
      <alignment horizontal="center" vertical="center"/>
    </xf>
    <xf numFmtId="3" fontId="4" fillId="4" borderId="13" xfId="0" applyNumberFormat="1" applyFont="1" applyFill="1" applyBorder="1" applyAlignment="1">
      <alignment horizontal="center" vertical="center"/>
    </xf>
    <xf numFmtId="3" fontId="4" fillId="4" borderId="14" xfId="0" applyNumberFormat="1" applyFont="1" applyFill="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horizontal="center" vertical="center"/>
    </xf>
    <xf numFmtId="0" fontId="4" fillId="0" borderId="0" xfId="0" applyFont="1" applyAlignment="1">
      <alignment horizontal="center"/>
    </xf>
    <xf numFmtId="0" fontId="3" fillId="0" borderId="0" xfId="10" applyAlignment="1">
      <alignment horizontal="center" vertical="center"/>
    </xf>
    <xf numFmtId="0" fontId="3" fillId="0" borderId="16" xfId="10" applyBorder="1" applyAlignment="1">
      <alignment horizontal="center" vertical="center"/>
    </xf>
    <xf numFmtId="0" fontId="4" fillId="0" borderId="20" xfId="9" applyFont="1" applyBorder="1" applyAlignment="1">
      <alignment horizontal="right" vertical="center"/>
    </xf>
    <xf numFmtId="0" fontId="4" fillId="0" borderId="21" xfId="9" applyFont="1" applyBorder="1" applyAlignment="1">
      <alignment horizontal="right" vertical="center"/>
    </xf>
    <xf numFmtId="0" fontId="4" fillId="0" borderId="37" xfId="9" applyFont="1" applyBorder="1" applyAlignment="1">
      <alignment horizontal="right" vertical="center"/>
    </xf>
    <xf numFmtId="0" fontId="4" fillId="0" borderId="22" xfId="9" applyFont="1" applyBorder="1" applyAlignment="1">
      <alignment horizontal="right" vertical="center"/>
    </xf>
    <xf numFmtId="0" fontId="4" fillId="0" borderId="23" xfId="9" applyFont="1" applyBorder="1" applyAlignment="1">
      <alignment horizontal="right" vertical="center"/>
    </xf>
    <xf numFmtId="0" fontId="4" fillId="0" borderId="38" xfId="9" applyFont="1" applyBorder="1" applyAlignment="1">
      <alignment horizontal="right" vertical="center"/>
    </xf>
    <xf numFmtId="0" fontId="4" fillId="0" borderId="24" xfId="9" applyFont="1" applyBorder="1" applyAlignment="1">
      <alignment horizontal="right" vertical="center"/>
    </xf>
    <xf numFmtId="0" fontId="4" fillId="0" borderId="25" xfId="9" applyFont="1" applyBorder="1" applyAlignment="1">
      <alignment horizontal="right" vertical="center"/>
    </xf>
    <xf numFmtId="0" fontId="4" fillId="0" borderId="40" xfId="9" applyFont="1" applyBorder="1" applyAlignment="1">
      <alignment horizontal="right" vertical="center"/>
    </xf>
    <xf numFmtId="0" fontId="3" fillId="4" borderId="7" xfId="0" applyFont="1" applyFill="1" applyBorder="1" applyAlignment="1">
      <alignment horizontal="justify" vertical="center" wrapText="1"/>
    </xf>
    <xf numFmtId="0" fontId="3" fillId="4" borderId="8" xfId="0" applyFont="1" applyFill="1" applyBorder="1" applyAlignment="1">
      <alignment horizontal="justify" vertical="center" wrapText="1"/>
    </xf>
    <xf numFmtId="0" fontId="3" fillId="4" borderId="29" xfId="0" applyFont="1" applyFill="1" applyBorder="1" applyAlignment="1">
      <alignment horizontal="justify" vertical="center" wrapText="1"/>
    </xf>
    <xf numFmtId="3" fontId="4" fillId="4" borderId="7" xfId="0" applyNumberFormat="1" applyFont="1" applyFill="1" applyBorder="1" applyAlignment="1">
      <alignment horizontal="center" vertical="center" wrapText="1"/>
    </xf>
    <xf numFmtId="3" fontId="4" fillId="4" borderId="8" xfId="0" applyNumberFormat="1" applyFont="1" applyFill="1" applyBorder="1" applyAlignment="1">
      <alignment horizontal="center" vertical="center" wrapText="1"/>
    </xf>
    <xf numFmtId="0" fontId="3" fillId="4" borderId="10" xfId="0" applyFont="1" applyFill="1" applyBorder="1" applyAlignment="1">
      <alignment horizontal="justify" vertical="center" wrapText="1"/>
    </xf>
    <xf numFmtId="0" fontId="3" fillId="4" borderId="11" xfId="0" applyFont="1" applyFill="1" applyBorder="1" applyAlignment="1">
      <alignment horizontal="justify" vertical="center" wrapText="1"/>
    </xf>
    <xf numFmtId="0" fontId="3" fillId="4" borderId="30" xfId="0" applyFont="1" applyFill="1" applyBorder="1" applyAlignment="1">
      <alignment horizontal="justify" vertical="center" wrapText="1"/>
    </xf>
    <xf numFmtId="0" fontId="3" fillId="4" borderId="13" xfId="0" applyFont="1" applyFill="1" applyBorder="1" applyAlignment="1">
      <alignment horizontal="justify" vertical="center" wrapText="1"/>
    </xf>
    <xf numFmtId="0" fontId="3" fillId="4" borderId="14" xfId="0" applyFont="1" applyFill="1" applyBorder="1" applyAlignment="1">
      <alignment horizontal="justify" vertical="center" wrapText="1"/>
    </xf>
    <xf numFmtId="0" fontId="3" fillId="4" borderId="32" xfId="0" applyFont="1" applyFill="1" applyBorder="1" applyAlignment="1">
      <alignment horizontal="justify" vertical="center" wrapText="1"/>
    </xf>
    <xf numFmtId="3" fontId="4" fillId="4" borderId="43" xfId="0" applyNumberFormat="1" applyFont="1" applyFill="1" applyBorder="1" applyAlignment="1">
      <alignment horizontal="center" vertical="center"/>
    </xf>
    <xf numFmtId="3" fontId="4" fillId="4" borderId="35" xfId="0" applyNumberFormat="1" applyFont="1" applyFill="1" applyBorder="1" applyAlignment="1">
      <alignment horizontal="center" vertical="center"/>
    </xf>
    <xf numFmtId="0" fontId="5" fillId="6" borderId="11" xfId="0" applyFont="1" applyFill="1" applyBorder="1" applyAlignment="1">
      <alignment horizontal="center" vertical="center"/>
    </xf>
    <xf numFmtId="0" fontId="5" fillId="8" borderId="11" xfId="0" applyFont="1" applyFill="1" applyBorder="1" applyAlignment="1">
      <alignment horizontal="center" vertical="center"/>
    </xf>
    <xf numFmtId="0" fontId="4" fillId="5" borderId="11" xfId="3" applyFont="1" applyFill="1" applyBorder="1" applyAlignment="1">
      <alignment horizontal="center" vertical="center"/>
    </xf>
    <xf numFmtId="0" fontId="5" fillId="3" borderId="11" xfId="0" applyFont="1" applyFill="1" applyBorder="1" applyAlignment="1">
      <alignment horizontal="center" vertical="center"/>
    </xf>
    <xf numFmtId="0" fontId="5" fillId="7" borderId="11" xfId="0" applyFont="1" applyFill="1" applyBorder="1" applyAlignment="1">
      <alignment horizontal="center" vertical="center"/>
    </xf>
    <xf numFmtId="164" fontId="4" fillId="2" borderId="12" xfId="2" applyNumberFormat="1" applyFont="1" applyFill="1" applyBorder="1" applyAlignment="1" applyProtection="1">
      <alignment horizontal="center" vertical="center" wrapText="1"/>
    </xf>
    <xf numFmtId="0" fontId="4"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4" fillId="0" borderId="2" xfId="0" applyFont="1" applyBorder="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2" fontId="3" fillId="0" borderId="2" xfId="0" applyNumberFormat="1" applyFont="1" applyBorder="1" applyAlignment="1">
      <alignment horizontal="center"/>
    </xf>
    <xf numFmtId="2" fontId="3" fillId="0" borderId="3" xfId="0" applyNumberFormat="1" applyFont="1" applyBorder="1" applyAlignment="1">
      <alignment horizontal="center"/>
    </xf>
    <xf numFmtId="2" fontId="3" fillId="0" borderId="0" xfId="0" applyNumberFormat="1" applyFont="1" applyAlignment="1">
      <alignment horizontal="center"/>
    </xf>
    <xf numFmtId="2" fontId="3" fillId="0" borderId="5" xfId="0" applyNumberFormat="1"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29" xfId="0" applyFont="1" applyBorder="1" applyAlignment="1">
      <alignment horizontal="center"/>
    </xf>
    <xf numFmtId="0" fontId="4" fillId="0" borderId="9" xfId="0" applyFont="1" applyBorder="1" applyAlignment="1">
      <alignment horizontal="center"/>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30"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30"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4" fillId="5" borderId="10" xfId="3" applyFont="1" applyFill="1" applyBorder="1" applyAlignment="1">
      <alignment horizontal="left" vertical="center"/>
    </xf>
    <xf numFmtId="0" fontId="4" fillId="5" borderId="11" xfId="3" applyFont="1" applyFill="1" applyBorder="1" applyAlignment="1">
      <alignment horizontal="left" vertical="center"/>
    </xf>
    <xf numFmtId="0" fontId="4" fillId="5" borderId="30" xfId="3" applyFont="1" applyFill="1" applyBorder="1" applyAlignment="1">
      <alignment horizontal="left" vertical="center"/>
    </xf>
    <xf numFmtId="0" fontId="4" fillId="5" borderId="12" xfId="3" applyFont="1" applyFill="1" applyBorder="1" applyAlignment="1">
      <alignment horizontal="left" vertical="center"/>
    </xf>
    <xf numFmtId="0" fontId="4" fillId="2" borderId="10" xfId="3" applyFont="1" applyFill="1" applyBorder="1" applyAlignment="1">
      <alignment horizontal="center" vertical="center" wrapText="1"/>
    </xf>
    <xf numFmtId="0" fontId="4" fillId="2" borderId="11" xfId="3" applyFont="1" applyFill="1" applyBorder="1" applyAlignment="1">
      <alignment horizontal="center" vertical="center" wrapText="1"/>
    </xf>
    <xf numFmtId="0" fontId="4" fillId="0" borderId="11" xfId="4" applyFont="1" applyBorder="1" applyAlignment="1">
      <alignment horizontal="center" vertical="center" wrapText="1"/>
    </xf>
    <xf numFmtId="2" fontId="4" fillId="2" borderId="11" xfId="3" applyNumberFormat="1" applyFont="1" applyFill="1" applyBorder="1" applyAlignment="1">
      <alignment horizontal="center" vertical="center" wrapText="1"/>
    </xf>
    <xf numFmtId="0" fontId="3" fillId="0" borderId="0" xfId="0" applyFont="1" applyAlignment="1" applyProtection="1">
      <alignment horizontal="center"/>
      <protection locked="0"/>
    </xf>
    <xf numFmtId="0" fontId="3" fillId="0" borderId="0" xfId="0" applyFont="1" applyAlignment="1" applyProtection="1">
      <alignment horizontal="justify" vertical="center"/>
      <protection locked="0"/>
    </xf>
  </cellXfs>
  <cellStyles count="12">
    <cellStyle name="Comma 5" xfId="11" xr:uid="{099B0C2F-88B1-4EAF-8970-73D59284E24D}"/>
    <cellStyle name="Currency" xfId="2" xr:uid="{2F7CCC37-84FE-4DBE-9082-ABEEE53C6B0B}"/>
    <cellStyle name="Normal" xfId="0" builtinId="0"/>
    <cellStyle name="Normal 12 2 2 2" xfId="6" xr:uid="{FBD6C519-7F80-409F-BC66-DCDB4DB7F718}"/>
    <cellStyle name="Normal 2 10" xfId="3" xr:uid="{756CE377-A3F3-461A-BF54-B878ED4EAB42}"/>
    <cellStyle name="Normal 2 10 2 2" xfId="5" xr:uid="{9DF3C32F-1C9F-4C36-87DF-1F5A7F7D6FE9}"/>
    <cellStyle name="Normal 2 10 3" xfId="4" xr:uid="{D924B00F-A319-4119-9753-923089847FB0}"/>
    <cellStyle name="Normal 2 2" xfId="10" xr:uid="{6DC7FE15-7B16-4904-BB45-4CFB9929A2EA}"/>
    <cellStyle name="Normal 3 10" xfId="7" xr:uid="{0F30D3DC-4C09-4DAC-A70E-44BF2EEE66FF}"/>
    <cellStyle name="Normal 3 2 2" xfId="9" xr:uid="{B8FC0AEC-3B9C-43A8-993F-2EEE343DDA64}"/>
    <cellStyle name="Percent" xfId="8" xr:uid="{EC4EF8D8-E42A-4D90-8896-78CFF4A3E773}"/>
    <cellStyle name="Porcentaje" xfId="1" builtinId="5"/>
  </cellStyles>
  <dxfs count="72">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twoCellAnchor editAs="oneCell">
    <xdr:from>
      <xdr:col>3</xdr:col>
      <xdr:colOff>990600</xdr:colOff>
      <xdr:row>19</xdr:row>
      <xdr:rowOff>0</xdr:rowOff>
    </xdr:from>
    <xdr:to>
      <xdr:col>3</xdr:col>
      <xdr:colOff>1001026</xdr:colOff>
      <xdr:row>20</xdr:row>
      <xdr:rowOff>47658</xdr:rowOff>
    </xdr:to>
    <xdr:sp macro="" textlink="">
      <xdr:nvSpPr>
        <xdr:cNvPr id="2" name="Text Box 1281">
          <a:extLst>
            <a:ext uri="{FF2B5EF4-FFF2-40B4-BE49-F238E27FC236}">
              <a16:creationId xmlns:a16="http://schemas.microsoft.com/office/drawing/2014/main" id="{22A6486E-1FF7-45A3-8F23-AF8CCA737696}"/>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3" name="Text Box 1282">
          <a:extLst>
            <a:ext uri="{FF2B5EF4-FFF2-40B4-BE49-F238E27FC236}">
              <a16:creationId xmlns:a16="http://schemas.microsoft.com/office/drawing/2014/main" id="{C3C84A74-E8C9-43ED-8958-483590753A83}"/>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4" name="Text Box 1283">
          <a:extLst>
            <a:ext uri="{FF2B5EF4-FFF2-40B4-BE49-F238E27FC236}">
              <a16:creationId xmlns:a16="http://schemas.microsoft.com/office/drawing/2014/main" id="{3DFE29FF-A086-4F56-B081-DEEA14C1845A}"/>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5" name="Text Box 1284">
          <a:extLst>
            <a:ext uri="{FF2B5EF4-FFF2-40B4-BE49-F238E27FC236}">
              <a16:creationId xmlns:a16="http://schemas.microsoft.com/office/drawing/2014/main" id="{3A10E175-C530-4BBF-9F3C-00AE8EBCD5FA}"/>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6" name="Text Box 1285">
          <a:extLst>
            <a:ext uri="{FF2B5EF4-FFF2-40B4-BE49-F238E27FC236}">
              <a16:creationId xmlns:a16="http://schemas.microsoft.com/office/drawing/2014/main" id="{AF1217D0-B2BB-4D4B-A835-BC2D35A01AE4}"/>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7" name="Text Box 1286">
          <a:extLst>
            <a:ext uri="{FF2B5EF4-FFF2-40B4-BE49-F238E27FC236}">
              <a16:creationId xmlns:a16="http://schemas.microsoft.com/office/drawing/2014/main" id="{B8F78062-EAF8-432E-8319-0FDD95DEAEF6}"/>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8" name="Text Box 1287">
          <a:extLst>
            <a:ext uri="{FF2B5EF4-FFF2-40B4-BE49-F238E27FC236}">
              <a16:creationId xmlns:a16="http://schemas.microsoft.com/office/drawing/2014/main" id="{4564D663-8C74-435F-9A2F-5D0853C75E4E}"/>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9" name="Text Box 1288">
          <a:extLst>
            <a:ext uri="{FF2B5EF4-FFF2-40B4-BE49-F238E27FC236}">
              <a16:creationId xmlns:a16="http://schemas.microsoft.com/office/drawing/2014/main" id="{99754EBF-2ED6-4EDE-B036-43C6CBFD9A24}"/>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10" name="Text Box 1289">
          <a:extLst>
            <a:ext uri="{FF2B5EF4-FFF2-40B4-BE49-F238E27FC236}">
              <a16:creationId xmlns:a16="http://schemas.microsoft.com/office/drawing/2014/main" id="{7EBFC195-29F2-41BB-928E-5844DF3CFE09}"/>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11" name="Text Box 1290">
          <a:extLst>
            <a:ext uri="{FF2B5EF4-FFF2-40B4-BE49-F238E27FC236}">
              <a16:creationId xmlns:a16="http://schemas.microsoft.com/office/drawing/2014/main" id="{026899EF-A757-486F-A934-419DCB4E9CBC}"/>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12" name="Text Box 1291">
          <a:extLst>
            <a:ext uri="{FF2B5EF4-FFF2-40B4-BE49-F238E27FC236}">
              <a16:creationId xmlns:a16="http://schemas.microsoft.com/office/drawing/2014/main" id="{D53EE843-2FEB-4495-8081-44A9B7393BDB}"/>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13" name="Text Box 1292">
          <a:extLst>
            <a:ext uri="{FF2B5EF4-FFF2-40B4-BE49-F238E27FC236}">
              <a16:creationId xmlns:a16="http://schemas.microsoft.com/office/drawing/2014/main" id="{614AFB71-24E4-4FAB-AD1A-23F257730FCC}"/>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14" name="Text Box 1293">
          <a:extLst>
            <a:ext uri="{FF2B5EF4-FFF2-40B4-BE49-F238E27FC236}">
              <a16:creationId xmlns:a16="http://schemas.microsoft.com/office/drawing/2014/main" id="{5DCC3821-ECAE-4D5D-96FB-A56C00C21200}"/>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15" name="Text Box 1294">
          <a:extLst>
            <a:ext uri="{FF2B5EF4-FFF2-40B4-BE49-F238E27FC236}">
              <a16:creationId xmlns:a16="http://schemas.microsoft.com/office/drawing/2014/main" id="{EC7DA348-6D51-4269-8336-02A7708D2A05}"/>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16" name="Text Box 1295">
          <a:extLst>
            <a:ext uri="{FF2B5EF4-FFF2-40B4-BE49-F238E27FC236}">
              <a16:creationId xmlns:a16="http://schemas.microsoft.com/office/drawing/2014/main" id="{C589F733-3BE4-43A9-AE98-2849CF2B5EBC}"/>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17" name="Text Box 1296">
          <a:extLst>
            <a:ext uri="{FF2B5EF4-FFF2-40B4-BE49-F238E27FC236}">
              <a16:creationId xmlns:a16="http://schemas.microsoft.com/office/drawing/2014/main" id="{46D051AA-EF78-4C5E-BC4D-A287475EB600}"/>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18" name="Text Box 1297">
          <a:extLst>
            <a:ext uri="{FF2B5EF4-FFF2-40B4-BE49-F238E27FC236}">
              <a16:creationId xmlns:a16="http://schemas.microsoft.com/office/drawing/2014/main" id="{BAF60370-8E60-42B2-B5CD-8BD40790710A}"/>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19" name="Text Box 1298">
          <a:extLst>
            <a:ext uri="{FF2B5EF4-FFF2-40B4-BE49-F238E27FC236}">
              <a16:creationId xmlns:a16="http://schemas.microsoft.com/office/drawing/2014/main" id="{81245073-D258-4A5E-93D7-8AC5D5A14F83}"/>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20" name="Text Box 1299">
          <a:extLst>
            <a:ext uri="{FF2B5EF4-FFF2-40B4-BE49-F238E27FC236}">
              <a16:creationId xmlns:a16="http://schemas.microsoft.com/office/drawing/2014/main" id="{E65A4B91-812C-42BF-9746-D5758582BDED}"/>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21" name="Text Box 1300">
          <a:extLst>
            <a:ext uri="{FF2B5EF4-FFF2-40B4-BE49-F238E27FC236}">
              <a16:creationId xmlns:a16="http://schemas.microsoft.com/office/drawing/2014/main" id="{0F5F5752-2F08-474F-B0B1-858EF2B8274F}"/>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1028700</xdr:colOff>
      <xdr:row>19</xdr:row>
      <xdr:rowOff>0</xdr:rowOff>
    </xdr:from>
    <xdr:to>
      <xdr:col>3</xdr:col>
      <xdr:colOff>1039126</xdr:colOff>
      <xdr:row>20</xdr:row>
      <xdr:rowOff>47658</xdr:rowOff>
    </xdr:to>
    <xdr:sp macro="" textlink="">
      <xdr:nvSpPr>
        <xdr:cNvPr id="22" name="Text Box 1301">
          <a:extLst>
            <a:ext uri="{FF2B5EF4-FFF2-40B4-BE49-F238E27FC236}">
              <a16:creationId xmlns:a16="http://schemas.microsoft.com/office/drawing/2014/main" id="{EF8B7100-C32A-4677-9181-A161D970E7D7}"/>
            </a:ext>
          </a:extLst>
        </xdr:cNvPr>
        <xdr:cNvSpPr txBox="1">
          <a:spLocks noChangeArrowheads="1"/>
        </xdr:cNvSpPr>
      </xdr:nvSpPr>
      <xdr:spPr bwMode="auto">
        <a:xfrm>
          <a:off x="21240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1019175</xdr:colOff>
      <xdr:row>19</xdr:row>
      <xdr:rowOff>0</xdr:rowOff>
    </xdr:from>
    <xdr:to>
      <xdr:col>3</xdr:col>
      <xdr:colOff>1027073</xdr:colOff>
      <xdr:row>20</xdr:row>
      <xdr:rowOff>47658</xdr:rowOff>
    </xdr:to>
    <xdr:sp macro="" textlink="">
      <xdr:nvSpPr>
        <xdr:cNvPr id="23" name="Text Box 1302">
          <a:extLst>
            <a:ext uri="{FF2B5EF4-FFF2-40B4-BE49-F238E27FC236}">
              <a16:creationId xmlns:a16="http://schemas.microsoft.com/office/drawing/2014/main" id="{219ED082-1A67-48B1-B75B-15E01BFF7D4E}"/>
            </a:ext>
          </a:extLst>
        </xdr:cNvPr>
        <xdr:cNvSpPr txBox="1">
          <a:spLocks noChangeArrowheads="1"/>
        </xdr:cNvSpPr>
      </xdr:nvSpPr>
      <xdr:spPr bwMode="auto">
        <a:xfrm>
          <a:off x="2114550" y="3243263"/>
          <a:ext cx="7898"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24" name="Text Box 1303">
          <a:extLst>
            <a:ext uri="{FF2B5EF4-FFF2-40B4-BE49-F238E27FC236}">
              <a16:creationId xmlns:a16="http://schemas.microsoft.com/office/drawing/2014/main" id="{F1EE78B9-88BC-4F81-86D1-1C34B4DD7B0C}"/>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1028700</xdr:colOff>
      <xdr:row>19</xdr:row>
      <xdr:rowOff>0</xdr:rowOff>
    </xdr:from>
    <xdr:to>
      <xdr:col>3</xdr:col>
      <xdr:colOff>1039126</xdr:colOff>
      <xdr:row>20</xdr:row>
      <xdr:rowOff>47658</xdr:rowOff>
    </xdr:to>
    <xdr:sp macro="" textlink="">
      <xdr:nvSpPr>
        <xdr:cNvPr id="25" name="Text Box 1304">
          <a:extLst>
            <a:ext uri="{FF2B5EF4-FFF2-40B4-BE49-F238E27FC236}">
              <a16:creationId xmlns:a16="http://schemas.microsoft.com/office/drawing/2014/main" id="{55666F77-F089-44D4-93A7-B0C32B6DE2D8}"/>
            </a:ext>
          </a:extLst>
        </xdr:cNvPr>
        <xdr:cNvSpPr txBox="1">
          <a:spLocks noChangeArrowheads="1"/>
        </xdr:cNvSpPr>
      </xdr:nvSpPr>
      <xdr:spPr bwMode="auto">
        <a:xfrm>
          <a:off x="21240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26" name="Text Box 1305">
          <a:extLst>
            <a:ext uri="{FF2B5EF4-FFF2-40B4-BE49-F238E27FC236}">
              <a16:creationId xmlns:a16="http://schemas.microsoft.com/office/drawing/2014/main" id="{B6248C1F-AFA3-441F-8C25-D0B48252C43F}"/>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27" name="Text Box 1306">
          <a:extLst>
            <a:ext uri="{FF2B5EF4-FFF2-40B4-BE49-F238E27FC236}">
              <a16:creationId xmlns:a16="http://schemas.microsoft.com/office/drawing/2014/main" id="{E99313ED-BD90-4F48-8EBF-3285DADA6E2B}"/>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28" name="Text Box 1307">
          <a:extLst>
            <a:ext uri="{FF2B5EF4-FFF2-40B4-BE49-F238E27FC236}">
              <a16:creationId xmlns:a16="http://schemas.microsoft.com/office/drawing/2014/main" id="{D7214C50-C9A3-4991-985A-D7D231915075}"/>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29" name="Text Box 1308">
          <a:extLst>
            <a:ext uri="{FF2B5EF4-FFF2-40B4-BE49-F238E27FC236}">
              <a16:creationId xmlns:a16="http://schemas.microsoft.com/office/drawing/2014/main" id="{610650C9-D8CE-4FF2-AFFD-40496DACA453}"/>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47658</xdr:rowOff>
    </xdr:to>
    <xdr:sp macro="" textlink="">
      <xdr:nvSpPr>
        <xdr:cNvPr id="30" name="Text Box 1309">
          <a:extLst>
            <a:ext uri="{FF2B5EF4-FFF2-40B4-BE49-F238E27FC236}">
              <a16:creationId xmlns:a16="http://schemas.microsoft.com/office/drawing/2014/main" id="{132CDBE4-33FC-41E9-A877-6DDCE7BA7397}"/>
            </a:ext>
          </a:extLst>
        </xdr:cNvPr>
        <xdr:cNvSpPr txBox="1">
          <a:spLocks noChangeArrowheads="1"/>
        </xdr:cNvSpPr>
      </xdr:nvSpPr>
      <xdr:spPr bwMode="auto">
        <a:xfrm>
          <a:off x="2085975" y="3243263"/>
          <a:ext cx="10426" cy="214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85123</xdr:rowOff>
    </xdr:to>
    <xdr:sp macro="" textlink="">
      <xdr:nvSpPr>
        <xdr:cNvPr id="31" name="Text Box 141">
          <a:extLst>
            <a:ext uri="{FF2B5EF4-FFF2-40B4-BE49-F238E27FC236}">
              <a16:creationId xmlns:a16="http://schemas.microsoft.com/office/drawing/2014/main" id="{B9A6B72C-35C6-47E1-8BE4-06DBD399B979}"/>
            </a:ext>
          </a:extLst>
        </xdr:cNvPr>
        <xdr:cNvSpPr txBox="1">
          <a:spLocks noChangeArrowheads="1"/>
        </xdr:cNvSpPr>
      </xdr:nvSpPr>
      <xdr:spPr bwMode="auto">
        <a:xfrm>
          <a:off x="2085975" y="3243263"/>
          <a:ext cx="10426" cy="2518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123223</xdr:rowOff>
    </xdr:to>
    <xdr:sp macro="" textlink="">
      <xdr:nvSpPr>
        <xdr:cNvPr id="32" name="Text Box 145">
          <a:extLst>
            <a:ext uri="{FF2B5EF4-FFF2-40B4-BE49-F238E27FC236}">
              <a16:creationId xmlns:a16="http://schemas.microsoft.com/office/drawing/2014/main" id="{6E23FE86-28FA-44F7-B256-A1487BFA01DB}"/>
            </a:ext>
          </a:extLst>
        </xdr:cNvPr>
        <xdr:cNvSpPr txBox="1">
          <a:spLocks noChangeArrowheads="1"/>
        </xdr:cNvSpPr>
      </xdr:nvSpPr>
      <xdr:spPr bwMode="auto">
        <a:xfrm>
          <a:off x="2085975" y="3243263"/>
          <a:ext cx="10426" cy="289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85123</xdr:rowOff>
    </xdr:to>
    <xdr:sp macro="" textlink="">
      <xdr:nvSpPr>
        <xdr:cNvPr id="33" name="Text Box 147">
          <a:extLst>
            <a:ext uri="{FF2B5EF4-FFF2-40B4-BE49-F238E27FC236}">
              <a16:creationId xmlns:a16="http://schemas.microsoft.com/office/drawing/2014/main" id="{A3D6C247-14B1-47E6-83BC-7DA1D9971A60}"/>
            </a:ext>
          </a:extLst>
        </xdr:cNvPr>
        <xdr:cNvSpPr txBox="1">
          <a:spLocks noChangeArrowheads="1"/>
        </xdr:cNvSpPr>
      </xdr:nvSpPr>
      <xdr:spPr bwMode="auto">
        <a:xfrm>
          <a:off x="2085975" y="3243263"/>
          <a:ext cx="10426" cy="2518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85123</xdr:rowOff>
    </xdr:to>
    <xdr:sp macro="" textlink="">
      <xdr:nvSpPr>
        <xdr:cNvPr id="34" name="Text Box 154">
          <a:extLst>
            <a:ext uri="{FF2B5EF4-FFF2-40B4-BE49-F238E27FC236}">
              <a16:creationId xmlns:a16="http://schemas.microsoft.com/office/drawing/2014/main" id="{8F45BDFF-B320-4541-9B1D-F781FCEA3D63}"/>
            </a:ext>
          </a:extLst>
        </xdr:cNvPr>
        <xdr:cNvSpPr txBox="1">
          <a:spLocks noChangeArrowheads="1"/>
        </xdr:cNvSpPr>
      </xdr:nvSpPr>
      <xdr:spPr bwMode="auto">
        <a:xfrm>
          <a:off x="2085975" y="3243263"/>
          <a:ext cx="10426" cy="2518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123223</xdr:rowOff>
    </xdr:to>
    <xdr:sp macro="" textlink="">
      <xdr:nvSpPr>
        <xdr:cNvPr id="35" name="Text Box 159">
          <a:extLst>
            <a:ext uri="{FF2B5EF4-FFF2-40B4-BE49-F238E27FC236}">
              <a16:creationId xmlns:a16="http://schemas.microsoft.com/office/drawing/2014/main" id="{F760DC59-ACE9-4F6D-BA2A-9F061C65FCC7}"/>
            </a:ext>
          </a:extLst>
        </xdr:cNvPr>
        <xdr:cNvSpPr txBox="1">
          <a:spLocks noChangeArrowheads="1"/>
        </xdr:cNvSpPr>
      </xdr:nvSpPr>
      <xdr:spPr bwMode="auto">
        <a:xfrm>
          <a:off x="2085975" y="3243263"/>
          <a:ext cx="10426" cy="289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85123</xdr:rowOff>
    </xdr:to>
    <xdr:sp macro="" textlink="">
      <xdr:nvSpPr>
        <xdr:cNvPr id="36" name="Text Box 163">
          <a:extLst>
            <a:ext uri="{FF2B5EF4-FFF2-40B4-BE49-F238E27FC236}">
              <a16:creationId xmlns:a16="http://schemas.microsoft.com/office/drawing/2014/main" id="{C9767D54-FF44-44DD-B268-4F3EBD488CC0}"/>
            </a:ext>
          </a:extLst>
        </xdr:cNvPr>
        <xdr:cNvSpPr txBox="1">
          <a:spLocks noChangeArrowheads="1"/>
        </xdr:cNvSpPr>
      </xdr:nvSpPr>
      <xdr:spPr bwMode="auto">
        <a:xfrm>
          <a:off x="2085975" y="3243263"/>
          <a:ext cx="10426" cy="2518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85123</xdr:rowOff>
    </xdr:to>
    <xdr:sp macro="" textlink="">
      <xdr:nvSpPr>
        <xdr:cNvPr id="37" name="Text Box 164">
          <a:extLst>
            <a:ext uri="{FF2B5EF4-FFF2-40B4-BE49-F238E27FC236}">
              <a16:creationId xmlns:a16="http://schemas.microsoft.com/office/drawing/2014/main" id="{64B686E3-1C46-40EA-B961-609EE4CAA0ED}"/>
            </a:ext>
          </a:extLst>
        </xdr:cNvPr>
        <xdr:cNvSpPr txBox="1">
          <a:spLocks noChangeArrowheads="1"/>
        </xdr:cNvSpPr>
      </xdr:nvSpPr>
      <xdr:spPr bwMode="auto">
        <a:xfrm>
          <a:off x="2085975" y="3243263"/>
          <a:ext cx="10426" cy="2518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203179</xdr:rowOff>
    </xdr:to>
    <xdr:sp macro="" textlink="">
      <xdr:nvSpPr>
        <xdr:cNvPr id="38" name="Text Box 165">
          <a:extLst>
            <a:ext uri="{FF2B5EF4-FFF2-40B4-BE49-F238E27FC236}">
              <a16:creationId xmlns:a16="http://schemas.microsoft.com/office/drawing/2014/main" id="{74E4328C-D5AE-4B30-A0F2-4820CD437879}"/>
            </a:ext>
          </a:extLst>
        </xdr:cNvPr>
        <xdr:cNvSpPr txBox="1">
          <a:spLocks noChangeArrowheads="1"/>
        </xdr:cNvSpPr>
      </xdr:nvSpPr>
      <xdr:spPr bwMode="auto">
        <a:xfrm>
          <a:off x="20859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123223</xdr:rowOff>
    </xdr:to>
    <xdr:sp macro="" textlink="">
      <xdr:nvSpPr>
        <xdr:cNvPr id="39" name="Text Box 166">
          <a:extLst>
            <a:ext uri="{FF2B5EF4-FFF2-40B4-BE49-F238E27FC236}">
              <a16:creationId xmlns:a16="http://schemas.microsoft.com/office/drawing/2014/main" id="{6DE2A2D2-AB8C-4311-A517-0C6DC82C7C05}"/>
            </a:ext>
          </a:extLst>
        </xdr:cNvPr>
        <xdr:cNvSpPr txBox="1">
          <a:spLocks noChangeArrowheads="1"/>
        </xdr:cNvSpPr>
      </xdr:nvSpPr>
      <xdr:spPr bwMode="auto">
        <a:xfrm>
          <a:off x="2085975" y="3243263"/>
          <a:ext cx="10426" cy="289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203179</xdr:rowOff>
    </xdr:to>
    <xdr:sp macro="" textlink="">
      <xdr:nvSpPr>
        <xdr:cNvPr id="40" name="Text Box 167">
          <a:extLst>
            <a:ext uri="{FF2B5EF4-FFF2-40B4-BE49-F238E27FC236}">
              <a16:creationId xmlns:a16="http://schemas.microsoft.com/office/drawing/2014/main" id="{84A803F3-4061-4B06-A187-3509CFC49091}"/>
            </a:ext>
          </a:extLst>
        </xdr:cNvPr>
        <xdr:cNvSpPr txBox="1">
          <a:spLocks noChangeArrowheads="1"/>
        </xdr:cNvSpPr>
      </xdr:nvSpPr>
      <xdr:spPr bwMode="auto">
        <a:xfrm>
          <a:off x="20859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203179</xdr:rowOff>
    </xdr:to>
    <xdr:sp macro="" textlink="">
      <xdr:nvSpPr>
        <xdr:cNvPr id="41" name="Text Box 168">
          <a:extLst>
            <a:ext uri="{FF2B5EF4-FFF2-40B4-BE49-F238E27FC236}">
              <a16:creationId xmlns:a16="http://schemas.microsoft.com/office/drawing/2014/main" id="{5D631C36-BFB7-457C-8383-968BBF227563}"/>
            </a:ext>
          </a:extLst>
        </xdr:cNvPr>
        <xdr:cNvSpPr txBox="1">
          <a:spLocks noChangeArrowheads="1"/>
        </xdr:cNvSpPr>
      </xdr:nvSpPr>
      <xdr:spPr bwMode="auto">
        <a:xfrm>
          <a:off x="20859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203179</xdr:rowOff>
    </xdr:to>
    <xdr:sp macro="" textlink="">
      <xdr:nvSpPr>
        <xdr:cNvPr id="42" name="Text Box 169">
          <a:extLst>
            <a:ext uri="{FF2B5EF4-FFF2-40B4-BE49-F238E27FC236}">
              <a16:creationId xmlns:a16="http://schemas.microsoft.com/office/drawing/2014/main" id="{1F1FF151-0275-42AC-A2CD-87B875DD15C2}"/>
            </a:ext>
          </a:extLst>
        </xdr:cNvPr>
        <xdr:cNvSpPr txBox="1">
          <a:spLocks noChangeArrowheads="1"/>
        </xdr:cNvSpPr>
      </xdr:nvSpPr>
      <xdr:spPr bwMode="auto">
        <a:xfrm>
          <a:off x="20859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203179</xdr:rowOff>
    </xdr:to>
    <xdr:sp macro="" textlink="">
      <xdr:nvSpPr>
        <xdr:cNvPr id="43" name="Text Box 170">
          <a:extLst>
            <a:ext uri="{FF2B5EF4-FFF2-40B4-BE49-F238E27FC236}">
              <a16:creationId xmlns:a16="http://schemas.microsoft.com/office/drawing/2014/main" id="{43ADA9F5-E942-45F9-876A-6398E431D14E}"/>
            </a:ext>
          </a:extLst>
        </xdr:cNvPr>
        <xdr:cNvSpPr txBox="1">
          <a:spLocks noChangeArrowheads="1"/>
        </xdr:cNvSpPr>
      </xdr:nvSpPr>
      <xdr:spPr bwMode="auto">
        <a:xfrm>
          <a:off x="20859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203179</xdr:rowOff>
    </xdr:to>
    <xdr:sp macro="" textlink="">
      <xdr:nvSpPr>
        <xdr:cNvPr id="44" name="Text Box 172">
          <a:extLst>
            <a:ext uri="{FF2B5EF4-FFF2-40B4-BE49-F238E27FC236}">
              <a16:creationId xmlns:a16="http://schemas.microsoft.com/office/drawing/2014/main" id="{3CE378B3-88DC-42AB-98B8-77ADB2B4F36A}"/>
            </a:ext>
          </a:extLst>
        </xdr:cNvPr>
        <xdr:cNvSpPr txBox="1">
          <a:spLocks noChangeArrowheads="1"/>
        </xdr:cNvSpPr>
      </xdr:nvSpPr>
      <xdr:spPr bwMode="auto">
        <a:xfrm>
          <a:off x="20859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203179</xdr:rowOff>
    </xdr:to>
    <xdr:sp macro="" textlink="">
      <xdr:nvSpPr>
        <xdr:cNvPr id="45" name="Text Box 173">
          <a:extLst>
            <a:ext uri="{FF2B5EF4-FFF2-40B4-BE49-F238E27FC236}">
              <a16:creationId xmlns:a16="http://schemas.microsoft.com/office/drawing/2014/main" id="{F28D2388-3B4F-4324-BB12-98DEF03DC94F}"/>
            </a:ext>
          </a:extLst>
        </xdr:cNvPr>
        <xdr:cNvSpPr txBox="1">
          <a:spLocks noChangeArrowheads="1"/>
        </xdr:cNvSpPr>
      </xdr:nvSpPr>
      <xdr:spPr bwMode="auto">
        <a:xfrm>
          <a:off x="20859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203179</xdr:rowOff>
    </xdr:to>
    <xdr:sp macro="" textlink="">
      <xdr:nvSpPr>
        <xdr:cNvPr id="46" name="Text Box 174">
          <a:extLst>
            <a:ext uri="{FF2B5EF4-FFF2-40B4-BE49-F238E27FC236}">
              <a16:creationId xmlns:a16="http://schemas.microsoft.com/office/drawing/2014/main" id="{FE182929-6007-43AC-8266-82BFFE646438}"/>
            </a:ext>
          </a:extLst>
        </xdr:cNvPr>
        <xdr:cNvSpPr txBox="1">
          <a:spLocks noChangeArrowheads="1"/>
        </xdr:cNvSpPr>
      </xdr:nvSpPr>
      <xdr:spPr bwMode="auto">
        <a:xfrm>
          <a:off x="20859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203179</xdr:rowOff>
    </xdr:to>
    <xdr:sp macro="" textlink="">
      <xdr:nvSpPr>
        <xdr:cNvPr id="47" name="Text Box 175">
          <a:extLst>
            <a:ext uri="{FF2B5EF4-FFF2-40B4-BE49-F238E27FC236}">
              <a16:creationId xmlns:a16="http://schemas.microsoft.com/office/drawing/2014/main" id="{D0CD08AF-9900-4EE6-A006-58B7E58A42DC}"/>
            </a:ext>
          </a:extLst>
        </xdr:cNvPr>
        <xdr:cNvSpPr txBox="1">
          <a:spLocks noChangeArrowheads="1"/>
        </xdr:cNvSpPr>
      </xdr:nvSpPr>
      <xdr:spPr bwMode="auto">
        <a:xfrm>
          <a:off x="20859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990600</xdr:colOff>
      <xdr:row>19</xdr:row>
      <xdr:rowOff>0</xdr:rowOff>
    </xdr:from>
    <xdr:to>
      <xdr:col>3</xdr:col>
      <xdr:colOff>1001026</xdr:colOff>
      <xdr:row>20</xdr:row>
      <xdr:rowOff>203179</xdr:rowOff>
    </xdr:to>
    <xdr:sp macro="" textlink="">
      <xdr:nvSpPr>
        <xdr:cNvPr id="48" name="Text Box 176">
          <a:extLst>
            <a:ext uri="{FF2B5EF4-FFF2-40B4-BE49-F238E27FC236}">
              <a16:creationId xmlns:a16="http://schemas.microsoft.com/office/drawing/2014/main" id="{90421196-9D7B-4417-B948-80CB8B65CA03}"/>
            </a:ext>
          </a:extLst>
        </xdr:cNvPr>
        <xdr:cNvSpPr txBox="1">
          <a:spLocks noChangeArrowheads="1"/>
        </xdr:cNvSpPr>
      </xdr:nvSpPr>
      <xdr:spPr bwMode="auto">
        <a:xfrm>
          <a:off x="20859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1028700</xdr:colOff>
      <xdr:row>19</xdr:row>
      <xdr:rowOff>0</xdr:rowOff>
    </xdr:from>
    <xdr:to>
      <xdr:col>3</xdr:col>
      <xdr:colOff>1039126</xdr:colOff>
      <xdr:row>20</xdr:row>
      <xdr:rowOff>203179</xdr:rowOff>
    </xdr:to>
    <xdr:sp macro="" textlink="">
      <xdr:nvSpPr>
        <xdr:cNvPr id="49" name="Text Box 182">
          <a:extLst>
            <a:ext uri="{FF2B5EF4-FFF2-40B4-BE49-F238E27FC236}">
              <a16:creationId xmlns:a16="http://schemas.microsoft.com/office/drawing/2014/main" id="{516CC3DA-DCAF-4583-AEFA-A6BC603D1E36}"/>
            </a:ext>
          </a:extLst>
        </xdr:cNvPr>
        <xdr:cNvSpPr txBox="1">
          <a:spLocks noChangeArrowheads="1"/>
        </xdr:cNvSpPr>
      </xdr:nvSpPr>
      <xdr:spPr bwMode="auto">
        <a:xfrm>
          <a:off x="2124075" y="3243263"/>
          <a:ext cx="10426"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1019175</xdr:colOff>
      <xdr:row>19</xdr:row>
      <xdr:rowOff>0</xdr:rowOff>
    </xdr:from>
    <xdr:to>
      <xdr:col>3</xdr:col>
      <xdr:colOff>1027073</xdr:colOff>
      <xdr:row>20</xdr:row>
      <xdr:rowOff>203179</xdr:rowOff>
    </xdr:to>
    <xdr:sp macro="" textlink="">
      <xdr:nvSpPr>
        <xdr:cNvPr id="50" name="Text Box 183">
          <a:extLst>
            <a:ext uri="{FF2B5EF4-FFF2-40B4-BE49-F238E27FC236}">
              <a16:creationId xmlns:a16="http://schemas.microsoft.com/office/drawing/2014/main" id="{733E3E01-13DE-450B-92B2-843F2FBF3C11}"/>
            </a:ext>
          </a:extLst>
        </xdr:cNvPr>
        <xdr:cNvSpPr txBox="1">
          <a:spLocks noChangeArrowheads="1"/>
        </xdr:cNvSpPr>
      </xdr:nvSpPr>
      <xdr:spPr bwMode="auto">
        <a:xfrm>
          <a:off x="2114550" y="3243263"/>
          <a:ext cx="7898" cy="369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351865</xdr:colOff>
      <xdr:row>19</xdr:row>
      <xdr:rowOff>0</xdr:rowOff>
    </xdr:from>
    <xdr:to>
      <xdr:col>11</xdr:col>
      <xdr:colOff>362237</xdr:colOff>
      <xdr:row>20</xdr:row>
      <xdr:rowOff>62267</xdr:rowOff>
    </xdr:to>
    <xdr:sp macro="" textlink="">
      <xdr:nvSpPr>
        <xdr:cNvPr id="51" name="Text Box 192">
          <a:extLst>
            <a:ext uri="{FF2B5EF4-FFF2-40B4-BE49-F238E27FC236}">
              <a16:creationId xmlns:a16="http://schemas.microsoft.com/office/drawing/2014/main" id="{CE5EDE9E-B0A7-4828-8E0A-EA023CB58B85}"/>
            </a:ext>
          </a:extLst>
        </xdr:cNvPr>
        <xdr:cNvSpPr txBox="1">
          <a:spLocks noChangeArrowheads="1"/>
        </xdr:cNvSpPr>
      </xdr:nvSpPr>
      <xdr:spPr bwMode="auto">
        <a:xfrm>
          <a:off x="15720453" y="32432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12</xdr:col>
      <xdr:colOff>0</xdr:colOff>
      <xdr:row>19</xdr:row>
      <xdr:rowOff>0</xdr:rowOff>
    </xdr:from>
    <xdr:ext cx="847" cy="235306"/>
    <xdr:sp macro="" textlink="">
      <xdr:nvSpPr>
        <xdr:cNvPr id="52" name="Text Box 192">
          <a:extLst>
            <a:ext uri="{FF2B5EF4-FFF2-40B4-BE49-F238E27FC236}">
              <a16:creationId xmlns:a16="http://schemas.microsoft.com/office/drawing/2014/main" id="{507C74C3-E201-44A7-BFCE-FAADCD8DE63A}"/>
            </a:ext>
          </a:extLst>
        </xdr:cNvPr>
        <xdr:cNvSpPr txBox="1">
          <a:spLocks noChangeArrowheads="1"/>
        </xdr:cNvSpPr>
      </xdr:nvSpPr>
      <xdr:spPr bwMode="auto">
        <a:xfrm>
          <a:off x="17287875" y="3243263"/>
          <a:ext cx="847" cy="2353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16</xdr:row>
      <xdr:rowOff>0</xdr:rowOff>
    </xdr:from>
    <xdr:ext cx="10372" cy="223664"/>
    <xdr:sp macro="" textlink="">
      <xdr:nvSpPr>
        <xdr:cNvPr id="53" name="Text Box 192">
          <a:extLst>
            <a:ext uri="{FF2B5EF4-FFF2-40B4-BE49-F238E27FC236}">
              <a16:creationId xmlns:a16="http://schemas.microsoft.com/office/drawing/2014/main" id="{4CD96BD8-7F52-4301-A226-4DD981C69E34}"/>
            </a:ext>
          </a:extLst>
        </xdr:cNvPr>
        <xdr:cNvSpPr txBox="1">
          <a:spLocks noChangeArrowheads="1"/>
        </xdr:cNvSpPr>
      </xdr:nvSpPr>
      <xdr:spPr bwMode="auto">
        <a:xfrm>
          <a:off x="17287875" y="2743200"/>
          <a:ext cx="10372" cy="2236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xdr:row>
      <xdr:rowOff>0</xdr:rowOff>
    </xdr:from>
    <xdr:ext cx="10372" cy="228955"/>
    <xdr:sp macro="" textlink="">
      <xdr:nvSpPr>
        <xdr:cNvPr id="54" name="Text Box 192">
          <a:extLst>
            <a:ext uri="{FF2B5EF4-FFF2-40B4-BE49-F238E27FC236}">
              <a16:creationId xmlns:a16="http://schemas.microsoft.com/office/drawing/2014/main" id="{9083DFE2-2704-4C6B-BEBF-2D25BE96632B}"/>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21</xdr:row>
      <xdr:rowOff>0</xdr:rowOff>
    </xdr:from>
    <xdr:ext cx="10372" cy="228955"/>
    <xdr:sp macro="" textlink="">
      <xdr:nvSpPr>
        <xdr:cNvPr id="55" name="Text Box 192">
          <a:extLst>
            <a:ext uri="{FF2B5EF4-FFF2-40B4-BE49-F238E27FC236}">
              <a16:creationId xmlns:a16="http://schemas.microsoft.com/office/drawing/2014/main" id="{DF3092F6-999B-4886-BA41-218F7555771C}"/>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22</xdr:row>
      <xdr:rowOff>0</xdr:rowOff>
    </xdr:from>
    <xdr:ext cx="10372" cy="228955"/>
    <xdr:sp macro="" textlink="">
      <xdr:nvSpPr>
        <xdr:cNvPr id="56" name="Text Box 192">
          <a:extLst>
            <a:ext uri="{FF2B5EF4-FFF2-40B4-BE49-F238E27FC236}">
              <a16:creationId xmlns:a16="http://schemas.microsoft.com/office/drawing/2014/main" id="{AA9E2C90-EDFF-4F07-8D7F-A4B95F359CFA}"/>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22</xdr:row>
      <xdr:rowOff>0</xdr:rowOff>
    </xdr:from>
    <xdr:ext cx="10372" cy="228955"/>
    <xdr:sp macro="" textlink="">
      <xdr:nvSpPr>
        <xdr:cNvPr id="57" name="Text Box 192">
          <a:extLst>
            <a:ext uri="{FF2B5EF4-FFF2-40B4-BE49-F238E27FC236}">
              <a16:creationId xmlns:a16="http://schemas.microsoft.com/office/drawing/2014/main" id="{B9D8ABD8-334A-4084-91FE-654D30B093F2}"/>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xdr:row>
      <xdr:rowOff>0</xdr:rowOff>
    </xdr:from>
    <xdr:ext cx="10372" cy="228955"/>
    <xdr:sp macro="" textlink="">
      <xdr:nvSpPr>
        <xdr:cNvPr id="58" name="Text Box 192">
          <a:extLst>
            <a:ext uri="{FF2B5EF4-FFF2-40B4-BE49-F238E27FC236}">
              <a16:creationId xmlns:a16="http://schemas.microsoft.com/office/drawing/2014/main" id="{2DC2F641-761A-407B-8882-52CBBD1CA79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xdr:row>
      <xdr:rowOff>0</xdr:rowOff>
    </xdr:from>
    <xdr:ext cx="10372" cy="228955"/>
    <xdr:sp macro="" textlink="">
      <xdr:nvSpPr>
        <xdr:cNvPr id="59" name="Text Box 192">
          <a:extLst>
            <a:ext uri="{FF2B5EF4-FFF2-40B4-BE49-F238E27FC236}">
              <a16:creationId xmlns:a16="http://schemas.microsoft.com/office/drawing/2014/main" id="{F3FAC71D-26C1-4C1A-A108-5078439C6CA1}"/>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24</xdr:row>
      <xdr:rowOff>0</xdr:rowOff>
    </xdr:from>
    <xdr:ext cx="10372" cy="228955"/>
    <xdr:sp macro="" textlink="">
      <xdr:nvSpPr>
        <xdr:cNvPr id="60" name="Text Box 192">
          <a:extLst>
            <a:ext uri="{FF2B5EF4-FFF2-40B4-BE49-F238E27FC236}">
              <a16:creationId xmlns:a16="http://schemas.microsoft.com/office/drawing/2014/main" id="{276E2B75-BD4E-4E8B-BE84-22B8FAACC465}"/>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24</xdr:row>
      <xdr:rowOff>0</xdr:rowOff>
    </xdr:from>
    <xdr:ext cx="10372" cy="228955"/>
    <xdr:sp macro="" textlink="">
      <xdr:nvSpPr>
        <xdr:cNvPr id="61" name="Text Box 192">
          <a:extLst>
            <a:ext uri="{FF2B5EF4-FFF2-40B4-BE49-F238E27FC236}">
              <a16:creationId xmlns:a16="http://schemas.microsoft.com/office/drawing/2014/main" id="{2DA77380-93E5-44A9-A775-C6868E980B22}"/>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xdr:row>
      <xdr:rowOff>0</xdr:rowOff>
    </xdr:from>
    <xdr:ext cx="10372" cy="228955"/>
    <xdr:sp macro="" textlink="">
      <xdr:nvSpPr>
        <xdr:cNvPr id="62" name="Text Box 192">
          <a:extLst>
            <a:ext uri="{FF2B5EF4-FFF2-40B4-BE49-F238E27FC236}">
              <a16:creationId xmlns:a16="http://schemas.microsoft.com/office/drawing/2014/main" id="{60C2234C-9159-4467-9409-52E8E0D64505}"/>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xdr:row>
      <xdr:rowOff>0</xdr:rowOff>
    </xdr:from>
    <xdr:ext cx="10372" cy="228955"/>
    <xdr:sp macro="" textlink="">
      <xdr:nvSpPr>
        <xdr:cNvPr id="63" name="Text Box 192">
          <a:extLst>
            <a:ext uri="{FF2B5EF4-FFF2-40B4-BE49-F238E27FC236}">
              <a16:creationId xmlns:a16="http://schemas.microsoft.com/office/drawing/2014/main" id="{120062BB-2A76-4103-80E8-7B0A3DA71B76}"/>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26</xdr:row>
      <xdr:rowOff>0</xdr:rowOff>
    </xdr:from>
    <xdr:ext cx="10372" cy="228955"/>
    <xdr:sp macro="" textlink="">
      <xdr:nvSpPr>
        <xdr:cNvPr id="64" name="Text Box 192">
          <a:extLst>
            <a:ext uri="{FF2B5EF4-FFF2-40B4-BE49-F238E27FC236}">
              <a16:creationId xmlns:a16="http://schemas.microsoft.com/office/drawing/2014/main" id="{E5790CE9-9510-4F5E-B4A6-6E2449FF3B3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26</xdr:row>
      <xdr:rowOff>0</xdr:rowOff>
    </xdr:from>
    <xdr:ext cx="10372" cy="228955"/>
    <xdr:sp macro="" textlink="">
      <xdr:nvSpPr>
        <xdr:cNvPr id="65" name="Text Box 192">
          <a:extLst>
            <a:ext uri="{FF2B5EF4-FFF2-40B4-BE49-F238E27FC236}">
              <a16:creationId xmlns:a16="http://schemas.microsoft.com/office/drawing/2014/main" id="{A324932C-A956-4B0A-8C59-E4086A5F590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xdr:row>
      <xdr:rowOff>0</xdr:rowOff>
    </xdr:from>
    <xdr:ext cx="10372" cy="228955"/>
    <xdr:sp macro="" textlink="">
      <xdr:nvSpPr>
        <xdr:cNvPr id="66" name="Text Box 192">
          <a:extLst>
            <a:ext uri="{FF2B5EF4-FFF2-40B4-BE49-F238E27FC236}">
              <a16:creationId xmlns:a16="http://schemas.microsoft.com/office/drawing/2014/main" id="{3487CECE-852D-427A-8745-6DA8EAB03B7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29</xdr:row>
      <xdr:rowOff>0</xdr:rowOff>
    </xdr:from>
    <xdr:ext cx="10372" cy="228955"/>
    <xdr:sp macro="" textlink="">
      <xdr:nvSpPr>
        <xdr:cNvPr id="67" name="Text Box 192">
          <a:extLst>
            <a:ext uri="{FF2B5EF4-FFF2-40B4-BE49-F238E27FC236}">
              <a16:creationId xmlns:a16="http://schemas.microsoft.com/office/drawing/2014/main" id="{068917D4-FA9E-4838-A1BF-342CD4D5DAB7}"/>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30</xdr:row>
      <xdr:rowOff>0</xdr:rowOff>
    </xdr:from>
    <xdr:ext cx="10372" cy="228955"/>
    <xdr:sp macro="" textlink="">
      <xdr:nvSpPr>
        <xdr:cNvPr id="68" name="Text Box 192">
          <a:extLst>
            <a:ext uri="{FF2B5EF4-FFF2-40B4-BE49-F238E27FC236}">
              <a16:creationId xmlns:a16="http://schemas.microsoft.com/office/drawing/2014/main" id="{7FEF23B5-911F-48A4-9148-66E8B0ED58C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30</xdr:row>
      <xdr:rowOff>0</xdr:rowOff>
    </xdr:from>
    <xdr:ext cx="10372" cy="228955"/>
    <xdr:sp macro="" textlink="">
      <xdr:nvSpPr>
        <xdr:cNvPr id="69" name="Text Box 192">
          <a:extLst>
            <a:ext uri="{FF2B5EF4-FFF2-40B4-BE49-F238E27FC236}">
              <a16:creationId xmlns:a16="http://schemas.microsoft.com/office/drawing/2014/main" id="{1752B593-9337-4F40-A64C-48F84E3633E1}"/>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31</xdr:row>
      <xdr:rowOff>0</xdr:rowOff>
    </xdr:from>
    <xdr:ext cx="10372" cy="228955"/>
    <xdr:sp macro="" textlink="">
      <xdr:nvSpPr>
        <xdr:cNvPr id="70" name="Text Box 192">
          <a:extLst>
            <a:ext uri="{FF2B5EF4-FFF2-40B4-BE49-F238E27FC236}">
              <a16:creationId xmlns:a16="http://schemas.microsoft.com/office/drawing/2014/main" id="{D81A5446-D313-4B87-8AEA-715FE441230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31</xdr:row>
      <xdr:rowOff>0</xdr:rowOff>
    </xdr:from>
    <xdr:ext cx="10372" cy="228955"/>
    <xdr:sp macro="" textlink="">
      <xdr:nvSpPr>
        <xdr:cNvPr id="71" name="Text Box 192">
          <a:extLst>
            <a:ext uri="{FF2B5EF4-FFF2-40B4-BE49-F238E27FC236}">
              <a16:creationId xmlns:a16="http://schemas.microsoft.com/office/drawing/2014/main" id="{E08B2767-6A7C-4B4B-9485-847C2DC7FE1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32</xdr:row>
      <xdr:rowOff>0</xdr:rowOff>
    </xdr:from>
    <xdr:ext cx="10372" cy="228955"/>
    <xdr:sp macro="" textlink="">
      <xdr:nvSpPr>
        <xdr:cNvPr id="72" name="Text Box 192">
          <a:extLst>
            <a:ext uri="{FF2B5EF4-FFF2-40B4-BE49-F238E27FC236}">
              <a16:creationId xmlns:a16="http://schemas.microsoft.com/office/drawing/2014/main" id="{0B39B6F7-4562-472A-B073-B4462D136BC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32</xdr:row>
      <xdr:rowOff>0</xdr:rowOff>
    </xdr:from>
    <xdr:ext cx="10372" cy="228955"/>
    <xdr:sp macro="" textlink="">
      <xdr:nvSpPr>
        <xdr:cNvPr id="73" name="Text Box 192">
          <a:extLst>
            <a:ext uri="{FF2B5EF4-FFF2-40B4-BE49-F238E27FC236}">
              <a16:creationId xmlns:a16="http://schemas.microsoft.com/office/drawing/2014/main" id="{77576EA9-402E-4CA8-BCE4-D7FDF6AE1B4B}"/>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33</xdr:row>
      <xdr:rowOff>0</xdr:rowOff>
    </xdr:from>
    <xdr:ext cx="10372" cy="228955"/>
    <xdr:sp macro="" textlink="">
      <xdr:nvSpPr>
        <xdr:cNvPr id="74" name="Text Box 192">
          <a:extLst>
            <a:ext uri="{FF2B5EF4-FFF2-40B4-BE49-F238E27FC236}">
              <a16:creationId xmlns:a16="http://schemas.microsoft.com/office/drawing/2014/main" id="{8FD0AE1D-2075-4733-A596-B99BBA9ECF4C}"/>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36</xdr:row>
      <xdr:rowOff>0</xdr:rowOff>
    </xdr:from>
    <xdr:ext cx="10372" cy="228955"/>
    <xdr:sp macro="" textlink="">
      <xdr:nvSpPr>
        <xdr:cNvPr id="75" name="Text Box 192">
          <a:extLst>
            <a:ext uri="{FF2B5EF4-FFF2-40B4-BE49-F238E27FC236}">
              <a16:creationId xmlns:a16="http://schemas.microsoft.com/office/drawing/2014/main" id="{B2C82355-1EA7-4FCF-84FF-0D86379B7EA2}"/>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37</xdr:row>
      <xdr:rowOff>0</xdr:rowOff>
    </xdr:from>
    <xdr:ext cx="10372" cy="228955"/>
    <xdr:sp macro="" textlink="">
      <xdr:nvSpPr>
        <xdr:cNvPr id="76" name="Text Box 192">
          <a:extLst>
            <a:ext uri="{FF2B5EF4-FFF2-40B4-BE49-F238E27FC236}">
              <a16:creationId xmlns:a16="http://schemas.microsoft.com/office/drawing/2014/main" id="{ECAA0780-3782-4421-A6CB-14C088DDC8D4}"/>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37</xdr:row>
      <xdr:rowOff>0</xdr:rowOff>
    </xdr:from>
    <xdr:ext cx="10372" cy="228955"/>
    <xdr:sp macro="" textlink="">
      <xdr:nvSpPr>
        <xdr:cNvPr id="77" name="Text Box 192">
          <a:extLst>
            <a:ext uri="{FF2B5EF4-FFF2-40B4-BE49-F238E27FC236}">
              <a16:creationId xmlns:a16="http://schemas.microsoft.com/office/drawing/2014/main" id="{14BD867F-9CCE-463D-86AE-CC6F48D9EE68}"/>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38</xdr:row>
      <xdr:rowOff>0</xdr:rowOff>
    </xdr:from>
    <xdr:ext cx="10372" cy="228955"/>
    <xdr:sp macro="" textlink="">
      <xdr:nvSpPr>
        <xdr:cNvPr id="78" name="Text Box 192">
          <a:extLst>
            <a:ext uri="{FF2B5EF4-FFF2-40B4-BE49-F238E27FC236}">
              <a16:creationId xmlns:a16="http://schemas.microsoft.com/office/drawing/2014/main" id="{995AD5F9-9F72-46C1-9A0C-30C78BF81CDA}"/>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38</xdr:row>
      <xdr:rowOff>0</xdr:rowOff>
    </xdr:from>
    <xdr:ext cx="10372" cy="228955"/>
    <xdr:sp macro="" textlink="">
      <xdr:nvSpPr>
        <xdr:cNvPr id="79" name="Text Box 192">
          <a:extLst>
            <a:ext uri="{FF2B5EF4-FFF2-40B4-BE49-F238E27FC236}">
              <a16:creationId xmlns:a16="http://schemas.microsoft.com/office/drawing/2014/main" id="{42D077F0-00DF-417E-ABFB-04229601D0BC}"/>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39</xdr:row>
      <xdr:rowOff>0</xdr:rowOff>
    </xdr:from>
    <xdr:ext cx="10372" cy="228955"/>
    <xdr:sp macro="" textlink="">
      <xdr:nvSpPr>
        <xdr:cNvPr id="80" name="Text Box 192">
          <a:extLst>
            <a:ext uri="{FF2B5EF4-FFF2-40B4-BE49-F238E27FC236}">
              <a16:creationId xmlns:a16="http://schemas.microsoft.com/office/drawing/2014/main" id="{B86D1E8D-946C-450D-886F-9C97D766668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39</xdr:row>
      <xdr:rowOff>0</xdr:rowOff>
    </xdr:from>
    <xdr:ext cx="10372" cy="228955"/>
    <xdr:sp macro="" textlink="">
      <xdr:nvSpPr>
        <xdr:cNvPr id="81" name="Text Box 192">
          <a:extLst>
            <a:ext uri="{FF2B5EF4-FFF2-40B4-BE49-F238E27FC236}">
              <a16:creationId xmlns:a16="http://schemas.microsoft.com/office/drawing/2014/main" id="{FEC7C173-A755-4371-940C-28AA129B452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40</xdr:row>
      <xdr:rowOff>0</xdr:rowOff>
    </xdr:from>
    <xdr:ext cx="10372" cy="228955"/>
    <xdr:sp macro="" textlink="">
      <xdr:nvSpPr>
        <xdr:cNvPr id="82" name="Text Box 192">
          <a:extLst>
            <a:ext uri="{FF2B5EF4-FFF2-40B4-BE49-F238E27FC236}">
              <a16:creationId xmlns:a16="http://schemas.microsoft.com/office/drawing/2014/main" id="{F7BE5786-CFD5-4757-AC54-749CB24384F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40</xdr:row>
      <xdr:rowOff>0</xdr:rowOff>
    </xdr:from>
    <xdr:ext cx="10372" cy="228955"/>
    <xdr:sp macro="" textlink="">
      <xdr:nvSpPr>
        <xdr:cNvPr id="83" name="Text Box 192">
          <a:extLst>
            <a:ext uri="{FF2B5EF4-FFF2-40B4-BE49-F238E27FC236}">
              <a16:creationId xmlns:a16="http://schemas.microsoft.com/office/drawing/2014/main" id="{7322318C-81FF-4C10-A7A0-E119810D1AB6}"/>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41</xdr:row>
      <xdr:rowOff>0</xdr:rowOff>
    </xdr:from>
    <xdr:ext cx="10372" cy="228955"/>
    <xdr:sp macro="" textlink="">
      <xdr:nvSpPr>
        <xdr:cNvPr id="84" name="Text Box 192">
          <a:extLst>
            <a:ext uri="{FF2B5EF4-FFF2-40B4-BE49-F238E27FC236}">
              <a16:creationId xmlns:a16="http://schemas.microsoft.com/office/drawing/2014/main" id="{82B09EE1-DB79-4A5C-8770-EF3BC04432C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41</xdr:row>
      <xdr:rowOff>0</xdr:rowOff>
    </xdr:from>
    <xdr:ext cx="10372" cy="228955"/>
    <xdr:sp macro="" textlink="">
      <xdr:nvSpPr>
        <xdr:cNvPr id="85" name="Text Box 192">
          <a:extLst>
            <a:ext uri="{FF2B5EF4-FFF2-40B4-BE49-F238E27FC236}">
              <a16:creationId xmlns:a16="http://schemas.microsoft.com/office/drawing/2014/main" id="{2CD35D02-6CEF-4CA5-A60B-FACECCC4676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42</xdr:row>
      <xdr:rowOff>0</xdr:rowOff>
    </xdr:from>
    <xdr:ext cx="10372" cy="228955"/>
    <xdr:sp macro="" textlink="">
      <xdr:nvSpPr>
        <xdr:cNvPr id="86" name="Text Box 192">
          <a:extLst>
            <a:ext uri="{FF2B5EF4-FFF2-40B4-BE49-F238E27FC236}">
              <a16:creationId xmlns:a16="http://schemas.microsoft.com/office/drawing/2014/main" id="{F1056E2F-DCDC-494B-851F-4FE1E3DF391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44</xdr:row>
      <xdr:rowOff>0</xdr:rowOff>
    </xdr:from>
    <xdr:ext cx="10372" cy="228955"/>
    <xdr:sp macro="" textlink="">
      <xdr:nvSpPr>
        <xdr:cNvPr id="87" name="Text Box 192">
          <a:extLst>
            <a:ext uri="{FF2B5EF4-FFF2-40B4-BE49-F238E27FC236}">
              <a16:creationId xmlns:a16="http://schemas.microsoft.com/office/drawing/2014/main" id="{C15C5612-B15D-499E-8961-52DB32FB3B46}"/>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45</xdr:row>
      <xdr:rowOff>0</xdr:rowOff>
    </xdr:from>
    <xdr:ext cx="10372" cy="228955"/>
    <xdr:sp macro="" textlink="">
      <xdr:nvSpPr>
        <xdr:cNvPr id="88" name="Text Box 192">
          <a:extLst>
            <a:ext uri="{FF2B5EF4-FFF2-40B4-BE49-F238E27FC236}">
              <a16:creationId xmlns:a16="http://schemas.microsoft.com/office/drawing/2014/main" id="{81957D1F-CA03-4096-B9F1-F7E4957292F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45</xdr:row>
      <xdr:rowOff>0</xdr:rowOff>
    </xdr:from>
    <xdr:ext cx="10372" cy="228955"/>
    <xdr:sp macro="" textlink="">
      <xdr:nvSpPr>
        <xdr:cNvPr id="89" name="Text Box 192">
          <a:extLst>
            <a:ext uri="{FF2B5EF4-FFF2-40B4-BE49-F238E27FC236}">
              <a16:creationId xmlns:a16="http://schemas.microsoft.com/office/drawing/2014/main" id="{F8163861-DDDA-4829-989F-0B72F70ADE4A}"/>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46</xdr:row>
      <xdr:rowOff>0</xdr:rowOff>
    </xdr:from>
    <xdr:ext cx="10372" cy="228955"/>
    <xdr:sp macro="" textlink="">
      <xdr:nvSpPr>
        <xdr:cNvPr id="90" name="Text Box 192">
          <a:extLst>
            <a:ext uri="{FF2B5EF4-FFF2-40B4-BE49-F238E27FC236}">
              <a16:creationId xmlns:a16="http://schemas.microsoft.com/office/drawing/2014/main" id="{3621E28F-5315-4D52-BE3C-BC3517D2F36C}"/>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46</xdr:row>
      <xdr:rowOff>0</xdr:rowOff>
    </xdr:from>
    <xdr:ext cx="10372" cy="228955"/>
    <xdr:sp macro="" textlink="">
      <xdr:nvSpPr>
        <xdr:cNvPr id="91" name="Text Box 192">
          <a:extLst>
            <a:ext uri="{FF2B5EF4-FFF2-40B4-BE49-F238E27FC236}">
              <a16:creationId xmlns:a16="http://schemas.microsoft.com/office/drawing/2014/main" id="{4936B48D-8E30-45EB-BCBA-97646C891C9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47</xdr:row>
      <xdr:rowOff>0</xdr:rowOff>
    </xdr:from>
    <xdr:ext cx="10372" cy="228955"/>
    <xdr:sp macro="" textlink="">
      <xdr:nvSpPr>
        <xdr:cNvPr id="92" name="Text Box 192">
          <a:extLst>
            <a:ext uri="{FF2B5EF4-FFF2-40B4-BE49-F238E27FC236}">
              <a16:creationId xmlns:a16="http://schemas.microsoft.com/office/drawing/2014/main" id="{788E55F1-E7C4-43ED-B69F-1C70A924792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47</xdr:row>
      <xdr:rowOff>0</xdr:rowOff>
    </xdr:from>
    <xdr:ext cx="10372" cy="228955"/>
    <xdr:sp macro="" textlink="">
      <xdr:nvSpPr>
        <xdr:cNvPr id="93" name="Text Box 192">
          <a:extLst>
            <a:ext uri="{FF2B5EF4-FFF2-40B4-BE49-F238E27FC236}">
              <a16:creationId xmlns:a16="http://schemas.microsoft.com/office/drawing/2014/main" id="{107CD09F-C32F-41D5-9621-76B5EF03C852}"/>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48</xdr:row>
      <xdr:rowOff>0</xdr:rowOff>
    </xdr:from>
    <xdr:ext cx="10372" cy="228955"/>
    <xdr:sp macro="" textlink="">
      <xdr:nvSpPr>
        <xdr:cNvPr id="94" name="Text Box 192">
          <a:extLst>
            <a:ext uri="{FF2B5EF4-FFF2-40B4-BE49-F238E27FC236}">
              <a16:creationId xmlns:a16="http://schemas.microsoft.com/office/drawing/2014/main" id="{514A4BD6-78F3-42B5-B5D9-59C00CCC985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48</xdr:row>
      <xdr:rowOff>0</xdr:rowOff>
    </xdr:from>
    <xdr:ext cx="10372" cy="228955"/>
    <xdr:sp macro="" textlink="">
      <xdr:nvSpPr>
        <xdr:cNvPr id="95" name="Text Box 192">
          <a:extLst>
            <a:ext uri="{FF2B5EF4-FFF2-40B4-BE49-F238E27FC236}">
              <a16:creationId xmlns:a16="http://schemas.microsoft.com/office/drawing/2014/main" id="{D48D258D-7851-4A82-AD6C-57D3CEAA05E4}"/>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49</xdr:row>
      <xdr:rowOff>0</xdr:rowOff>
    </xdr:from>
    <xdr:ext cx="10372" cy="228955"/>
    <xdr:sp macro="" textlink="">
      <xdr:nvSpPr>
        <xdr:cNvPr id="96" name="Text Box 192">
          <a:extLst>
            <a:ext uri="{FF2B5EF4-FFF2-40B4-BE49-F238E27FC236}">
              <a16:creationId xmlns:a16="http://schemas.microsoft.com/office/drawing/2014/main" id="{76E22C16-BF66-43BA-911B-618021C9239C}"/>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49</xdr:row>
      <xdr:rowOff>0</xdr:rowOff>
    </xdr:from>
    <xdr:ext cx="10372" cy="228955"/>
    <xdr:sp macro="" textlink="">
      <xdr:nvSpPr>
        <xdr:cNvPr id="97" name="Text Box 192">
          <a:extLst>
            <a:ext uri="{FF2B5EF4-FFF2-40B4-BE49-F238E27FC236}">
              <a16:creationId xmlns:a16="http://schemas.microsoft.com/office/drawing/2014/main" id="{361BD970-0292-42A6-B6C4-CAEE5347DD60}"/>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50</xdr:row>
      <xdr:rowOff>0</xdr:rowOff>
    </xdr:from>
    <xdr:ext cx="10372" cy="228955"/>
    <xdr:sp macro="" textlink="">
      <xdr:nvSpPr>
        <xdr:cNvPr id="98" name="Text Box 192">
          <a:extLst>
            <a:ext uri="{FF2B5EF4-FFF2-40B4-BE49-F238E27FC236}">
              <a16:creationId xmlns:a16="http://schemas.microsoft.com/office/drawing/2014/main" id="{95CCBAC6-6869-4F19-B582-09D787094325}"/>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50</xdr:row>
      <xdr:rowOff>0</xdr:rowOff>
    </xdr:from>
    <xdr:ext cx="10372" cy="228955"/>
    <xdr:sp macro="" textlink="">
      <xdr:nvSpPr>
        <xdr:cNvPr id="99" name="Text Box 192">
          <a:extLst>
            <a:ext uri="{FF2B5EF4-FFF2-40B4-BE49-F238E27FC236}">
              <a16:creationId xmlns:a16="http://schemas.microsoft.com/office/drawing/2014/main" id="{3F0F6138-411B-4C6B-BD42-6ACE822CE777}"/>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51</xdr:row>
      <xdr:rowOff>0</xdr:rowOff>
    </xdr:from>
    <xdr:ext cx="10372" cy="228955"/>
    <xdr:sp macro="" textlink="">
      <xdr:nvSpPr>
        <xdr:cNvPr id="100" name="Text Box 192">
          <a:extLst>
            <a:ext uri="{FF2B5EF4-FFF2-40B4-BE49-F238E27FC236}">
              <a16:creationId xmlns:a16="http://schemas.microsoft.com/office/drawing/2014/main" id="{96709377-E9E9-4CD5-A38E-C7AB1A65A1B3}"/>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51</xdr:row>
      <xdr:rowOff>0</xdr:rowOff>
    </xdr:from>
    <xdr:ext cx="10372" cy="228955"/>
    <xdr:sp macro="" textlink="">
      <xdr:nvSpPr>
        <xdr:cNvPr id="101" name="Text Box 192">
          <a:extLst>
            <a:ext uri="{FF2B5EF4-FFF2-40B4-BE49-F238E27FC236}">
              <a16:creationId xmlns:a16="http://schemas.microsoft.com/office/drawing/2014/main" id="{FFB361B6-CFF2-4C97-983D-D1AC0F5A8BD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52</xdr:row>
      <xdr:rowOff>0</xdr:rowOff>
    </xdr:from>
    <xdr:ext cx="10372" cy="228955"/>
    <xdr:sp macro="" textlink="">
      <xdr:nvSpPr>
        <xdr:cNvPr id="102" name="Text Box 192">
          <a:extLst>
            <a:ext uri="{FF2B5EF4-FFF2-40B4-BE49-F238E27FC236}">
              <a16:creationId xmlns:a16="http://schemas.microsoft.com/office/drawing/2014/main" id="{126B1382-74DF-4C36-89A9-E464062DA7B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52</xdr:row>
      <xdr:rowOff>0</xdr:rowOff>
    </xdr:from>
    <xdr:ext cx="10372" cy="228955"/>
    <xdr:sp macro="" textlink="">
      <xdr:nvSpPr>
        <xdr:cNvPr id="103" name="Text Box 192">
          <a:extLst>
            <a:ext uri="{FF2B5EF4-FFF2-40B4-BE49-F238E27FC236}">
              <a16:creationId xmlns:a16="http://schemas.microsoft.com/office/drawing/2014/main" id="{1594E2A7-C3BE-4932-A8A3-C70A0B74A0E2}"/>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53</xdr:row>
      <xdr:rowOff>0</xdr:rowOff>
    </xdr:from>
    <xdr:ext cx="10372" cy="228955"/>
    <xdr:sp macro="" textlink="">
      <xdr:nvSpPr>
        <xdr:cNvPr id="104" name="Text Box 192">
          <a:extLst>
            <a:ext uri="{FF2B5EF4-FFF2-40B4-BE49-F238E27FC236}">
              <a16:creationId xmlns:a16="http://schemas.microsoft.com/office/drawing/2014/main" id="{4F9C296F-CFFB-42DA-A15E-1B77F3A9955A}"/>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55</xdr:row>
      <xdr:rowOff>0</xdr:rowOff>
    </xdr:from>
    <xdr:ext cx="10372" cy="228955"/>
    <xdr:sp macro="" textlink="">
      <xdr:nvSpPr>
        <xdr:cNvPr id="105" name="Text Box 192">
          <a:extLst>
            <a:ext uri="{FF2B5EF4-FFF2-40B4-BE49-F238E27FC236}">
              <a16:creationId xmlns:a16="http://schemas.microsoft.com/office/drawing/2014/main" id="{1EF17513-A818-477D-ABD4-3CBACEF48530}"/>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56</xdr:row>
      <xdr:rowOff>0</xdr:rowOff>
    </xdr:from>
    <xdr:ext cx="10372" cy="228955"/>
    <xdr:sp macro="" textlink="">
      <xdr:nvSpPr>
        <xdr:cNvPr id="106" name="Text Box 192">
          <a:extLst>
            <a:ext uri="{FF2B5EF4-FFF2-40B4-BE49-F238E27FC236}">
              <a16:creationId xmlns:a16="http://schemas.microsoft.com/office/drawing/2014/main" id="{3337A6C7-2F00-4933-9BF2-61BD9E53FBE5}"/>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59</xdr:row>
      <xdr:rowOff>0</xdr:rowOff>
    </xdr:from>
    <xdr:ext cx="10372" cy="228955"/>
    <xdr:sp macro="" textlink="">
      <xdr:nvSpPr>
        <xdr:cNvPr id="107" name="Text Box 192">
          <a:extLst>
            <a:ext uri="{FF2B5EF4-FFF2-40B4-BE49-F238E27FC236}">
              <a16:creationId xmlns:a16="http://schemas.microsoft.com/office/drawing/2014/main" id="{FE4DD270-3087-4DA5-AD6E-EBA0EEB3B70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60</xdr:row>
      <xdr:rowOff>0</xdr:rowOff>
    </xdr:from>
    <xdr:ext cx="10372" cy="228955"/>
    <xdr:sp macro="" textlink="">
      <xdr:nvSpPr>
        <xdr:cNvPr id="108" name="Text Box 192">
          <a:extLst>
            <a:ext uri="{FF2B5EF4-FFF2-40B4-BE49-F238E27FC236}">
              <a16:creationId xmlns:a16="http://schemas.microsoft.com/office/drawing/2014/main" id="{636B01CA-37AF-4F52-AB78-1F2AE170D16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60</xdr:row>
      <xdr:rowOff>0</xdr:rowOff>
    </xdr:from>
    <xdr:ext cx="10372" cy="228955"/>
    <xdr:sp macro="" textlink="">
      <xdr:nvSpPr>
        <xdr:cNvPr id="109" name="Text Box 192">
          <a:extLst>
            <a:ext uri="{FF2B5EF4-FFF2-40B4-BE49-F238E27FC236}">
              <a16:creationId xmlns:a16="http://schemas.microsoft.com/office/drawing/2014/main" id="{492669B5-FA0D-415B-85EB-B1FBFFF0C942}"/>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61</xdr:row>
      <xdr:rowOff>0</xdr:rowOff>
    </xdr:from>
    <xdr:ext cx="10372" cy="228955"/>
    <xdr:sp macro="" textlink="">
      <xdr:nvSpPr>
        <xdr:cNvPr id="110" name="Text Box 192">
          <a:extLst>
            <a:ext uri="{FF2B5EF4-FFF2-40B4-BE49-F238E27FC236}">
              <a16:creationId xmlns:a16="http://schemas.microsoft.com/office/drawing/2014/main" id="{7D3FE9FC-3E7B-44C7-B849-5B1F6BFBFE69}"/>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61</xdr:row>
      <xdr:rowOff>0</xdr:rowOff>
    </xdr:from>
    <xdr:ext cx="10372" cy="228955"/>
    <xdr:sp macro="" textlink="">
      <xdr:nvSpPr>
        <xdr:cNvPr id="111" name="Text Box 192">
          <a:extLst>
            <a:ext uri="{FF2B5EF4-FFF2-40B4-BE49-F238E27FC236}">
              <a16:creationId xmlns:a16="http://schemas.microsoft.com/office/drawing/2014/main" id="{3B28F05E-54FD-43D9-8C3E-99021E342EC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62</xdr:row>
      <xdr:rowOff>0</xdr:rowOff>
    </xdr:from>
    <xdr:ext cx="10372" cy="228955"/>
    <xdr:sp macro="" textlink="">
      <xdr:nvSpPr>
        <xdr:cNvPr id="112" name="Text Box 192">
          <a:extLst>
            <a:ext uri="{FF2B5EF4-FFF2-40B4-BE49-F238E27FC236}">
              <a16:creationId xmlns:a16="http://schemas.microsoft.com/office/drawing/2014/main" id="{C4F17267-7EEC-4315-AAA5-97319303C3F8}"/>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62</xdr:row>
      <xdr:rowOff>0</xdr:rowOff>
    </xdr:from>
    <xdr:ext cx="10372" cy="228955"/>
    <xdr:sp macro="" textlink="">
      <xdr:nvSpPr>
        <xdr:cNvPr id="113" name="Text Box 192">
          <a:extLst>
            <a:ext uri="{FF2B5EF4-FFF2-40B4-BE49-F238E27FC236}">
              <a16:creationId xmlns:a16="http://schemas.microsoft.com/office/drawing/2014/main" id="{C50B2DCC-188F-411F-9610-A73A1D77262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63</xdr:row>
      <xdr:rowOff>0</xdr:rowOff>
    </xdr:from>
    <xdr:ext cx="10372" cy="228955"/>
    <xdr:sp macro="" textlink="">
      <xdr:nvSpPr>
        <xdr:cNvPr id="114" name="Text Box 192">
          <a:extLst>
            <a:ext uri="{FF2B5EF4-FFF2-40B4-BE49-F238E27FC236}">
              <a16:creationId xmlns:a16="http://schemas.microsoft.com/office/drawing/2014/main" id="{5445B309-8FAA-43C1-852A-EEF182F0F03F}"/>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63</xdr:row>
      <xdr:rowOff>0</xdr:rowOff>
    </xdr:from>
    <xdr:ext cx="10372" cy="228955"/>
    <xdr:sp macro="" textlink="">
      <xdr:nvSpPr>
        <xdr:cNvPr id="115" name="Text Box 192">
          <a:extLst>
            <a:ext uri="{FF2B5EF4-FFF2-40B4-BE49-F238E27FC236}">
              <a16:creationId xmlns:a16="http://schemas.microsoft.com/office/drawing/2014/main" id="{3FC7A749-A4F2-4C4A-A47E-DC2BA09C190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64</xdr:row>
      <xdr:rowOff>0</xdr:rowOff>
    </xdr:from>
    <xdr:ext cx="10372" cy="228955"/>
    <xdr:sp macro="" textlink="">
      <xdr:nvSpPr>
        <xdr:cNvPr id="116" name="Text Box 192">
          <a:extLst>
            <a:ext uri="{FF2B5EF4-FFF2-40B4-BE49-F238E27FC236}">
              <a16:creationId xmlns:a16="http://schemas.microsoft.com/office/drawing/2014/main" id="{AB4B1EF7-2F94-4162-8040-D2C5E679A61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67</xdr:row>
      <xdr:rowOff>0</xdr:rowOff>
    </xdr:from>
    <xdr:ext cx="10372" cy="228955"/>
    <xdr:sp macro="" textlink="">
      <xdr:nvSpPr>
        <xdr:cNvPr id="117" name="Text Box 192">
          <a:extLst>
            <a:ext uri="{FF2B5EF4-FFF2-40B4-BE49-F238E27FC236}">
              <a16:creationId xmlns:a16="http://schemas.microsoft.com/office/drawing/2014/main" id="{504D578F-0908-41CD-95C8-8606A10CF24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68</xdr:row>
      <xdr:rowOff>0</xdr:rowOff>
    </xdr:from>
    <xdr:ext cx="10372" cy="228955"/>
    <xdr:sp macro="" textlink="">
      <xdr:nvSpPr>
        <xdr:cNvPr id="118" name="Text Box 192">
          <a:extLst>
            <a:ext uri="{FF2B5EF4-FFF2-40B4-BE49-F238E27FC236}">
              <a16:creationId xmlns:a16="http://schemas.microsoft.com/office/drawing/2014/main" id="{415EF171-A2C2-47AC-A0F4-7CC7A95D9F5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68</xdr:row>
      <xdr:rowOff>0</xdr:rowOff>
    </xdr:from>
    <xdr:ext cx="10372" cy="228955"/>
    <xdr:sp macro="" textlink="">
      <xdr:nvSpPr>
        <xdr:cNvPr id="119" name="Text Box 192">
          <a:extLst>
            <a:ext uri="{FF2B5EF4-FFF2-40B4-BE49-F238E27FC236}">
              <a16:creationId xmlns:a16="http://schemas.microsoft.com/office/drawing/2014/main" id="{9BCBFA4D-B02A-42CA-9A62-847F1A19751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69</xdr:row>
      <xdr:rowOff>0</xdr:rowOff>
    </xdr:from>
    <xdr:ext cx="10372" cy="228955"/>
    <xdr:sp macro="" textlink="">
      <xdr:nvSpPr>
        <xdr:cNvPr id="120" name="Text Box 192">
          <a:extLst>
            <a:ext uri="{FF2B5EF4-FFF2-40B4-BE49-F238E27FC236}">
              <a16:creationId xmlns:a16="http://schemas.microsoft.com/office/drawing/2014/main" id="{7CBB0720-37C7-4744-B5DD-A2E4E6EBEC5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69</xdr:row>
      <xdr:rowOff>0</xdr:rowOff>
    </xdr:from>
    <xdr:ext cx="10372" cy="228955"/>
    <xdr:sp macro="" textlink="">
      <xdr:nvSpPr>
        <xdr:cNvPr id="121" name="Text Box 192">
          <a:extLst>
            <a:ext uri="{FF2B5EF4-FFF2-40B4-BE49-F238E27FC236}">
              <a16:creationId xmlns:a16="http://schemas.microsoft.com/office/drawing/2014/main" id="{4E7C2DD0-CE84-44FC-9B19-A90946AC7AC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70</xdr:row>
      <xdr:rowOff>0</xdr:rowOff>
    </xdr:from>
    <xdr:ext cx="10372" cy="228955"/>
    <xdr:sp macro="" textlink="">
      <xdr:nvSpPr>
        <xdr:cNvPr id="122" name="Text Box 192">
          <a:extLst>
            <a:ext uri="{FF2B5EF4-FFF2-40B4-BE49-F238E27FC236}">
              <a16:creationId xmlns:a16="http://schemas.microsoft.com/office/drawing/2014/main" id="{1DAB95B7-2271-4801-B038-A0568666C7AF}"/>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70</xdr:row>
      <xdr:rowOff>0</xdr:rowOff>
    </xdr:from>
    <xdr:ext cx="10372" cy="228955"/>
    <xdr:sp macro="" textlink="">
      <xdr:nvSpPr>
        <xdr:cNvPr id="123" name="Text Box 192">
          <a:extLst>
            <a:ext uri="{FF2B5EF4-FFF2-40B4-BE49-F238E27FC236}">
              <a16:creationId xmlns:a16="http://schemas.microsoft.com/office/drawing/2014/main" id="{92424C4A-8F21-4B93-BB5E-AF831B19B2B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71</xdr:row>
      <xdr:rowOff>0</xdr:rowOff>
    </xdr:from>
    <xdr:ext cx="10372" cy="228955"/>
    <xdr:sp macro="" textlink="">
      <xdr:nvSpPr>
        <xdr:cNvPr id="124" name="Text Box 192">
          <a:extLst>
            <a:ext uri="{FF2B5EF4-FFF2-40B4-BE49-F238E27FC236}">
              <a16:creationId xmlns:a16="http://schemas.microsoft.com/office/drawing/2014/main" id="{2C445DE5-3A63-4F13-9979-A72CA41669CF}"/>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73</xdr:row>
      <xdr:rowOff>0</xdr:rowOff>
    </xdr:from>
    <xdr:ext cx="10372" cy="228955"/>
    <xdr:sp macro="" textlink="">
      <xdr:nvSpPr>
        <xdr:cNvPr id="125" name="Text Box 192">
          <a:extLst>
            <a:ext uri="{FF2B5EF4-FFF2-40B4-BE49-F238E27FC236}">
              <a16:creationId xmlns:a16="http://schemas.microsoft.com/office/drawing/2014/main" id="{ACB534B2-C180-4F58-9D6E-91718F2DC0D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74</xdr:row>
      <xdr:rowOff>0</xdr:rowOff>
    </xdr:from>
    <xdr:ext cx="10372" cy="228955"/>
    <xdr:sp macro="" textlink="">
      <xdr:nvSpPr>
        <xdr:cNvPr id="126" name="Text Box 192">
          <a:extLst>
            <a:ext uri="{FF2B5EF4-FFF2-40B4-BE49-F238E27FC236}">
              <a16:creationId xmlns:a16="http://schemas.microsoft.com/office/drawing/2014/main" id="{2AC3727A-7A1C-4AB0-B2AB-4DA1C698DC2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76</xdr:row>
      <xdr:rowOff>0</xdr:rowOff>
    </xdr:from>
    <xdr:ext cx="10372" cy="228955"/>
    <xdr:sp macro="" textlink="">
      <xdr:nvSpPr>
        <xdr:cNvPr id="127" name="Text Box 192">
          <a:extLst>
            <a:ext uri="{FF2B5EF4-FFF2-40B4-BE49-F238E27FC236}">
              <a16:creationId xmlns:a16="http://schemas.microsoft.com/office/drawing/2014/main" id="{58DCA079-5FB2-47C2-A9F9-5D9686101BB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77</xdr:row>
      <xdr:rowOff>0</xdr:rowOff>
    </xdr:from>
    <xdr:ext cx="10372" cy="228955"/>
    <xdr:sp macro="" textlink="">
      <xdr:nvSpPr>
        <xdr:cNvPr id="128" name="Text Box 192">
          <a:extLst>
            <a:ext uri="{FF2B5EF4-FFF2-40B4-BE49-F238E27FC236}">
              <a16:creationId xmlns:a16="http://schemas.microsoft.com/office/drawing/2014/main" id="{A5969841-9250-4FD5-A12F-D644A18C4B88}"/>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77</xdr:row>
      <xdr:rowOff>0</xdr:rowOff>
    </xdr:from>
    <xdr:ext cx="10372" cy="228955"/>
    <xdr:sp macro="" textlink="">
      <xdr:nvSpPr>
        <xdr:cNvPr id="129" name="Text Box 192">
          <a:extLst>
            <a:ext uri="{FF2B5EF4-FFF2-40B4-BE49-F238E27FC236}">
              <a16:creationId xmlns:a16="http://schemas.microsoft.com/office/drawing/2014/main" id="{2F8630C2-D932-42C7-8D2B-FB145514588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78</xdr:row>
      <xdr:rowOff>0</xdr:rowOff>
    </xdr:from>
    <xdr:ext cx="10372" cy="228955"/>
    <xdr:sp macro="" textlink="">
      <xdr:nvSpPr>
        <xdr:cNvPr id="130" name="Text Box 192">
          <a:extLst>
            <a:ext uri="{FF2B5EF4-FFF2-40B4-BE49-F238E27FC236}">
              <a16:creationId xmlns:a16="http://schemas.microsoft.com/office/drawing/2014/main" id="{2FDDFF9D-C08C-4114-9E0E-1BD8B5A4F83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80</xdr:row>
      <xdr:rowOff>0</xdr:rowOff>
    </xdr:from>
    <xdr:ext cx="10372" cy="228955"/>
    <xdr:sp macro="" textlink="">
      <xdr:nvSpPr>
        <xdr:cNvPr id="131" name="Text Box 192">
          <a:extLst>
            <a:ext uri="{FF2B5EF4-FFF2-40B4-BE49-F238E27FC236}">
              <a16:creationId xmlns:a16="http://schemas.microsoft.com/office/drawing/2014/main" id="{0B877299-7BF1-4487-BD9D-81750E49F96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81</xdr:row>
      <xdr:rowOff>0</xdr:rowOff>
    </xdr:from>
    <xdr:ext cx="10372" cy="228955"/>
    <xdr:sp macro="" textlink="">
      <xdr:nvSpPr>
        <xdr:cNvPr id="132" name="Text Box 192">
          <a:extLst>
            <a:ext uri="{FF2B5EF4-FFF2-40B4-BE49-F238E27FC236}">
              <a16:creationId xmlns:a16="http://schemas.microsoft.com/office/drawing/2014/main" id="{FE48990A-1382-46E6-9469-AA413BC8DF6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81</xdr:row>
      <xdr:rowOff>0</xdr:rowOff>
    </xdr:from>
    <xdr:ext cx="10372" cy="228955"/>
    <xdr:sp macro="" textlink="">
      <xdr:nvSpPr>
        <xdr:cNvPr id="133" name="Text Box 192">
          <a:extLst>
            <a:ext uri="{FF2B5EF4-FFF2-40B4-BE49-F238E27FC236}">
              <a16:creationId xmlns:a16="http://schemas.microsoft.com/office/drawing/2014/main" id="{91C0628F-F2F4-4DBC-912D-86D13C8EEAA1}"/>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82</xdr:row>
      <xdr:rowOff>0</xdr:rowOff>
    </xdr:from>
    <xdr:ext cx="10372" cy="228955"/>
    <xdr:sp macro="" textlink="">
      <xdr:nvSpPr>
        <xdr:cNvPr id="134" name="Text Box 192">
          <a:extLst>
            <a:ext uri="{FF2B5EF4-FFF2-40B4-BE49-F238E27FC236}">
              <a16:creationId xmlns:a16="http://schemas.microsoft.com/office/drawing/2014/main" id="{8FB1B871-DCCB-48EE-9E67-847F0756DCA4}"/>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85</xdr:row>
      <xdr:rowOff>0</xdr:rowOff>
    </xdr:from>
    <xdr:ext cx="10372" cy="228955"/>
    <xdr:sp macro="" textlink="">
      <xdr:nvSpPr>
        <xdr:cNvPr id="135" name="Text Box 192">
          <a:extLst>
            <a:ext uri="{FF2B5EF4-FFF2-40B4-BE49-F238E27FC236}">
              <a16:creationId xmlns:a16="http://schemas.microsoft.com/office/drawing/2014/main" id="{DCC4CBC3-B7EB-4A08-A437-33D9A24CEACA}"/>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86</xdr:row>
      <xdr:rowOff>0</xdr:rowOff>
    </xdr:from>
    <xdr:ext cx="10372" cy="228955"/>
    <xdr:sp macro="" textlink="">
      <xdr:nvSpPr>
        <xdr:cNvPr id="136" name="Text Box 192">
          <a:extLst>
            <a:ext uri="{FF2B5EF4-FFF2-40B4-BE49-F238E27FC236}">
              <a16:creationId xmlns:a16="http://schemas.microsoft.com/office/drawing/2014/main" id="{9DFCD841-E924-4CA6-88EF-EC76399A5418}"/>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86</xdr:row>
      <xdr:rowOff>0</xdr:rowOff>
    </xdr:from>
    <xdr:ext cx="10372" cy="228955"/>
    <xdr:sp macro="" textlink="">
      <xdr:nvSpPr>
        <xdr:cNvPr id="137" name="Text Box 192">
          <a:extLst>
            <a:ext uri="{FF2B5EF4-FFF2-40B4-BE49-F238E27FC236}">
              <a16:creationId xmlns:a16="http://schemas.microsoft.com/office/drawing/2014/main" id="{120825D3-371D-40AB-BBF2-662530D4558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87</xdr:row>
      <xdr:rowOff>0</xdr:rowOff>
    </xdr:from>
    <xdr:ext cx="10372" cy="228955"/>
    <xdr:sp macro="" textlink="">
      <xdr:nvSpPr>
        <xdr:cNvPr id="138" name="Text Box 192">
          <a:extLst>
            <a:ext uri="{FF2B5EF4-FFF2-40B4-BE49-F238E27FC236}">
              <a16:creationId xmlns:a16="http://schemas.microsoft.com/office/drawing/2014/main" id="{0440E6CD-CEB3-4C07-8155-DC8363C3BD13}"/>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87</xdr:row>
      <xdr:rowOff>0</xdr:rowOff>
    </xdr:from>
    <xdr:ext cx="10372" cy="228955"/>
    <xdr:sp macro="" textlink="">
      <xdr:nvSpPr>
        <xdr:cNvPr id="139" name="Text Box 192">
          <a:extLst>
            <a:ext uri="{FF2B5EF4-FFF2-40B4-BE49-F238E27FC236}">
              <a16:creationId xmlns:a16="http://schemas.microsoft.com/office/drawing/2014/main" id="{8A2A3141-E17E-41B4-BE2C-9C4768EC387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88</xdr:row>
      <xdr:rowOff>0</xdr:rowOff>
    </xdr:from>
    <xdr:ext cx="10372" cy="228955"/>
    <xdr:sp macro="" textlink="">
      <xdr:nvSpPr>
        <xdr:cNvPr id="140" name="Text Box 192">
          <a:extLst>
            <a:ext uri="{FF2B5EF4-FFF2-40B4-BE49-F238E27FC236}">
              <a16:creationId xmlns:a16="http://schemas.microsoft.com/office/drawing/2014/main" id="{398DE392-5B40-4E1A-A3D3-37177C809DEF}"/>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88</xdr:row>
      <xdr:rowOff>0</xdr:rowOff>
    </xdr:from>
    <xdr:ext cx="10372" cy="228955"/>
    <xdr:sp macro="" textlink="">
      <xdr:nvSpPr>
        <xdr:cNvPr id="141" name="Text Box 192">
          <a:extLst>
            <a:ext uri="{FF2B5EF4-FFF2-40B4-BE49-F238E27FC236}">
              <a16:creationId xmlns:a16="http://schemas.microsoft.com/office/drawing/2014/main" id="{230691F8-F2EC-46E8-99D4-9FEC4DF64540}"/>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89</xdr:row>
      <xdr:rowOff>0</xdr:rowOff>
    </xdr:from>
    <xdr:ext cx="10372" cy="228955"/>
    <xdr:sp macro="" textlink="">
      <xdr:nvSpPr>
        <xdr:cNvPr id="142" name="Text Box 192">
          <a:extLst>
            <a:ext uri="{FF2B5EF4-FFF2-40B4-BE49-F238E27FC236}">
              <a16:creationId xmlns:a16="http://schemas.microsoft.com/office/drawing/2014/main" id="{2D600A01-F85E-41D9-81EF-3515F8BB1DD6}"/>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89</xdr:row>
      <xdr:rowOff>0</xdr:rowOff>
    </xdr:from>
    <xdr:ext cx="10372" cy="228955"/>
    <xdr:sp macro="" textlink="">
      <xdr:nvSpPr>
        <xdr:cNvPr id="143" name="Text Box 192">
          <a:extLst>
            <a:ext uri="{FF2B5EF4-FFF2-40B4-BE49-F238E27FC236}">
              <a16:creationId xmlns:a16="http://schemas.microsoft.com/office/drawing/2014/main" id="{2B1A34CD-081C-46CA-BA0E-62BA1561863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90</xdr:row>
      <xdr:rowOff>0</xdr:rowOff>
    </xdr:from>
    <xdr:ext cx="10372" cy="228955"/>
    <xdr:sp macro="" textlink="">
      <xdr:nvSpPr>
        <xdr:cNvPr id="144" name="Text Box 192">
          <a:extLst>
            <a:ext uri="{FF2B5EF4-FFF2-40B4-BE49-F238E27FC236}">
              <a16:creationId xmlns:a16="http://schemas.microsoft.com/office/drawing/2014/main" id="{141BEB8D-1BD5-458D-BACD-CB424F89F6AF}"/>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90</xdr:row>
      <xdr:rowOff>0</xdr:rowOff>
    </xdr:from>
    <xdr:ext cx="10372" cy="228955"/>
    <xdr:sp macro="" textlink="">
      <xdr:nvSpPr>
        <xdr:cNvPr id="145" name="Text Box 192">
          <a:extLst>
            <a:ext uri="{FF2B5EF4-FFF2-40B4-BE49-F238E27FC236}">
              <a16:creationId xmlns:a16="http://schemas.microsoft.com/office/drawing/2014/main" id="{BBDF0632-6C24-4EF3-8C7E-6981C0D99E3A}"/>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91</xdr:row>
      <xdr:rowOff>0</xdr:rowOff>
    </xdr:from>
    <xdr:ext cx="10372" cy="228955"/>
    <xdr:sp macro="" textlink="">
      <xdr:nvSpPr>
        <xdr:cNvPr id="146" name="Text Box 192">
          <a:extLst>
            <a:ext uri="{FF2B5EF4-FFF2-40B4-BE49-F238E27FC236}">
              <a16:creationId xmlns:a16="http://schemas.microsoft.com/office/drawing/2014/main" id="{8ABEB42C-7484-4642-96FE-2D05D1DD6DE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91</xdr:row>
      <xdr:rowOff>0</xdr:rowOff>
    </xdr:from>
    <xdr:ext cx="10372" cy="228955"/>
    <xdr:sp macro="" textlink="">
      <xdr:nvSpPr>
        <xdr:cNvPr id="147" name="Text Box 192">
          <a:extLst>
            <a:ext uri="{FF2B5EF4-FFF2-40B4-BE49-F238E27FC236}">
              <a16:creationId xmlns:a16="http://schemas.microsoft.com/office/drawing/2014/main" id="{9CBCC1DC-6AB3-4528-8144-FE197B6B9B5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92</xdr:row>
      <xdr:rowOff>0</xdr:rowOff>
    </xdr:from>
    <xdr:ext cx="10372" cy="228955"/>
    <xdr:sp macro="" textlink="">
      <xdr:nvSpPr>
        <xdr:cNvPr id="148" name="Text Box 192">
          <a:extLst>
            <a:ext uri="{FF2B5EF4-FFF2-40B4-BE49-F238E27FC236}">
              <a16:creationId xmlns:a16="http://schemas.microsoft.com/office/drawing/2014/main" id="{BE0A556A-18BE-415C-B05D-3CDDC5719DD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92</xdr:row>
      <xdr:rowOff>0</xdr:rowOff>
    </xdr:from>
    <xdr:ext cx="10372" cy="228955"/>
    <xdr:sp macro="" textlink="">
      <xdr:nvSpPr>
        <xdr:cNvPr id="149" name="Text Box 192">
          <a:extLst>
            <a:ext uri="{FF2B5EF4-FFF2-40B4-BE49-F238E27FC236}">
              <a16:creationId xmlns:a16="http://schemas.microsoft.com/office/drawing/2014/main" id="{8112E196-B2E0-4B26-A729-123C0BD1BCF6}"/>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93</xdr:row>
      <xdr:rowOff>0</xdr:rowOff>
    </xdr:from>
    <xdr:ext cx="10372" cy="228955"/>
    <xdr:sp macro="" textlink="">
      <xdr:nvSpPr>
        <xdr:cNvPr id="150" name="Text Box 192">
          <a:extLst>
            <a:ext uri="{FF2B5EF4-FFF2-40B4-BE49-F238E27FC236}">
              <a16:creationId xmlns:a16="http://schemas.microsoft.com/office/drawing/2014/main" id="{B351873F-F48E-4D23-8449-03A35C459BD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93</xdr:row>
      <xdr:rowOff>0</xdr:rowOff>
    </xdr:from>
    <xdr:ext cx="10372" cy="228955"/>
    <xdr:sp macro="" textlink="">
      <xdr:nvSpPr>
        <xdr:cNvPr id="151" name="Text Box 192">
          <a:extLst>
            <a:ext uri="{FF2B5EF4-FFF2-40B4-BE49-F238E27FC236}">
              <a16:creationId xmlns:a16="http://schemas.microsoft.com/office/drawing/2014/main" id="{D6A2603A-B8E7-4CE9-BD4F-574232C4DC3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94</xdr:row>
      <xdr:rowOff>0</xdr:rowOff>
    </xdr:from>
    <xdr:ext cx="10372" cy="228955"/>
    <xdr:sp macro="" textlink="">
      <xdr:nvSpPr>
        <xdr:cNvPr id="152" name="Text Box 192">
          <a:extLst>
            <a:ext uri="{FF2B5EF4-FFF2-40B4-BE49-F238E27FC236}">
              <a16:creationId xmlns:a16="http://schemas.microsoft.com/office/drawing/2014/main" id="{B2D63B5F-F7AA-46FC-BEA6-D62AEAF62E1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94</xdr:row>
      <xdr:rowOff>0</xdr:rowOff>
    </xdr:from>
    <xdr:ext cx="10372" cy="228955"/>
    <xdr:sp macro="" textlink="">
      <xdr:nvSpPr>
        <xdr:cNvPr id="153" name="Text Box 192">
          <a:extLst>
            <a:ext uri="{FF2B5EF4-FFF2-40B4-BE49-F238E27FC236}">
              <a16:creationId xmlns:a16="http://schemas.microsoft.com/office/drawing/2014/main" id="{C8C1DA99-C2B1-417F-A708-2823DF326154}"/>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95</xdr:row>
      <xdr:rowOff>0</xdr:rowOff>
    </xdr:from>
    <xdr:ext cx="10372" cy="228955"/>
    <xdr:sp macro="" textlink="">
      <xdr:nvSpPr>
        <xdr:cNvPr id="154" name="Text Box 192">
          <a:extLst>
            <a:ext uri="{FF2B5EF4-FFF2-40B4-BE49-F238E27FC236}">
              <a16:creationId xmlns:a16="http://schemas.microsoft.com/office/drawing/2014/main" id="{40DDB495-8648-4090-A3B7-4791FE6FB13C}"/>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95</xdr:row>
      <xdr:rowOff>0</xdr:rowOff>
    </xdr:from>
    <xdr:ext cx="10372" cy="228955"/>
    <xdr:sp macro="" textlink="">
      <xdr:nvSpPr>
        <xdr:cNvPr id="155" name="Text Box 192">
          <a:extLst>
            <a:ext uri="{FF2B5EF4-FFF2-40B4-BE49-F238E27FC236}">
              <a16:creationId xmlns:a16="http://schemas.microsoft.com/office/drawing/2014/main" id="{B714F314-2C45-4B91-85C4-8872E1B57C5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96</xdr:row>
      <xdr:rowOff>0</xdr:rowOff>
    </xdr:from>
    <xdr:ext cx="10372" cy="228955"/>
    <xdr:sp macro="" textlink="">
      <xdr:nvSpPr>
        <xdr:cNvPr id="156" name="Text Box 192">
          <a:extLst>
            <a:ext uri="{FF2B5EF4-FFF2-40B4-BE49-F238E27FC236}">
              <a16:creationId xmlns:a16="http://schemas.microsoft.com/office/drawing/2014/main" id="{7078A28E-83BC-4762-9EE7-70C9969394E5}"/>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96</xdr:row>
      <xdr:rowOff>0</xdr:rowOff>
    </xdr:from>
    <xdr:ext cx="10372" cy="228955"/>
    <xdr:sp macro="" textlink="">
      <xdr:nvSpPr>
        <xdr:cNvPr id="157" name="Text Box 192">
          <a:extLst>
            <a:ext uri="{FF2B5EF4-FFF2-40B4-BE49-F238E27FC236}">
              <a16:creationId xmlns:a16="http://schemas.microsoft.com/office/drawing/2014/main" id="{92DF87D9-9F56-4038-9287-9C1656B7B4A8}"/>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97</xdr:row>
      <xdr:rowOff>0</xdr:rowOff>
    </xdr:from>
    <xdr:ext cx="10372" cy="228955"/>
    <xdr:sp macro="" textlink="">
      <xdr:nvSpPr>
        <xdr:cNvPr id="158" name="Text Box 192">
          <a:extLst>
            <a:ext uri="{FF2B5EF4-FFF2-40B4-BE49-F238E27FC236}">
              <a16:creationId xmlns:a16="http://schemas.microsoft.com/office/drawing/2014/main" id="{8660CA3C-E5C0-4E37-91E4-24E91A365159}"/>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99</xdr:row>
      <xdr:rowOff>0</xdr:rowOff>
    </xdr:from>
    <xdr:ext cx="10372" cy="228955"/>
    <xdr:sp macro="" textlink="">
      <xdr:nvSpPr>
        <xdr:cNvPr id="159" name="Text Box 192">
          <a:extLst>
            <a:ext uri="{FF2B5EF4-FFF2-40B4-BE49-F238E27FC236}">
              <a16:creationId xmlns:a16="http://schemas.microsoft.com/office/drawing/2014/main" id="{052EAA5E-C75C-4430-BF74-796423543200}"/>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100</xdr:row>
      <xdr:rowOff>0</xdr:rowOff>
    </xdr:from>
    <xdr:ext cx="10372" cy="228955"/>
    <xdr:sp macro="" textlink="">
      <xdr:nvSpPr>
        <xdr:cNvPr id="160" name="Text Box 192">
          <a:extLst>
            <a:ext uri="{FF2B5EF4-FFF2-40B4-BE49-F238E27FC236}">
              <a16:creationId xmlns:a16="http://schemas.microsoft.com/office/drawing/2014/main" id="{3B06E2A7-226C-41BB-9877-FA9EE0DAA18F}"/>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100</xdr:row>
      <xdr:rowOff>0</xdr:rowOff>
    </xdr:from>
    <xdr:ext cx="10372" cy="228955"/>
    <xdr:sp macro="" textlink="">
      <xdr:nvSpPr>
        <xdr:cNvPr id="161" name="Text Box 192">
          <a:extLst>
            <a:ext uri="{FF2B5EF4-FFF2-40B4-BE49-F238E27FC236}">
              <a16:creationId xmlns:a16="http://schemas.microsoft.com/office/drawing/2014/main" id="{79D4DB84-69B0-47CB-97DB-BDF73531F0A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101</xdr:row>
      <xdr:rowOff>0</xdr:rowOff>
    </xdr:from>
    <xdr:ext cx="10372" cy="228955"/>
    <xdr:sp macro="" textlink="">
      <xdr:nvSpPr>
        <xdr:cNvPr id="162" name="Text Box 192">
          <a:extLst>
            <a:ext uri="{FF2B5EF4-FFF2-40B4-BE49-F238E27FC236}">
              <a16:creationId xmlns:a16="http://schemas.microsoft.com/office/drawing/2014/main" id="{C575395D-C804-4AF1-8454-B560E5F0B41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104</xdr:row>
      <xdr:rowOff>0</xdr:rowOff>
    </xdr:from>
    <xdr:ext cx="10372" cy="228955"/>
    <xdr:sp macro="" textlink="">
      <xdr:nvSpPr>
        <xdr:cNvPr id="163" name="Text Box 192">
          <a:extLst>
            <a:ext uri="{FF2B5EF4-FFF2-40B4-BE49-F238E27FC236}">
              <a16:creationId xmlns:a16="http://schemas.microsoft.com/office/drawing/2014/main" id="{EABF6886-A043-4EB7-9A15-DF352432DC81}"/>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105</xdr:row>
      <xdr:rowOff>0</xdr:rowOff>
    </xdr:from>
    <xdr:ext cx="10372" cy="228955"/>
    <xdr:sp macro="" textlink="">
      <xdr:nvSpPr>
        <xdr:cNvPr id="164" name="Text Box 192">
          <a:extLst>
            <a:ext uri="{FF2B5EF4-FFF2-40B4-BE49-F238E27FC236}">
              <a16:creationId xmlns:a16="http://schemas.microsoft.com/office/drawing/2014/main" id="{5A68D18D-736D-4774-8FE9-09648767E22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105</xdr:row>
      <xdr:rowOff>0</xdr:rowOff>
    </xdr:from>
    <xdr:ext cx="10372" cy="228955"/>
    <xdr:sp macro="" textlink="">
      <xdr:nvSpPr>
        <xdr:cNvPr id="165" name="Text Box 192">
          <a:extLst>
            <a:ext uri="{FF2B5EF4-FFF2-40B4-BE49-F238E27FC236}">
              <a16:creationId xmlns:a16="http://schemas.microsoft.com/office/drawing/2014/main" id="{ADBBC9C7-D1C5-4EAA-8F11-29AA87E8B7D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106</xdr:row>
      <xdr:rowOff>0</xdr:rowOff>
    </xdr:from>
    <xdr:ext cx="10372" cy="228955"/>
    <xdr:sp macro="" textlink="">
      <xdr:nvSpPr>
        <xdr:cNvPr id="166" name="Text Box 192">
          <a:extLst>
            <a:ext uri="{FF2B5EF4-FFF2-40B4-BE49-F238E27FC236}">
              <a16:creationId xmlns:a16="http://schemas.microsoft.com/office/drawing/2014/main" id="{0F89FC74-1883-4252-9654-C3124103FCBC}"/>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106</xdr:row>
      <xdr:rowOff>0</xdr:rowOff>
    </xdr:from>
    <xdr:ext cx="10372" cy="228955"/>
    <xdr:sp macro="" textlink="">
      <xdr:nvSpPr>
        <xdr:cNvPr id="167" name="Text Box 192">
          <a:extLst>
            <a:ext uri="{FF2B5EF4-FFF2-40B4-BE49-F238E27FC236}">
              <a16:creationId xmlns:a16="http://schemas.microsoft.com/office/drawing/2014/main" id="{D246C2D9-B0EC-435A-86DC-6CAEE69914A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107</xdr:row>
      <xdr:rowOff>0</xdr:rowOff>
    </xdr:from>
    <xdr:ext cx="10372" cy="228955"/>
    <xdr:sp macro="" textlink="">
      <xdr:nvSpPr>
        <xdr:cNvPr id="168" name="Text Box 192">
          <a:extLst>
            <a:ext uri="{FF2B5EF4-FFF2-40B4-BE49-F238E27FC236}">
              <a16:creationId xmlns:a16="http://schemas.microsoft.com/office/drawing/2014/main" id="{1CD05F07-0EC5-4750-AE29-D7F26FB345D6}"/>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109</xdr:row>
      <xdr:rowOff>0</xdr:rowOff>
    </xdr:from>
    <xdr:ext cx="10372" cy="228955"/>
    <xdr:sp macro="" textlink="">
      <xdr:nvSpPr>
        <xdr:cNvPr id="169" name="Text Box 192">
          <a:extLst>
            <a:ext uri="{FF2B5EF4-FFF2-40B4-BE49-F238E27FC236}">
              <a16:creationId xmlns:a16="http://schemas.microsoft.com/office/drawing/2014/main" id="{911D8DC0-E18F-4A2F-B88E-AD3551C68938}"/>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110</xdr:row>
      <xdr:rowOff>0</xdr:rowOff>
    </xdr:from>
    <xdr:ext cx="10372" cy="228955"/>
    <xdr:sp macro="" textlink="">
      <xdr:nvSpPr>
        <xdr:cNvPr id="170" name="Text Box 192">
          <a:extLst>
            <a:ext uri="{FF2B5EF4-FFF2-40B4-BE49-F238E27FC236}">
              <a16:creationId xmlns:a16="http://schemas.microsoft.com/office/drawing/2014/main" id="{D3003407-C0EE-4894-B9EA-F912561316F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110</xdr:row>
      <xdr:rowOff>0</xdr:rowOff>
    </xdr:from>
    <xdr:ext cx="10372" cy="228955"/>
    <xdr:sp macro="" textlink="">
      <xdr:nvSpPr>
        <xdr:cNvPr id="171" name="Text Box 192">
          <a:extLst>
            <a:ext uri="{FF2B5EF4-FFF2-40B4-BE49-F238E27FC236}">
              <a16:creationId xmlns:a16="http://schemas.microsoft.com/office/drawing/2014/main" id="{A87DAB6E-3FA9-4251-A641-317A7D1DE357}"/>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111</xdr:row>
      <xdr:rowOff>0</xdr:rowOff>
    </xdr:from>
    <xdr:ext cx="10372" cy="228955"/>
    <xdr:sp macro="" textlink="">
      <xdr:nvSpPr>
        <xdr:cNvPr id="172" name="Text Box 192">
          <a:extLst>
            <a:ext uri="{FF2B5EF4-FFF2-40B4-BE49-F238E27FC236}">
              <a16:creationId xmlns:a16="http://schemas.microsoft.com/office/drawing/2014/main" id="{B7626D4B-6546-4346-A376-AFB057DDA67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111</xdr:row>
      <xdr:rowOff>0</xdr:rowOff>
    </xdr:from>
    <xdr:ext cx="10372" cy="228955"/>
    <xdr:sp macro="" textlink="">
      <xdr:nvSpPr>
        <xdr:cNvPr id="173" name="Text Box 192">
          <a:extLst>
            <a:ext uri="{FF2B5EF4-FFF2-40B4-BE49-F238E27FC236}">
              <a16:creationId xmlns:a16="http://schemas.microsoft.com/office/drawing/2014/main" id="{BC1FB6C2-AB1C-40B2-B54A-5FC157CBABD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112</xdr:row>
      <xdr:rowOff>0</xdr:rowOff>
    </xdr:from>
    <xdr:ext cx="10372" cy="228955"/>
    <xdr:sp macro="" textlink="">
      <xdr:nvSpPr>
        <xdr:cNvPr id="174" name="Text Box 192">
          <a:extLst>
            <a:ext uri="{FF2B5EF4-FFF2-40B4-BE49-F238E27FC236}">
              <a16:creationId xmlns:a16="http://schemas.microsoft.com/office/drawing/2014/main" id="{C4332350-D63D-4A66-AAC4-DF245EFD42A9}"/>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112</xdr:row>
      <xdr:rowOff>0</xdr:rowOff>
    </xdr:from>
    <xdr:ext cx="10372" cy="228955"/>
    <xdr:sp macro="" textlink="">
      <xdr:nvSpPr>
        <xdr:cNvPr id="175" name="Text Box 192">
          <a:extLst>
            <a:ext uri="{FF2B5EF4-FFF2-40B4-BE49-F238E27FC236}">
              <a16:creationId xmlns:a16="http://schemas.microsoft.com/office/drawing/2014/main" id="{EC7B170E-B448-43A6-93BA-E8789FE62FD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113</xdr:row>
      <xdr:rowOff>0</xdr:rowOff>
    </xdr:from>
    <xdr:ext cx="10372" cy="228955"/>
    <xdr:sp macro="" textlink="">
      <xdr:nvSpPr>
        <xdr:cNvPr id="176" name="Text Box 192">
          <a:extLst>
            <a:ext uri="{FF2B5EF4-FFF2-40B4-BE49-F238E27FC236}">
              <a16:creationId xmlns:a16="http://schemas.microsoft.com/office/drawing/2014/main" id="{C1F7FC63-F4E1-4CF6-9A76-F96BF8465FE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115</xdr:row>
      <xdr:rowOff>0</xdr:rowOff>
    </xdr:from>
    <xdr:ext cx="10372" cy="228955"/>
    <xdr:sp macro="" textlink="">
      <xdr:nvSpPr>
        <xdr:cNvPr id="177" name="Text Box 192">
          <a:extLst>
            <a:ext uri="{FF2B5EF4-FFF2-40B4-BE49-F238E27FC236}">
              <a16:creationId xmlns:a16="http://schemas.microsoft.com/office/drawing/2014/main" id="{F1BBC220-BC05-48E2-A20C-B802F62CF997}"/>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116</xdr:row>
      <xdr:rowOff>0</xdr:rowOff>
    </xdr:from>
    <xdr:ext cx="10372" cy="228955"/>
    <xdr:sp macro="" textlink="">
      <xdr:nvSpPr>
        <xdr:cNvPr id="178" name="Text Box 192">
          <a:extLst>
            <a:ext uri="{FF2B5EF4-FFF2-40B4-BE49-F238E27FC236}">
              <a16:creationId xmlns:a16="http://schemas.microsoft.com/office/drawing/2014/main" id="{8B78F32A-3F93-4225-BC26-0F24C56FC87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116</xdr:row>
      <xdr:rowOff>0</xdr:rowOff>
    </xdr:from>
    <xdr:ext cx="10372" cy="228955"/>
    <xdr:sp macro="" textlink="">
      <xdr:nvSpPr>
        <xdr:cNvPr id="179" name="Text Box 192">
          <a:extLst>
            <a:ext uri="{FF2B5EF4-FFF2-40B4-BE49-F238E27FC236}">
              <a16:creationId xmlns:a16="http://schemas.microsoft.com/office/drawing/2014/main" id="{C2B119D6-0B09-4344-B42F-AEB1FC5A829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117</xdr:row>
      <xdr:rowOff>0</xdr:rowOff>
    </xdr:from>
    <xdr:ext cx="10372" cy="228955"/>
    <xdr:sp macro="" textlink="">
      <xdr:nvSpPr>
        <xdr:cNvPr id="180" name="Text Box 192">
          <a:extLst>
            <a:ext uri="{FF2B5EF4-FFF2-40B4-BE49-F238E27FC236}">
              <a16:creationId xmlns:a16="http://schemas.microsoft.com/office/drawing/2014/main" id="{54300993-AD3C-4896-BF0E-9D278707597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117</xdr:row>
      <xdr:rowOff>0</xdr:rowOff>
    </xdr:from>
    <xdr:ext cx="10372" cy="228955"/>
    <xdr:sp macro="" textlink="">
      <xdr:nvSpPr>
        <xdr:cNvPr id="181" name="Text Box 192">
          <a:extLst>
            <a:ext uri="{FF2B5EF4-FFF2-40B4-BE49-F238E27FC236}">
              <a16:creationId xmlns:a16="http://schemas.microsoft.com/office/drawing/2014/main" id="{1F38DC1A-AF7D-4ADC-AF99-A18ECBCA3DCC}"/>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118</xdr:row>
      <xdr:rowOff>0</xdr:rowOff>
    </xdr:from>
    <xdr:ext cx="10372" cy="228955"/>
    <xdr:sp macro="" textlink="">
      <xdr:nvSpPr>
        <xdr:cNvPr id="182" name="Text Box 192">
          <a:extLst>
            <a:ext uri="{FF2B5EF4-FFF2-40B4-BE49-F238E27FC236}">
              <a16:creationId xmlns:a16="http://schemas.microsoft.com/office/drawing/2014/main" id="{AF4858D0-4DEC-4518-94A1-5C637636F859}"/>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118</xdr:row>
      <xdr:rowOff>0</xdr:rowOff>
    </xdr:from>
    <xdr:ext cx="10372" cy="228955"/>
    <xdr:sp macro="" textlink="">
      <xdr:nvSpPr>
        <xdr:cNvPr id="183" name="Text Box 192">
          <a:extLst>
            <a:ext uri="{FF2B5EF4-FFF2-40B4-BE49-F238E27FC236}">
              <a16:creationId xmlns:a16="http://schemas.microsoft.com/office/drawing/2014/main" id="{ED8DD67D-1EC3-42A1-8D9C-F2CC5D52EE4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119</xdr:row>
      <xdr:rowOff>0</xdr:rowOff>
    </xdr:from>
    <xdr:ext cx="10372" cy="228955"/>
    <xdr:sp macro="" textlink="">
      <xdr:nvSpPr>
        <xdr:cNvPr id="184" name="Text Box 192">
          <a:extLst>
            <a:ext uri="{FF2B5EF4-FFF2-40B4-BE49-F238E27FC236}">
              <a16:creationId xmlns:a16="http://schemas.microsoft.com/office/drawing/2014/main" id="{60412A10-92F2-4B5E-8E9B-05A41D712A0A}"/>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121</xdr:row>
      <xdr:rowOff>0</xdr:rowOff>
    </xdr:from>
    <xdr:ext cx="10372" cy="228955"/>
    <xdr:sp macro="" textlink="">
      <xdr:nvSpPr>
        <xdr:cNvPr id="185" name="Text Box 192">
          <a:extLst>
            <a:ext uri="{FF2B5EF4-FFF2-40B4-BE49-F238E27FC236}">
              <a16:creationId xmlns:a16="http://schemas.microsoft.com/office/drawing/2014/main" id="{B16DCB52-2F17-41EB-A015-9381102C771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122</xdr:row>
      <xdr:rowOff>0</xdr:rowOff>
    </xdr:from>
    <xdr:ext cx="10372" cy="228955"/>
    <xdr:sp macro="" textlink="">
      <xdr:nvSpPr>
        <xdr:cNvPr id="186" name="Text Box 192">
          <a:extLst>
            <a:ext uri="{FF2B5EF4-FFF2-40B4-BE49-F238E27FC236}">
              <a16:creationId xmlns:a16="http://schemas.microsoft.com/office/drawing/2014/main" id="{1037AB56-D25A-4118-ADFB-62E7C3673CE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122</xdr:row>
      <xdr:rowOff>0</xdr:rowOff>
    </xdr:from>
    <xdr:ext cx="10372" cy="228955"/>
    <xdr:sp macro="" textlink="">
      <xdr:nvSpPr>
        <xdr:cNvPr id="187" name="Text Box 192">
          <a:extLst>
            <a:ext uri="{FF2B5EF4-FFF2-40B4-BE49-F238E27FC236}">
              <a16:creationId xmlns:a16="http://schemas.microsoft.com/office/drawing/2014/main" id="{C335220C-280E-4359-B102-5C8F7D7E8686}"/>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123</xdr:row>
      <xdr:rowOff>0</xdr:rowOff>
    </xdr:from>
    <xdr:ext cx="10372" cy="228955"/>
    <xdr:sp macro="" textlink="">
      <xdr:nvSpPr>
        <xdr:cNvPr id="188" name="Text Box 192">
          <a:extLst>
            <a:ext uri="{FF2B5EF4-FFF2-40B4-BE49-F238E27FC236}">
              <a16:creationId xmlns:a16="http://schemas.microsoft.com/office/drawing/2014/main" id="{AC5F3A8D-B4B8-4B40-A1B6-C3E4C45782B6}"/>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123</xdr:row>
      <xdr:rowOff>0</xdr:rowOff>
    </xdr:from>
    <xdr:ext cx="10372" cy="228955"/>
    <xdr:sp macro="" textlink="">
      <xdr:nvSpPr>
        <xdr:cNvPr id="189" name="Text Box 192">
          <a:extLst>
            <a:ext uri="{FF2B5EF4-FFF2-40B4-BE49-F238E27FC236}">
              <a16:creationId xmlns:a16="http://schemas.microsoft.com/office/drawing/2014/main" id="{0A646A6A-9C98-4FE7-91D4-3AA92C044FE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124</xdr:row>
      <xdr:rowOff>0</xdr:rowOff>
    </xdr:from>
    <xdr:ext cx="10372" cy="228955"/>
    <xdr:sp macro="" textlink="">
      <xdr:nvSpPr>
        <xdr:cNvPr id="190" name="Text Box 192">
          <a:extLst>
            <a:ext uri="{FF2B5EF4-FFF2-40B4-BE49-F238E27FC236}">
              <a16:creationId xmlns:a16="http://schemas.microsoft.com/office/drawing/2014/main" id="{FE9F3763-E709-4086-878A-67DC3045AE3D}"/>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124</xdr:row>
      <xdr:rowOff>0</xdr:rowOff>
    </xdr:from>
    <xdr:ext cx="10372" cy="228955"/>
    <xdr:sp macro="" textlink="">
      <xdr:nvSpPr>
        <xdr:cNvPr id="191" name="Text Box 192">
          <a:extLst>
            <a:ext uri="{FF2B5EF4-FFF2-40B4-BE49-F238E27FC236}">
              <a16:creationId xmlns:a16="http://schemas.microsoft.com/office/drawing/2014/main" id="{4E045CBF-5889-43C4-875E-0B6B7B9CAD0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125</xdr:row>
      <xdr:rowOff>0</xdr:rowOff>
    </xdr:from>
    <xdr:ext cx="10372" cy="228955"/>
    <xdr:sp macro="" textlink="">
      <xdr:nvSpPr>
        <xdr:cNvPr id="192" name="Text Box 192">
          <a:extLst>
            <a:ext uri="{FF2B5EF4-FFF2-40B4-BE49-F238E27FC236}">
              <a16:creationId xmlns:a16="http://schemas.microsoft.com/office/drawing/2014/main" id="{ADEFA514-376A-4992-A437-3FEBA8CCBE7A}"/>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125</xdr:row>
      <xdr:rowOff>0</xdr:rowOff>
    </xdr:from>
    <xdr:ext cx="10372" cy="228955"/>
    <xdr:sp macro="" textlink="">
      <xdr:nvSpPr>
        <xdr:cNvPr id="193" name="Text Box 192">
          <a:extLst>
            <a:ext uri="{FF2B5EF4-FFF2-40B4-BE49-F238E27FC236}">
              <a16:creationId xmlns:a16="http://schemas.microsoft.com/office/drawing/2014/main" id="{3E1D63BE-07B0-40FC-937E-1D83F252B100}"/>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126</xdr:row>
      <xdr:rowOff>0</xdr:rowOff>
    </xdr:from>
    <xdr:ext cx="10372" cy="228955"/>
    <xdr:sp macro="" textlink="">
      <xdr:nvSpPr>
        <xdr:cNvPr id="194" name="Text Box 192">
          <a:extLst>
            <a:ext uri="{FF2B5EF4-FFF2-40B4-BE49-F238E27FC236}">
              <a16:creationId xmlns:a16="http://schemas.microsoft.com/office/drawing/2014/main" id="{1F6AF5E4-1FBB-4D30-AFA5-98DE8C6EAEA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126</xdr:row>
      <xdr:rowOff>0</xdr:rowOff>
    </xdr:from>
    <xdr:ext cx="10372" cy="228955"/>
    <xdr:sp macro="" textlink="">
      <xdr:nvSpPr>
        <xdr:cNvPr id="195" name="Text Box 192">
          <a:extLst>
            <a:ext uri="{FF2B5EF4-FFF2-40B4-BE49-F238E27FC236}">
              <a16:creationId xmlns:a16="http://schemas.microsoft.com/office/drawing/2014/main" id="{16F23C7E-C638-4E28-9F11-099D1A041862}"/>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127</xdr:row>
      <xdr:rowOff>0</xdr:rowOff>
    </xdr:from>
    <xdr:ext cx="10372" cy="228955"/>
    <xdr:sp macro="" textlink="">
      <xdr:nvSpPr>
        <xdr:cNvPr id="196" name="Text Box 192">
          <a:extLst>
            <a:ext uri="{FF2B5EF4-FFF2-40B4-BE49-F238E27FC236}">
              <a16:creationId xmlns:a16="http://schemas.microsoft.com/office/drawing/2014/main" id="{E5193BD8-24C7-45FE-A408-9C666DB16203}"/>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130</xdr:row>
      <xdr:rowOff>0</xdr:rowOff>
    </xdr:from>
    <xdr:ext cx="10372" cy="228955"/>
    <xdr:sp macro="" textlink="">
      <xdr:nvSpPr>
        <xdr:cNvPr id="197" name="Text Box 192">
          <a:extLst>
            <a:ext uri="{FF2B5EF4-FFF2-40B4-BE49-F238E27FC236}">
              <a16:creationId xmlns:a16="http://schemas.microsoft.com/office/drawing/2014/main" id="{D09C8705-19B2-4E6B-AA19-D66D4148E757}"/>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131</xdr:row>
      <xdr:rowOff>0</xdr:rowOff>
    </xdr:from>
    <xdr:ext cx="10372" cy="228955"/>
    <xdr:sp macro="" textlink="">
      <xdr:nvSpPr>
        <xdr:cNvPr id="198" name="Text Box 192">
          <a:extLst>
            <a:ext uri="{FF2B5EF4-FFF2-40B4-BE49-F238E27FC236}">
              <a16:creationId xmlns:a16="http://schemas.microsoft.com/office/drawing/2014/main" id="{6F898412-D849-42C5-8AE3-771F079E047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131</xdr:row>
      <xdr:rowOff>0</xdr:rowOff>
    </xdr:from>
    <xdr:ext cx="10372" cy="228955"/>
    <xdr:sp macro="" textlink="">
      <xdr:nvSpPr>
        <xdr:cNvPr id="199" name="Text Box 192">
          <a:extLst>
            <a:ext uri="{FF2B5EF4-FFF2-40B4-BE49-F238E27FC236}">
              <a16:creationId xmlns:a16="http://schemas.microsoft.com/office/drawing/2014/main" id="{52515B64-482A-448F-8246-9A1A793CEFE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132</xdr:row>
      <xdr:rowOff>0</xdr:rowOff>
    </xdr:from>
    <xdr:ext cx="10372" cy="228955"/>
    <xdr:sp macro="" textlink="">
      <xdr:nvSpPr>
        <xdr:cNvPr id="200" name="Text Box 192">
          <a:extLst>
            <a:ext uri="{FF2B5EF4-FFF2-40B4-BE49-F238E27FC236}">
              <a16:creationId xmlns:a16="http://schemas.microsoft.com/office/drawing/2014/main" id="{3B128ACD-5AF4-46F4-8EAE-0694F5DCBE9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132</xdr:row>
      <xdr:rowOff>0</xdr:rowOff>
    </xdr:from>
    <xdr:ext cx="10372" cy="228955"/>
    <xdr:sp macro="" textlink="">
      <xdr:nvSpPr>
        <xdr:cNvPr id="201" name="Text Box 192">
          <a:extLst>
            <a:ext uri="{FF2B5EF4-FFF2-40B4-BE49-F238E27FC236}">
              <a16:creationId xmlns:a16="http://schemas.microsoft.com/office/drawing/2014/main" id="{9B1D2F7B-54CE-41CE-8978-BBB8D068664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133</xdr:row>
      <xdr:rowOff>0</xdr:rowOff>
    </xdr:from>
    <xdr:ext cx="10372" cy="228955"/>
    <xdr:sp macro="" textlink="">
      <xdr:nvSpPr>
        <xdr:cNvPr id="202" name="Text Box 192">
          <a:extLst>
            <a:ext uri="{FF2B5EF4-FFF2-40B4-BE49-F238E27FC236}">
              <a16:creationId xmlns:a16="http://schemas.microsoft.com/office/drawing/2014/main" id="{0ED56A88-CF01-489F-892F-D95D253CC195}"/>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133</xdr:row>
      <xdr:rowOff>0</xdr:rowOff>
    </xdr:from>
    <xdr:ext cx="10372" cy="228955"/>
    <xdr:sp macro="" textlink="">
      <xdr:nvSpPr>
        <xdr:cNvPr id="203" name="Text Box 192">
          <a:extLst>
            <a:ext uri="{FF2B5EF4-FFF2-40B4-BE49-F238E27FC236}">
              <a16:creationId xmlns:a16="http://schemas.microsoft.com/office/drawing/2014/main" id="{31BBCB03-0906-402C-9946-04CB4381F8A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134</xdr:row>
      <xdr:rowOff>0</xdr:rowOff>
    </xdr:from>
    <xdr:ext cx="10372" cy="228955"/>
    <xdr:sp macro="" textlink="">
      <xdr:nvSpPr>
        <xdr:cNvPr id="204" name="Text Box 192">
          <a:extLst>
            <a:ext uri="{FF2B5EF4-FFF2-40B4-BE49-F238E27FC236}">
              <a16:creationId xmlns:a16="http://schemas.microsoft.com/office/drawing/2014/main" id="{7AF841E7-BFA0-4295-B607-708E93C475D5}"/>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134</xdr:row>
      <xdr:rowOff>0</xdr:rowOff>
    </xdr:from>
    <xdr:ext cx="10372" cy="228955"/>
    <xdr:sp macro="" textlink="">
      <xdr:nvSpPr>
        <xdr:cNvPr id="205" name="Text Box 192">
          <a:extLst>
            <a:ext uri="{FF2B5EF4-FFF2-40B4-BE49-F238E27FC236}">
              <a16:creationId xmlns:a16="http://schemas.microsoft.com/office/drawing/2014/main" id="{BA18A5E1-89C9-442F-BB02-D4B8CD8D4277}"/>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135</xdr:row>
      <xdr:rowOff>0</xdr:rowOff>
    </xdr:from>
    <xdr:ext cx="10372" cy="228955"/>
    <xdr:sp macro="" textlink="">
      <xdr:nvSpPr>
        <xdr:cNvPr id="206" name="Text Box 192">
          <a:extLst>
            <a:ext uri="{FF2B5EF4-FFF2-40B4-BE49-F238E27FC236}">
              <a16:creationId xmlns:a16="http://schemas.microsoft.com/office/drawing/2014/main" id="{2ACFEE8F-6A5C-4EAA-B734-3764C94DDCF9}"/>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135</xdr:row>
      <xdr:rowOff>0</xdr:rowOff>
    </xdr:from>
    <xdr:ext cx="10372" cy="228955"/>
    <xdr:sp macro="" textlink="">
      <xdr:nvSpPr>
        <xdr:cNvPr id="207" name="Text Box 192">
          <a:extLst>
            <a:ext uri="{FF2B5EF4-FFF2-40B4-BE49-F238E27FC236}">
              <a16:creationId xmlns:a16="http://schemas.microsoft.com/office/drawing/2014/main" id="{B4C2447B-00AB-4D7E-9F9F-E37D5A490E47}"/>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136</xdr:row>
      <xdr:rowOff>0</xdr:rowOff>
    </xdr:from>
    <xdr:ext cx="10372" cy="228955"/>
    <xdr:sp macro="" textlink="">
      <xdr:nvSpPr>
        <xdr:cNvPr id="208" name="Text Box 192">
          <a:extLst>
            <a:ext uri="{FF2B5EF4-FFF2-40B4-BE49-F238E27FC236}">
              <a16:creationId xmlns:a16="http://schemas.microsoft.com/office/drawing/2014/main" id="{098A4D3B-AA0F-4CC9-842E-C5D34BF061B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136</xdr:row>
      <xdr:rowOff>0</xdr:rowOff>
    </xdr:from>
    <xdr:ext cx="10372" cy="228955"/>
    <xdr:sp macro="" textlink="">
      <xdr:nvSpPr>
        <xdr:cNvPr id="209" name="Text Box 192">
          <a:extLst>
            <a:ext uri="{FF2B5EF4-FFF2-40B4-BE49-F238E27FC236}">
              <a16:creationId xmlns:a16="http://schemas.microsoft.com/office/drawing/2014/main" id="{DBAECE89-4311-4561-B114-ED092A983F8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137</xdr:row>
      <xdr:rowOff>0</xdr:rowOff>
    </xdr:from>
    <xdr:ext cx="10372" cy="228955"/>
    <xdr:sp macro="" textlink="">
      <xdr:nvSpPr>
        <xdr:cNvPr id="210" name="Text Box 192">
          <a:extLst>
            <a:ext uri="{FF2B5EF4-FFF2-40B4-BE49-F238E27FC236}">
              <a16:creationId xmlns:a16="http://schemas.microsoft.com/office/drawing/2014/main" id="{10AB5257-F1C3-4E44-A835-6E60D468FF34}"/>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137</xdr:row>
      <xdr:rowOff>0</xdr:rowOff>
    </xdr:from>
    <xdr:ext cx="10372" cy="228955"/>
    <xdr:sp macro="" textlink="">
      <xdr:nvSpPr>
        <xdr:cNvPr id="211" name="Text Box 192">
          <a:extLst>
            <a:ext uri="{FF2B5EF4-FFF2-40B4-BE49-F238E27FC236}">
              <a16:creationId xmlns:a16="http://schemas.microsoft.com/office/drawing/2014/main" id="{5CA978BF-F73F-4CB1-A5D2-54EDD657262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138</xdr:row>
      <xdr:rowOff>0</xdr:rowOff>
    </xdr:from>
    <xdr:ext cx="10372" cy="228955"/>
    <xdr:sp macro="" textlink="">
      <xdr:nvSpPr>
        <xdr:cNvPr id="212" name="Text Box 192">
          <a:extLst>
            <a:ext uri="{FF2B5EF4-FFF2-40B4-BE49-F238E27FC236}">
              <a16:creationId xmlns:a16="http://schemas.microsoft.com/office/drawing/2014/main" id="{3B9B4EA6-54B9-4289-B16C-C163CCCF32FC}"/>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138</xdr:row>
      <xdr:rowOff>0</xdr:rowOff>
    </xdr:from>
    <xdr:ext cx="10372" cy="228955"/>
    <xdr:sp macro="" textlink="">
      <xdr:nvSpPr>
        <xdr:cNvPr id="213" name="Text Box 192">
          <a:extLst>
            <a:ext uri="{FF2B5EF4-FFF2-40B4-BE49-F238E27FC236}">
              <a16:creationId xmlns:a16="http://schemas.microsoft.com/office/drawing/2014/main" id="{7D840542-13B1-4854-B561-97C1A0E3217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139</xdr:row>
      <xdr:rowOff>0</xdr:rowOff>
    </xdr:from>
    <xdr:ext cx="10372" cy="228955"/>
    <xdr:sp macro="" textlink="">
      <xdr:nvSpPr>
        <xdr:cNvPr id="214" name="Text Box 192">
          <a:extLst>
            <a:ext uri="{FF2B5EF4-FFF2-40B4-BE49-F238E27FC236}">
              <a16:creationId xmlns:a16="http://schemas.microsoft.com/office/drawing/2014/main" id="{CC2DBDF1-CB93-49B6-B629-4AFF2FA3174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139</xdr:row>
      <xdr:rowOff>0</xdr:rowOff>
    </xdr:from>
    <xdr:ext cx="10372" cy="228955"/>
    <xdr:sp macro="" textlink="">
      <xdr:nvSpPr>
        <xdr:cNvPr id="215" name="Text Box 192">
          <a:extLst>
            <a:ext uri="{FF2B5EF4-FFF2-40B4-BE49-F238E27FC236}">
              <a16:creationId xmlns:a16="http://schemas.microsoft.com/office/drawing/2014/main" id="{7A5796C4-592D-40CA-99C2-454A8AE58996}"/>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140</xdr:row>
      <xdr:rowOff>0</xdr:rowOff>
    </xdr:from>
    <xdr:ext cx="10372" cy="228955"/>
    <xdr:sp macro="" textlink="">
      <xdr:nvSpPr>
        <xdr:cNvPr id="216" name="Text Box 192">
          <a:extLst>
            <a:ext uri="{FF2B5EF4-FFF2-40B4-BE49-F238E27FC236}">
              <a16:creationId xmlns:a16="http://schemas.microsoft.com/office/drawing/2014/main" id="{89555967-901B-4F41-9C28-DC3E08F463F9}"/>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140</xdr:row>
      <xdr:rowOff>0</xdr:rowOff>
    </xdr:from>
    <xdr:ext cx="10372" cy="228955"/>
    <xdr:sp macro="" textlink="">
      <xdr:nvSpPr>
        <xdr:cNvPr id="217" name="Text Box 192">
          <a:extLst>
            <a:ext uri="{FF2B5EF4-FFF2-40B4-BE49-F238E27FC236}">
              <a16:creationId xmlns:a16="http://schemas.microsoft.com/office/drawing/2014/main" id="{59100A84-9947-4CB6-A15A-8B0AD5264D56}"/>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141</xdr:row>
      <xdr:rowOff>0</xdr:rowOff>
    </xdr:from>
    <xdr:ext cx="10372" cy="228955"/>
    <xdr:sp macro="" textlink="">
      <xdr:nvSpPr>
        <xdr:cNvPr id="218" name="Text Box 192">
          <a:extLst>
            <a:ext uri="{FF2B5EF4-FFF2-40B4-BE49-F238E27FC236}">
              <a16:creationId xmlns:a16="http://schemas.microsoft.com/office/drawing/2014/main" id="{4AA0B241-FF6C-45C3-8FC2-661ABB6BEB6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141</xdr:row>
      <xdr:rowOff>0</xdr:rowOff>
    </xdr:from>
    <xdr:ext cx="10372" cy="228955"/>
    <xdr:sp macro="" textlink="">
      <xdr:nvSpPr>
        <xdr:cNvPr id="219" name="Text Box 192">
          <a:extLst>
            <a:ext uri="{FF2B5EF4-FFF2-40B4-BE49-F238E27FC236}">
              <a16:creationId xmlns:a16="http://schemas.microsoft.com/office/drawing/2014/main" id="{9493C4C8-A99D-4510-8893-FBD85F603A66}"/>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142</xdr:row>
      <xdr:rowOff>0</xdr:rowOff>
    </xdr:from>
    <xdr:ext cx="10372" cy="228955"/>
    <xdr:sp macro="" textlink="">
      <xdr:nvSpPr>
        <xdr:cNvPr id="220" name="Text Box 192">
          <a:extLst>
            <a:ext uri="{FF2B5EF4-FFF2-40B4-BE49-F238E27FC236}">
              <a16:creationId xmlns:a16="http://schemas.microsoft.com/office/drawing/2014/main" id="{BD04861E-28B1-4F54-A125-CA556A0597C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142</xdr:row>
      <xdr:rowOff>0</xdr:rowOff>
    </xdr:from>
    <xdr:ext cx="10372" cy="228955"/>
    <xdr:sp macro="" textlink="">
      <xdr:nvSpPr>
        <xdr:cNvPr id="221" name="Text Box 192">
          <a:extLst>
            <a:ext uri="{FF2B5EF4-FFF2-40B4-BE49-F238E27FC236}">
              <a16:creationId xmlns:a16="http://schemas.microsoft.com/office/drawing/2014/main" id="{741F5D47-5730-46D3-B10F-A3D3986F014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143</xdr:row>
      <xdr:rowOff>0</xdr:rowOff>
    </xdr:from>
    <xdr:ext cx="10372" cy="228955"/>
    <xdr:sp macro="" textlink="">
      <xdr:nvSpPr>
        <xdr:cNvPr id="222" name="Text Box 192">
          <a:extLst>
            <a:ext uri="{FF2B5EF4-FFF2-40B4-BE49-F238E27FC236}">
              <a16:creationId xmlns:a16="http://schemas.microsoft.com/office/drawing/2014/main" id="{8FB1C7E8-149A-4E81-BAB5-D9473AC372B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143</xdr:row>
      <xdr:rowOff>0</xdr:rowOff>
    </xdr:from>
    <xdr:ext cx="10372" cy="228955"/>
    <xdr:sp macro="" textlink="">
      <xdr:nvSpPr>
        <xdr:cNvPr id="223" name="Text Box 192">
          <a:extLst>
            <a:ext uri="{FF2B5EF4-FFF2-40B4-BE49-F238E27FC236}">
              <a16:creationId xmlns:a16="http://schemas.microsoft.com/office/drawing/2014/main" id="{C58C4BA9-673E-45A4-A00A-6B85B1DD71A1}"/>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144</xdr:row>
      <xdr:rowOff>0</xdr:rowOff>
    </xdr:from>
    <xdr:ext cx="10372" cy="228955"/>
    <xdr:sp macro="" textlink="">
      <xdr:nvSpPr>
        <xdr:cNvPr id="224" name="Text Box 192">
          <a:extLst>
            <a:ext uri="{FF2B5EF4-FFF2-40B4-BE49-F238E27FC236}">
              <a16:creationId xmlns:a16="http://schemas.microsoft.com/office/drawing/2014/main" id="{4D0F53C0-7314-4596-8F63-2A1B06544A1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144</xdr:row>
      <xdr:rowOff>0</xdr:rowOff>
    </xdr:from>
    <xdr:ext cx="10372" cy="228955"/>
    <xdr:sp macro="" textlink="">
      <xdr:nvSpPr>
        <xdr:cNvPr id="225" name="Text Box 192">
          <a:extLst>
            <a:ext uri="{FF2B5EF4-FFF2-40B4-BE49-F238E27FC236}">
              <a16:creationId xmlns:a16="http://schemas.microsoft.com/office/drawing/2014/main" id="{D02C65C3-D9FD-4028-B0AF-58994E255514}"/>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145</xdr:row>
      <xdr:rowOff>0</xdr:rowOff>
    </xdr:from>
    <xdr:ext cx="10372" cy="228955"/>
    <xdr:sp macro="" textlink="">
      <xdr:nvSpPr>
        <xdr:cNvPr id="226" name="Text Box 192">
          <a:extLst>
            <a:ext uri="{FF2B5EF4-FFF2-40B4-BE49-F238E27FC236}">
              <a16:creationId xmlns:a16="http://schemas.microsoft.com/office/drawing/2014/main" id="{D85B0991-FD1C-4CAE-BEE7-97588C342BCC}"/>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145</xdr:row>
      <xdr:rowOff>0</xdr:rowOff>
    </xdr:from>
    <xdr:ext cx="10372" cy="228955"/>
    <xdr:sp macro="" textlink="">
      <xdr:nvSpPr>
        <xdr:cNvPr id="227" name="Text Box 192">
          <a:extLst>
            <a:ext uri="{FF2B5EF4-FFF2-40B4-BE49-F238E27FC236}">
              <a16:creationId xmlns:a16="http://schemas.microsoft.com/office/drawing/2014/main" id="{FC0A233B-A690-459C-9A2C-2B369B91517C}"/>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146</xdr:row>
      <xdr:rowOff>0</xdr:rowOff>
    </xdr:from>
    <xdr:ext cx="10372" cy="228955"/>
    <xdr:sp macro="" textlink="">
      <xdr:nvSpPr>
        <xdr:cNvPr id="228" name="Text Box 192">
          <a:extLst>
            <a:ext uri="{FF2B5EF4-FFF2-40B4-BE49-F238E27FC236}">
              <a16:creationId xmlns:a16="http://schemas.microsoft.com/office/drawing/2014/main" id="{37AC512F-DDC8-4FC8-836E-831CB016AF8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146</xdr:row>
      <xdr:rowOff>0</xdr:rowOff>
    </xdr:from>
    <xdr:ext cx="10372" cy="228955"/>
    <xdr:sp macro="" textlink="">
      <xdr:nvSpPr>
        <xdr:cNvPr id="229" name="Text Box 192">
          <a:extLst>
            <a:ext uri="{FF2B5EF4-FFF2-40B4-BE49-F238E27FC236}">
              <a16:creationId xmlns:a16="http://schemas.microsoft.com/office/drawing/2014/main" id="{C36409A7-EF16-4675-8C74-2AD4CAAC767C}"/>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147</xdr:row>
      <xdr:rowOff>0</xdr:rowOff>
    </xdr:from>
    <xdr:ext cx="10372" cy="228955"/>
    <xdr:sp macro="" textlink="">
      <xdr:nvSpPr>
        <xdr:cNvPr id="230" name="Text Box 192">
          <a:extLst>
            <a:ext uri="{FF2B5EF4-FFF2-40B4-BE49-F238E27FC236}">
              <a16:creationId xmlns:a16="http://schemas.microsoft.com/office/drawing/2014/main" id="{F9F22B6B-314D-4D7C-A39F-D8D4ADD016D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147</xdr:row>
      <xdr:rowOff>0</xdr:rowOff>
    </xdr:from>
    <xdr:ext cx="10372" cy="228955"/>
    <xdr:sp macro="" textlink="">
      <xdr:nvSpPr>
        <xdr:cNvPr id="231" name="Text Box 192">
          <a:extLst>
            <a:ext uri="{FF2B5EF4-FFF2-40B4-BE49-F238E27FC236}">
              <a16:creationId xmlns:a16="http://schemas.microsoft.com/office/drawing/2014/main" id="{215E5E6D-0E02-4041-9E2B-8B0421F3866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148</xdr:row>
      <xdr:rowOff>0</xdr:rowOff>
    </xdr:from>
    <xdr:ext cx="10372" cy="228955"/>
    <xdr:sp macro="" textlink="">
      <xdr:nvSpPr>
        <xdr:cNvPr id="232" name="Text Box 192">
          <a:extLst>
            <a:ext uri="{FF2B5EF4-FFF2-40B4-BE49-F238E27FC236}">
              <a16:creationId xmlns:a16="http://schemas.microsoft.com/office/drawing/2014/main" id="{BC8AD1BF-D70E-4FAF-B044-38D1EDD6F67C}"/>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148</xdr:row>
      <xdr:rowOff>0</xdr:rowOff>
    </xdr:from>
    <xdr:ext cx="10372" cy="228955"/>
    <xdr:sp macro="" textlink="">
      <xdr:nvSpPr>
        <xdr:cNvPr id="233" name="Text Box 192">
          <a:extLst>
            <a:ext uri="{FF2B5EF4-FFF2-40B4-BE49-F238E27FC236}">
              <a16:creationId xmlns:a16="http://schemas.microsoft.com/office/drawing/2014/main" id="{38E65958-E40C-44E8-822E-41EB91E01B15}"/>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149</xdr:row>
      <xdr:rowOff>0</xdr:rowOff>
    </xdr:from>
    <xdr:ext cx="10372" cy="228955"/>
    <xdr:sp macro="" textlink="">
      <xdr:nvSpPr>
        <xdr:cNvPr id="234" name="Text Box 192">
          <a:extLst>
            <a:ext uri="{FF2B5EF4-FFF2-40B4-BE49-F238E27FC236}">
              <a16:creationId xmlns:a16="http://schemas.microsoft.com/office/drawing/2014/main" id="{52FA1E48-530F-4793-B0E2-844690D51B3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151</xdr:row>
      <xdr:rowOff>0</xdr:rowOff>
    </xdr:from>
    <xdr:ext cx="10372" cy="228955"/>
    <xdr:sp macro="" textlink="">
      <xdr:nvSpPr>
        <xdr:cNvPr id="235" name="Text Box 192">
          <a:extLst>
            <a:ext uri="{FF2B5EF4-FFF2-40B4-BE49-F238E27FC236}">
              <a16:creationId xmlns:a16="http://schemas.microsoft.com/office/drawing/2014/main" id="{B74D7A8F-AD2F-454A-A44E-EA73ACBED1F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152</xdr:row>
      <xdr:rowOff>0</xdr:rowOff>
    </xdr:from>
    <xdr:ext cx="10372" cy="228955"/>
    <xdr:sp macro="" textlink="">
      <xdr:nvSpPr>
        <xdr:cNvPr id="236" name="Text Box 192">
          <a:extLst>
            <a:ext uri="{FF2B5EF4-FFF2-40B4-BE49-F238E27FC236}">
              <a16:creationId xmlns:a16="http://schemas.microsoft.com/office/drawing/2014/main" id="{0B793E71-D9E7-4701-96E1-A4451274487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152</xdr:row>
      <xdr:rowOff>0</xdr:rowOff>
    </xdr:from>
    <xdr:ext cx="10372" cy="228955"/>
    <xdr:sp macro="" textlink="">
      <xdr:nvSpPr>
        <xdr:cNvPr id="237" name="Text Box 192">
          <a:extLst>
            <a:ext uri="{FF2B5EF4-FFF2-40B4-BE49-F238E27FC236}">
              <a16:creationId xmlns:a16="http://schemas.microsoft.com/office/drawing/2014/main" id="{13C0A197-7047-47DE-A3A6-C8DF94CAB21B}"/>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153</xdr:row>
      <xdr:rowOff>0</xdr:rowOff>
    </xdr:from>
    <xdr:ext cx="10372" cy="228955"/>
    <xdr:sp macro="" textlink="">
      <xdr:nvSpPr>
        <xdr:cNvPr id="238" name="Text Box 192">
          <a:extLst>
            <a:ext uri="{FF2B5EF4-FFF2-40B4-BE49-F238E27FC236}">
              <a16:creationId xmlns:a16="http://schemas.microsoft.com/office/drawing/2014/main" id="{6706B021-FE1D-47CC-9E29-68725A5E4526}"/>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153</xdr:row>
      <xdr:rowOff>0</xdr:rowOff>
    </xdr:from>
    <xdr:ext cx="10372" cy="228955"/>
    <xdr:sp macro="" textlink="">
      <xdr:nvSpPr>
        <xdr:cNvPr id="239" name="Text Box 192">
          <a:extLst>
            <a:ext uri="{FF2B5EF4-FFF2-40B4-BE49-F238E27FC236}">
              <a16:creationId xmlns:a16="http://schemas.microsoft.com/office/drawing/2014/main" id="{989A395F-8FE7-46BA-B1A3-C172D8833BF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154</xdr:row>
      <xdr:rowOff>0</xdr:rowOff>
    </xdr:from>
    <xdr:ext cx="10372" cy="228955"/>
    <xdr:sp macro="" textlink="">
      <xdr:nvSpPr>
        <xdr:cNvPr id="240" name="Text Box 192">
          <a:extLst>
            <a:ext uri="{FF2B5EF4-FFF2-40B4-BE49-F238E27FC236}">
              <a16:creationId xmlns:a16="http://schemas.microsoft.com/office/drawing/2014/main" id="{B190CFF1-E8B8-461F-9BE4-AAC5C8BAEA3A}"/>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154</xdr:row>
      <xdr:rowOff>0</xdr:rowOff>
    </xdr:from>
    <xdr:ext cx="10372" cy="228955"/>
    <xdr:sp macro="" textlink="">
      <xdr:nvSpPr>
        <xdr:cNvPr id="241" name="Text Box 192">
          <a:extLst>
            <a:ext uri="{FF2B5EF4-FFF2-40B4-BE49-F238E27FC236}">
              <a16:creationId xmlns:a16="http://schemas.microsoft.com/office/drawing/2014/main" id="{04A734B3-B23E-45F4-9819-9A903E643F96}"/>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155</xdr:row>
      <xdr:rowOff>0</xdr:rowOff>
    </xdr:from>
    <xdr:ext cx="10372" cy="228955"/>
    <xdr:sp macro="" textlink="">
      <xdr:nvSpPr>
        <xdr:cNvPr id="242" name="Text Box 192">
          <a:extLst>
            <a:ext uri="{FF2B5EF4-FFF2-40B4-BE49-F238E27FC236}">
              <a16:creationId xmlns:a16="http://schemas.microsoft.com/office/drawing/2014/main" id="{96E90D62-72E4-4D2A-A075-12D4379F842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155</xdr:row>
      <xdr:rowOff>0</xdr:rowOff>
    </xdr:from>
    <xdr:ext cx="10372" cy="228955"/>
    <xdr:sp macro="" textlink="">
      <xdr:nvSpPr>
        <xdr:cNvPr id="243" name="Text Box 192">
          <a:extLst>
            <a:ext uri="{FF2B5EF4-FFF2-40B4-BE49-F238E27FC236}">
              <a16:creationId xmlns:a16="http://schemas.microsoft.com/office/drawing/2014/main" id="{A6A7188F-B038-4241-954D-CB8317F8ADC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156</xdr:row>
      <xdr:rowOff>0</xdr:rowOff>
    </xdr:from>
    <xdr:ext cx="10372" cy="228955"/>
    <xdr:sp macro="" textlink="">
      <xdr:nvSpPr>
        <xdr:cNvPr id="244" name="Text Box 192">
          <a:extLst>
            <a:ext uri="{FF2B5EF4-FFF2-40B4-BE49-F238E27FC236}">
              <a16:creationId xmlns:a16="http://schemas.microsoft.com/office/drawing/2014/main" id="{CE619CF4-6329-44C6-8D0F-342CC580DA1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156</xdr:row>
      <xdr:rowOff>0</xdr:rowOff>
    </xdr:from>
    <xdr:ext cx="10372" cy="228955"/>
    <xdr:sp macro="" textlink="">
      <xdr:nvSpPr>
        <xdr:cNvPr id="245" name="Text Box 192">
          <a:extLst>
            <a:ext uri="{FF2B5EF4-FFF2-40B4-BE49-F238E27FC236}">
              <a16:creationId xmlns:a16="http://schemas.microsoft.com/office/drawing/2014/main" id="{4B6CEB59-638A-4268-9E8E-8EEE6E61318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157</xdr:row>
      <xdr:rowOff>0</xdr:rowOff>
    </xdr:from>
    <xdr:ext cx="10372" cy="228955"/>
    <xdr:sp macro="" textlink="">
      <xdr:nvSpPr>
        <xdr:cNvPr id="246" name="Text Box 192">
          <a:extLst>
            <a:ext uri="{FF2B5EF4-FFF2-40B4-BE49-F238E27FC236}">
              <a16:creationId xmlns:a16="http://schemas.microsoft.com/office/drawing/2014/main" id="{0A28BED1-3C29-4CC7-A594-F5627E44446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157</xdr:row>
      <xdr:rowOff>0</xdr:rowOff>
    </xdr:from>
    <xdr:ext cx="10372" cy="228955"/>
    <xdr:sp macro="" textlink="">
      <xdr:nvSpPr>
        <xdr:cNvPr id="247" name="Text Box 192">
          <a:extLst>
            <a:ext uri="{FF2B5EF4-FFF2-40B4-BE49-F238E27FC236}">
              <a16:creationId xmlns:a16="http://schemas.microsoft.com/office/drawing/2014/main" id="{A63C0A95-A100-4114-B6E8-0EE84C2A6BF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158</xdr:row>
      <xdr:rowOff>0</xdr:rowOff>
    </xdr:from>
    <xdr:ext cx="10372" cy="228955"/>
    <xdr:sp macro="" textlink="">
      <xdr:nvSpPr>
        <xdr:cNvPr id="248" name="Text Box 192">
          <a:extLst>
            <a:ext uri="{FF2B5EF4-FFF2-40B4-BE49-F238E27FC236}">
              <a16:creationId xmlns:a16="http://schemas.microsoft.com/office/drawing/2014/main" id="{81C95F1A-582E-46FD-95BD-AE4BD7AE8DD3}"/>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158</xdr:row>
      <xdr:rowOff>0</xdr:rowOff>
    </xdr:from>
    <xdr:ext cx="10372" cy="228955"/>
    <xdr:sp macro="" textlink="">
      <xdr:nvSpPr>
        <xdr:cNvPr id="249" name="Text Box 192">
          <a:extLst>
            <a:ext uri="{FF2B5EF4-FFF2-40B4-BE49-F238E27FC236}">
              <a16:creationId xmlns:a16="http://schemas.microsoft.com/office/drawing/2014/main" id="{AFF5C653-AF83-420F-B12E-0C01564FF067}"/>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159</xdr:row>
      <xdr:rowOff>0</xdr:rowOff>
    </xdr:from>
    <xdr:ext cx="10372" cy="228955"/>
    <xdr:sp macro="" textlink="">
      <xdr:nvSpPr>
        <xdr:cNvPr id="250" name="Text Box 192">
          <a:extLst>
            <a:ext uri="{FF2B5EF4-FFF2-40B4-BE49-F238E27FC236}">
              <a16:creationId xmlns:a16="http://schemas.microsoft.com/office/drawing/2014/main" id="{AFBDC76A-4769-46AD-BBF2-5E9C114FF4C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159</xdr:row>
      <xdr:rowOff>0</xdr:rowOff>
    </xdr:from>
    <xdr:ext cx="10372" cy="228955"/>
    <xdr:sp macro="" textlink="">
      <xdr:nvSpPr>
        <xdr:cNvPr id="251" name="Text Box 192">
          <a:extLst>
            <a:ext uri="{FF2B5EF4-FFF2-40B4-BE49-F238E27FC236}">
              <a16:creationId xmlns:a16="http://schemas.microsoft.com/office/drawing/2014/main" id="{5E10A599-5400-4A17-B46C-B05BBEF217F2}"/>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160</xdr:row>
      <xdr:rowOff>0</xdr:rowOff>
    </xdr:from>
    <xdr:ext cx="10372" cy="228955"/>
    <xdr:sp macro="" textlink="">
      <xdr:nvSpPr>
        <xdr:cNvPr id="252" name="Text Box 192">
          <a:extLst>
            <a:ext uri="{FF2B5EF4-FFF2-40B4-BE49-F238E27FC236}">
              <a16:creationId xmlns:a16="http://schemas.microsoft.com/office/drawing/2014/main" id="{BB84D215-5C1C-4699-A34D-DE896E2F67B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160</xdr:row>
      <xdr:rowOff>0</xdr:rowOff>
    </xdr:from>
    <xdr:ext cx="10372" cy="228955"/>
    <xdr:sp macro="" textlink="">
      <xdr:nvSpPr>
        <xdr:cNvPr id="253" name="Text Box 192">
          <a:extLst>
            <a:ext uri="{FF2B5EF4-FFF2-40B4-BE49-F238E27FC236}">
              <a16:creationId xmlns:a16="http://schemas.microsoft.com/office/drawing/2014/main" id="{84A9BFEA-07A5-4346-9D2F-704743180766}"/>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161</xdr:row>
      <xdr:rowOff>0</xdr:rowOff>
    </xdr:from>
    <xdr:ext cx="10372" cy="228955"/>
    <xdr:sp macro="" textlink="">
      <xdr:nvSpPr>
        <xdr:cNvPr id="254" name="Text Box 192">
          <a:extLst>
            <a:ext uri="{FF2B5EF4-FFF2-40B4-BE49-F238E27FC236}">
              <a16:creationId xmlns:a16="http://schemas.microsoft.com/office/drawing/2014/main" id="{F0366AB7-B2C5-4D43-BC7F-7F2DE2C04D0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161</xdr:row>
      <xdr:rowOff>0</xdr:rowOff>
    </xdr:from>
    <xdr:ext cx="10372" cy="228955"/>
    <xdr:sp macro="" textlink="">
      <xdr:nvSpPr>
        <xdr:cNvPr id="255" name="Text Box 192">
          <a:extLst>
            <a:ext uri="{FF2B5EF4-FFF2-40B4-BE49-F238E27FC236}">
              <a16:creationId xmlns:a16="http://schemas.microsoft.com/office/drawing/2014/main" id="{61D50C36-8FB8-477B-81B1-78A4C8FBD9C8}"/>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162</xdr:row>
      <xdr:rowOff>0</xdr:rowOff>
    </xdr:from>
    <xdr:ext cx="10372" cy="228955"/>
    <xdr:sp macro="" textlink="">
      <xdr:nvSpPr>
        <xdr:cNvPr id="256" name="Text Box 192">
          <a:extLst>
            <a:ext uri="{FF2B5EF4-FFF2-40B4-BE49-F238E27FC236}">
              <a16:creationId xmlns:a16="http://schemas.microsoft.com/office/drawing/2014/main" id="{1C988A77-845F-4319-9075-BC3F79043A5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162</xdr:row>
      <xdr:rowOff>0</xdr:rowOff>
    </xdr:from>
    <xdr:ext cx="10372" cy="228955"/>
    <xdr:sp macro="" textlink="">
      <xdr:nvSpPr>
        <xdr:cNvPr id="257" name="Text Box 192">
          <a:extLst>
            <a:ext uri="{FF2B5EF4-FFF2-40B4-BE49-F238E27FC236}">
              <a16:creationId xmlns:a16="http://schemas.microsoft.com/office/drawing/2014/main" id="{F27B725F-CD48-45FF-BD2A-F8439B0028F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163</xdr:row>
      <xdr:rowOff>0</xdr:rowOff>
    </xdr:from>
    <xdr:ext cx="10372" cy="228955"/>
    <xdr:sp macro="" textlink="">
      <xdr:nvSpPr>
        <xdr:cNvPr id="258" name="Text Box 192">
          <a:extLst>
            <a:ext uri="{FF2B5EF4-FFF2-40B4-BE49-F238E27FC236}">
              <a16:creationId xmlns:a16="http://schemas.microsoft.com/office/drawing/2014/main" id="{436482AC-6F15-47B1-A7D2-7EFA863640A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163</xdr:row>
      <xdr:rowOff>0</xdr:rowOff>
    </xdr:from>
    <xdr:ext cx="10372" cy="228955"/>
    <xdr:sp macro="" textlink="">
      <xdr:nvSpPr>
        <xdr:cNvPr id="259" name="Text Box 192">
          <a:extLst>
            <a:ext uri="{FF2B5EF4-FFF2-40B4-BE49-F238E27FC236}">
              <a16:creationId xmlns:a16="http://schemas.microsoft.com/office/drawing/2014/main" id="{6BAF3A89-5B30-4B94-BA17-B3C8340113FA}"/>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164</xdr:row>
      <xdr:rowOff>0</xdr:rowOff>
    </xdr:from>
    <xdr:ext cx="10372" cy="228955"/>
    <xdr:sp macro="" textlink="">
      <xdr:nvSpPr>
        <xdr:cNvPr id="260" name="Text Box 192">
          <a:extLst>
            <a:ext uri="{FF2B5EF4-FFF2-40B4-BE49-F238E27FC236}">
              <a16:creationId xmlns:a16="http://schemas.microsoft.com/office/drawing/2014/main" id="{62D794EC-D9E3-45E9-9847-3FD08A8331E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164</xdr:row>
      <xdr:rowOff>0</xdr:rowOff>
    </xdr:from>
    <xdr:ext cx="10372" cy="228955"/>
    <xdr:sp macro="" textlink="">
      <xdr:nvSpPr>
        <xdr:cNvPr id="261" name="Text Box 192">
          <a:extLst>
            <a:ext uri="{FF2B5EF4-FFF2-40B4-BE49-F238E27FC236}">
              <a16:creationId xmlns:a16="http://schemas.microsoft.com/office/drawing/2014/main" id="{5875D97F-9888-45B2-89CF-76EC7C5E2EB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165</xdr:row>
      <xdr:rowOff>0</xdr:rowOff>
    </xdr:from>
    <xdr:ext cx="10372" cy="228955"/>
    <xdr:sp macro="" textlink="">
      <xdr:nvSpPr>
        <xdr:cNvPr id="262" name="Text Box 192">
          <a:extLst>
            <a:ext uri="{FF2B5EF4-FFF2-40B4-BE49-F238E27FC236}">
              <a16:creationId xmlns:a16="http://schemas.microsoft.com/office/drawing/2014/main" id="{DC427266-0FAF-4E08-A1CD-8DF9877D753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165</xdr:row>
      <xdr:rowOff>0</xdr:rowOff>
    </xdr:from>
    <xdr:ext cx="10372" cy="228955"/>
    <xdr:sp macro="" textlink="">
      <xdr:nvSpPr>
        <xdr:cNvPr id="263" name="Text Box 192">
          <a:extLst>
            <a:ext uri="{FF2B5EF4-FFF2-40B4-BE49-F238E27FC236}">
              <a16:creationId xmlns:a16="http://schemas.microsoft.com/office/drawing/2014/main" id="{17137621-7265-4B63-8B62-35FD3960BA20}"/>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166</xdr:row>
      <xdr:rowOff>0</xdr:rowOff>
    </xdr:from>
    <xdr:ext cx="10372" cy="228955"/>
    <xdr:sp macro="" textlink="">
      <xdr:nvSpPr>
        <xdr:cNvPr id="264" name="Text Box 192">
          <a:extLst>
            <a:ext uri="{FF2B5EF4-FFF2-40B4-BE49-F238E27FC236}">
              <a16:creationId xmlns:a16="http://schemas.microsoft.com/office/drawing/2014/main" id="{AB961773-DB23-40F1-9F4E-84AE71078D9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168</xdr:row>
      <xdr:rowOff>0</xdr:rowOff>
    </xdr:from>
    <xdr:ext cx="10372" cy="228955"/>
    <xdr:sp macro="" textlink="">
      <xdr:nvSpPr>
        <xdr:cNvPr id="265" name="Text Box 192">
          <a:extLst>
            <a:ext uri="{FF2B5EF4-FFF2-40B4-BE49-F238E27FC236}">
              <a16:creationId xmlns:a16="http://schemas.microsoft.com/office/drawing/2014/main" id="{EE0AE3D6-7623-4A17-A634-07C27C6F3C5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169</xdr:row>
      <xdr:rowOff>0</xdr:rowOff>
    </xdr:from>
    <xdr:ext cx="10372" cy="228955"/>
    <xdr:sp macro="" textlink="">
      <xdr:nvSpPr>
        <xdr:cNvPr id="266" name="Text Box 192">
          <a:extLst>
            <a:ext uri="{FF2B5EF4-FFF2-40B4-BE49-F238E27FC236}">
              <a16:creationId xmlns:a16="http://schemas.microsoft.com/office/drawing/2014/main" id="{EBA699FB-475E-45C2-977F-E2DD96664D76}"/>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169</xdr:row>
      <xdr:rowOff>0</xdr:rowOff>
    </xdr:from>
    <xdr:ext cx="10372" cy="228955"/>
    <xdr:sp macro="" textlink="">
      <xdr:nvSpPr>
        <xdr:cNvPr id="267" name="Text Box 192">
          <a:extLst>
            <a:ext uri="{FF2B5EF4-FFF2-40B4-BE49-F238E27FC236}">
              <a16:creationId xmlns:a16="http://schemas.microsoft.com/office/drawing/2014/main" id="{4DA5C51C-55F9-470A-BA70-5378C652106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170</xdr:row>
      <xdr:rowOff>0</xdr:rowOff>
    </xdr:from>
    <xdr:ext cx="10372" cy="228955"/>
    <xdr:sp macro="" textlink="">
      <xdr:nvSpPr>
        <xdr:cNvPr id="268" name="Text Box 192">
          <a:extLst>
            <a:ext uri="{FF2B5EF4-FFF2-40B4-BE49-F238E27FC236}">
              <a16:creationId xmlns:a16="http://schemas.microsoft.com/office/drawing/2014/main" id="{9250F447-8935-40BB-90ED-DA5B6DDAE851}"/>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170</xdr:row>
      <xdr:rowOff>0</xdr:rowOff>
    </xdr:from>
    <xdr:ext cx="10372" cy="228955"/>
    <xdr:sp macro="" textlink="">
      <xdr:nvSpPr>
        <xdr:cNvPr id="269" name="Text Box 192">
          <a:extLst>
            <a:ext uri="{FF2B5EF4-FFF2-40B4-BE49-F238E27FC236}">
              <a16:creationId xmlns:a16="http://schemas.microsoft.com/office/drawing/2014/main" id="{3A0157E8-C2AA-4996-804C-E363744DCA5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171</xdr:row>
      <xdr:rowOff>0</xdr:rowOff>
    </xdr:from>
    <xdr:ext cx="10372" cy="228955"/>
    <xdr:sp macro="" textlink="">
      <xdr:nvSpPr>
        <xdr:cNvPr id="270" name="Text Box 192">
          <a:extLst>
            <a:ext uri="{FF2B5EF4-FFF2-40B4-BE49-F238E27FC236}">
              <a16:creationId xmlns:a16="http://schemas.microsoft.com/office/drawing/2014/main" id="{38906C9E-1F4F-4566-9E24-3DC2B134028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171</xdr:row>
      <xdr:rowOff>0</xdr:rowOff>
    </xdr:from>
    <xdr:ext cx="10372" cy="228955"/>
    <xdr:sp macro="" textlink="">
      <xdr:nvSpPr>
        <xdr:cNvPr id="271" name="Text Box 192">
          <a:extLst>
            <a:ext uri="{FF2B5EF4-FFF2-40B4-BE49-F238E27FC236}">
              <a16:creationId xmlns:a16="http://schemas.microsoft.com/office/drawing/2014/main" id="{DFE9D3A8-5C71-4C28-BBC0-1820962C6984}"/>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172</xdr:row>
      <xdr:rowOff>0</xdr:rowOff>
    </xdr:from>
    <xdr:ext cx="10372" cy="228955"/>
    <xdr:sp macro="" textlink="">
      <xdr:nvSpPr>
        <xdr:cNvPr id="272" name="Text Box 192">
          <a:extLst>
            <a:ext uri="{FF2B5EF4-FFF2-40B4-BE49-F238E27FC236}">
              <a16:creationId xmlns:a16="http://schemas.microsoft.com/office/drawing/2014/main" id="{01993152-9410-497B-8B35-6BB865CB6FEF}"/>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172</xdr:row>
      <xdr:rowOff>0</xdr:rowOff>
    </xdr:from>
    <xdr:ext cx="10372" cy="228955"/>
    <xdr:sp macro="" textlink="">
      <xdr:nvSpPr>
        <xdr:cNvPr id="273" name="Text Box 192">
          <a:extLst>
            <a:ext uri="{FF2B5EF4-FFF2-40B4-BE49-F238E27FC236}">
              <a16:creationId xmlns:a16="http://schemas.microsoft.com/office/drawing/2014/main" id="{15FF7D53-7CDB-4B17-AF76-97D078F9DCA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173</xdr:row>
      <xdr:rowOff>0</xdr:rowOff>
    </xdr:from>
    <xdr:ext cx="10372" cy="228955"/>
    <xdr:sp macro="" textlink="">
      <xdr:nvSpPr>
        <xdr:cNvPr id="274" name="Text Box 192">
          <a:extLst>
            <a:ext uri="{FF2B5EF4-FFF2-40B4-BE49-F238E27FC236}">
              <a16:creationId xmlns:a16="http://schemas.microsoft.com/office/drawing/2014/main" id="{13A79740-5AC9-43F9-B70F-7AC8BDAE5B4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173</xdr:row>
      <xdr:rowOff>0</xdr:rowOff>
    </xdr:from>
    <xdr:ext cx="10372" cy="228955"/>
    <xdr:sp macro="" textlink="">
      <xdr:nvSpPr>
        <xdr:cNvPr id="275" name="Text Box 192">
          <a:extLst>
            <a:ext uri="{FF2B5EF4-FFF2-40B4-BE49-F238E27FC236}">
              <a16:creationId xmlns:a16="http://schemas.microsoft.com/office/drawing/2014/main" id="{B100E536-0419-4CDD-875E-AE35225CE85E}"/>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174</xdr:row>
      <xdr:rowOff>0</xdr:rowOff>
    </xdr:from>
    <xdr:ext cx="10372" cy="228955"/>
    <xdr:sp macro="" textlink="">
      <xdr:nvSpPr>
        <xdr:cNvPr id="276" name="Text Box 192">
          <a:extLst>
            <a:ext uri="{FF2B5EF4-FFF2-40B4-BE49-F238E27FC236}">
              <a16:creationId xmlns:a16="http://schemas.microsoft.com/office/drawing/2014/main" id="{16B71693-3603-442B-8A1F-018AB4BA776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174</xdr:row>
      <xdr:rowOff>0</xdr:rowOff>
    </xdr:from>
    <xdr:ext cx="10372" cy="228955"/>
    <xdr:sp macro="" textlink="">
      <xdr:nvSpPr>
        <xdr:cNvPr id="277" name="Text Box 192">
          <a:extLst>
            <a:ext uri="{FF2B5EF4-FFF2-40B4-BE49-F238E27FC236}">
              <a16:creationId xmlns:a16="http://schemas.microsoft.com/office/drawing/2014/main" id="{08A14EC7-435C-4632-9FD6-0914B4D64359}"/>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175</xdr:row>
      <xdr:rowOff>0</xdr:rowOff>
    </xdr:from>
    <xdr:ext cx="10372" cy="228955"/>
    <xdr:sp macro="" textlink="">
      <xdr:nvSpPr>
        <xdr:cNvPr id="278" name="Text Box 192">
          <a:extLst>
            <a:ext uri="{FF2B5EF4-FFF2-40B4-BE49-F238E27FC236}">
              <a16:creationId xmlns:a16="http://schemas.microsoft.com/office/drawing/2014/main" id="{417B3E62-1578-4931-B434-25BDA9C53BBE}"/>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175</xdr:row>
      <xdr:rowOff>0</xdr:rowOff>
    </xdr:from>
    <xdr:ext cx="10372" cy="228955"/>
    <xdr:sp macro="" textlink="">
      <xdr:nvSpPr>
        <xdr:cNvPr id="279" name="Text Box 192">
          <a:extLst>
            <a:ext uri="{FF2B5EF4-FFF2-40B4-BE49-F238E27FC236}">
              <a16:creationId xmlns:a16="http://schemas.microsoft.com/office/drawing/2014/main" id="{886CBD70-0DA4-4809-BF15-CEF100C47C3C}"/>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176</xdr:row>
      <xdr:rowOff>0</xdr:rowOff>
    </xdr:from>
    <xdr:ext cx="10372" cy="228955"/>
    <xdr:sp macro="" textlink="">
      <xdr:nvSpPr>
        <xdr:cNvPr id="280" name="Text Box 192">
          <a:extLst>
            <a:ext uri="{FF2B5EF4-FFF2-40B4-BE49-F238E27FC236}">
              <a16:creationId xmlns:a16="http://schemas.microsoft.com/office/drawing/2014/main" id="{C490C859-B38D-4FAF-AB98-327FB0F5DEC4}"/>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176</xdr:row>
      <xdr:rowOff>0</xdr:rowOff>
    </xdr:from>
    <xdr:ext cx="10372" cy="228955"/>
    <xdr:sp macro="" textlink="">
      <xdr:nvSpPr>
        <xdr:cNvPr id="281" name="Text Box 192">
          <a:extLst>
            <a:ext uri="{FF2B5EF4-FFF2-40B4-BE49-F238E27FC236}">
              <a16:creationId xmlns:a16="http://schemas.microsoft.com/office/drawing/2014/main" id="{1DA74780-344B-4228-89B9-1AF271FBB7D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177</xdr:row>
      <xdr:rowOff>0</xdr:rowOff>
    </xdr:from>
    <xdr:ext cx="10372" cy="228955"/>
    <xdr:sp macro="" textlink="">
      <xdr:nvSpPr>
        <xdr:cNvPr id="282" name="Text Box 192">
          <a:extLst>
            <a:ext uri="{FF2B5EF4-FFF2-40B4-BE49-F238E27FC236}">
              <a16:creationId xmlns:a16="http://schemas.microsoft.com/office/drawing/2014/main" id="{0E3BEE0F-00F9-4D7F-8D78-8576FA30617D}"/>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177</xdr:row>
      <xdr:rowOff>0</xdr:rowOff>
    </xdr:from>
    <xdr:ext cx="10372" cy="228955"/>
    <xdr:sp macro="" textlink="">
      <xdr:nvSpPr>
        <xdr:cNvPr id="283" name="Text Box 192">
          <a:extLst>
            <a:ext uri="{FF2B5EF4-FFF2-40B4-BE49-F238E27FC236}">
              <a16:creationId xmlns:a16="http://schemas.microsoft.com/office/drawing/2014/main" id="{26753ACD-811A-46D4-94CA-215A017137AA}"/>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178</xdr:row>
      <xdr:rowOff>0</xdr:rowOff>
    </xdr:from>
    <xdr:ext cx="10372" cy="228955"/>
    <xdr:sp macro="" textlink="">
      <xdr:nvSpPr>
        <xdr:cNvPr id="284" name="Text Box 192">
          <a:extLst>
            <a:ext uri="{FF2B5EF4-FFF2-40B4-BE49-F238E27FC236}">
              <a16:creationId xmlns:a16="http://schemas.microsoft.com/office/drawing/2014/main" id="{F8C98EF6-8ECC-4219-A84C-840B32E20B0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178</xdr:row>
      <xdr:rowOff>0</xdr:rowOff>
    </xdr:from>
    <xdr:ext cx="10372" cy="228955"/>
    <xdr:sp macro="" textlink="">
      <xdr:nvSpPr>
        <xdr:cNvPr id="285" name="Text Box 192">
          <a:extLst>
            <a:ext uri="{FF2B5EF4-FFF2-40B4-BE49-F238E27FC236}">
              <a16:creationId xmlns:a16="http://schemas.microsoft.com/office/drawing/2014/main" id="{7BD9D9BC-07E2-4371-A5A9-032EAEA533AC}"/>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179</xdr:row>
      <xdr:rowOff>0</xdr:rowOff>
    </xdr:from>
    <xdr:ext cx="10372" cy="228955"/>
    <xdr:sp macro="" textlink="">
      <xdr:nvSpPr>
        <xdr:cNvPr id="286" name="Text Box 192">
          <a:extLst>
            <a:ext uri="{FF2B5EF4-FFF2-40B4-BE49-F238E27FC236}">
              <a16:creationId xmlns:a16="http://schemas.microsoft.com/office/drawing/2014/main" id="{D9D74438-388B-4BFE-95BD-A0E17D798B50}"/>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179</xdr:row>
      <xdr:rowOff>0</xdr:rowOff>
    </xdr:from>
    <xdr:ext cx="10372" cy="228955"/>
    <xdr:sp macro="" textlink="">
      <xdr:nvSpPr>
        <xdr:cNvPr id="287" name="Text Box 192">
          <a:extLst>
            <a:ext uri="{FF2B5EF4-FFF2-40B4-BE49-F238E27FC236}">
              <a16:creationId xmlns:a16="http://schemas.microsoft.com/office/drawing/2014/main" id="{95CA3A67-F346-4D5D-AA45-C3359F0FAA87}"/>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180</xdr:row>
      <xdr:rowOff>0</xdr:rowOff>
    </xdr:from>
    <xdr:ext cx="10372" cy="228955"/>
    <xdr:sp macro="" textlink="">
      <xdr:nvSpPr>
        <xdr:cNvPr id="288" name="Text Box 192">
          <a:extLst>
            <a:ext uri="{FF2B5EF4-FFF2-40B4-BE49-F238E27FC236}">
              <a16:creationId xmlns:a16="http://schemas.microsoft.com/office/drawing/2014/main" id="{C9FCB1D0-30CF-40A8-86CB-38580A1D0BBB}"/>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182</xdr:row>
      <xdr:rowOff>0</xdr:rowOff>
    </xdr:from>
    <xdr:ext cx="10372" cy="228955"/>
    <xdr:sp macro="" textlink="">
      <xdr:nvSpPr>
        <xdr:cNvPr id="289" name="Text Box 192">
          <a:extLst>
            <a:ext uri="{FF2B5EF4-FFF2-40B4-BE49-F238E27FC236}">
              <a16:creationId xmlns:a16="http://schemas.microsoft.com/office/drawing/2014/main" id="{6A898A28-63C7-4915-8EA2-8B39DB45D622}"/>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183</xdr:row>
      <xdr:rowOff>0</xdr:rowOff>
    </xdr:from>
    <xdr:ext cx="10372" cy="228955"/>
    <xdr:sp macro="" textlink="">
      <xdr:nvSpPr>
        <xdr:cNvPr id="290" name="Text Box 192">
          <a:extLst>
            <a:ext uri="{FF2B5EF4-FFF2-40B4-BE49-F238E27FC236}">
              <a16:creationId xmlns:a16="http://schemas.microsoft.com/office/drawing/2014/main" id="{2A25E9B3-B10F-45B4-AFF9-5AA5DF0978C6}"/>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183</xdr:row>
      <xdr:rowOff>0</xdr:rowOff>
    </xdr:from>
    <xdr:ext cx="10372" cy="228955"/>
    <xdr:sp macro="" textlink="">
      <xdr:nvSpPr>
        <xdr:cNvPr id="291" name="Text Box 192">
          <a:extLst>
            <a:ext uri="{FF2B5EF4-FFF2-40B4-BE49-F238E27FC236}">
              <a16:creationId xmlns:a16="http://schemas.microsoft.com/office/drawing/2014/main" id="{BE50030B-F913-4E93-A087-C6AFBB21EC9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184</xdr:row>
      <xdr:rowOff>0</xdr:rowOff>
    </xdr:from>
    <xdr:ext cx="10372" cy="228955"/>
    <xdr:sp macro="" textlink="">
      <xdr:nvSpPr>
        <xdr:cNvPr id="292" name="Text Box 192">
          <a:extLst>
            <a:ext uri="{FF2B5EF4-FFF2-40B4-BE49-F238E27FC236}">
              <a16:creationId xmlns:a16="http://schemas.microsoft.com/office/drawing/2014/main" id="{DD36A966-A147-485C-B811-5DA869F3689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184</xdr:row>
      <xdr:rowOff>0</xdr:rowOff>
    </xdr:from>
    <xdr:ext cx="10372" cy="228955"/>
    <xdr:sp macro="" textlink="">
      <xdr:nvSpPr>
        <xdr:cNvPr id="293" name="Text Box 192">
          <a:extLst>
            <a:ext uri="{FF2B5EF4-FFF2-40B4-BE49-F238E27FC236}">
              <a16:creationId xmlns:a16="http://schemas.microsoft.com/office/drawing/2014/main" id="{3957BEC5-80A4-4D14-A53B-DD18E9E0BF93}"/>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185</xdr:row>
      <xdr:rowOff>0</xdr:rowOff>
    </xdr:from>
    <xdr:ext cx="10372" cy="228955"/>
    <xdr:sp macro="" textlink="">
      <xdr:nvSpPr>
        <xdr:cNvPr id="294" name="Text Box 192">
          <a:extLst>
            <a:ext uri="{FF2B5EF4-FFF2-40B4-BE49-F238E27FC236}">
              <a16:creationId xmlns:a16="http://schemas.microsoft.com/office/drawing/2014/main" id="{051CC5AF-8586-4B5E-8C3F-313F47C12BB2}"/>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185</xdr:row>
      <xdr:rowOff>0</xdr:rowOff>
    </xdr:from>
    <xdr:ext cx="10372" cy="228955"/>
    <xdr:sp macro="" textlink="">
      <xdr:nvSpPr>
        <xdr:cNvPr id="295" name="Text Box 192">
          <a:extLst>
            <a:ext uri="{FF2B5EF4-FFF2-40B4-BE49-F238E27FC236}">
              <a16:creationId xmlns:a16="http://schemas.microsoft.com/office/drawing/2014/main" id="{B36D6547-8CBC-4DA9-954B-17B82F9DC4D0}"/>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186</xdr:row>
      <xdr:rowOff>0</xdr:rowOff>
    </xdr:from>
    <xdr:ext cx="10372" cy="228955"/>
    <xdr:sp macro="" textlink="">
      <xdr:nvSpPr>
        <xdr:cNvPr id="296" name="Text Box 192">
          <a:extLst>
            <a:ext uri="{FF2B5EF4-FFF2-40B4-BE49-F238E27FC236}">
              <a16:creationId xmlns:a16="http://schemas.microsoft.com/office/drawing/2014/main" id="{5802561E-76EA-451E-965E-20CB1139E5F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186</xdr:row>
      <xdr:rowOff>0</xdr:rowOff>
    </xdr:from>
    <xdr:ext cx="10372" cy="228955"/>
    <xdr:sp macro="" textlink="">
      <xdr:nvSpPr>
        <xdr:cNvPr id="297" name="Text Box 192">
          <a:extLst>
            <a:ext uri="{FF2B5EF4-FFF2-40B4-BE49-F238E27FC236}">
              <a16:creationId xmlns:a16="http://schemas.microsoft.com/office/drawing/2014/main" id="{D4934C07-1CD1-4C6B-9D0D-0645819AC2AD}"/>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187</xdr:row>
      <xdr:rowOff>0</xdr:rowOff>
    </xdr:from>
    <xdr:ext cx="10372" cy="228955"/>
    <xdr:sp macro="" textlink="">
      <xdr:nvSpPr>
        <xdr:cNvPr id="298" name="Text Box 192">
          <a:extLst>
            <a:ext uri="{FF2B5EF4-FFF2-40B4-BE49-F238E27FC236}">
              <a16:creationId xmlns:a16="http://schemas.microsoft.com/office/drawing/2014/main" id="{49040A3D-7109-443B-8F1F-8162963C4D1C}"/>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187</xdr:row>
      <xdr:rowOff>0</xdr:rowOff>
    </xdr:from>
    <xdr:ext cx="10372" cy="228955"/>
    <xdr:sp macro="" textlink="">
      <xdr:nvSpPr>
        <xdr:cNvPr id="299" name="Text Box 192">
          <a:extLst>
            <a:ext uri="{FF2B5EF4-FFF2-40B4-BE49-F238E27FC236}">
              <a16:creationId xmlns:a16="http://schemas.microsoft.com/office/drawing/2014/main" id="{00D5F694-A851-4CB7-9879-97AB2AAF99D5}"/>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188</xdr:row>
      <xdr:rowOff>0</xdr:rowOff>
    </xdr:from>
    <xdr:ext cx="10372" cy="228955"/>
    <xdr:sp macro="" textlink="">
      <xdr:nvSpPr>
        <xdr:cNvPr id="300" name="Text Box 192">
          <a:extLst>
            <a:ext uri="{FF2B5EF4-FFF2-40B4-BE49-F238E27FC236}">
              <a16:creationId xmlns:a16="http://schemas.microsoft.com/office/drawing/2014/main" id="{D973AB88-D3D9-407B-8D25-31B1C30CA45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188</xdr:row>
      <xdr:rowOff>0</xdr:rowOff>
    </xdr:from>
    <xdr:ext cx="10372" cy="228955"/>
    <xdr:sp macro="" textlink="">
      <xdr:nvSpPr>
        <xdr:cNvPr id="301" name="Text Box 192">
          <a:extLst>
            <a:ext uri="{FF2B5EF4-FFF2-40B4-BE49-F238E27FC236}">
              <a16:creationId xmlns:a16="http://schemas.microsoft.com/office/drawing/2014/main" id="{5260A556-786E-4DC8-A365-A31E4A7CDE2F}"/>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189</xdr:row>
      <xdr:rowOff>0</xdr:rowOff>
    </xdr:from>
    <xdr:ext cx="10372" cy="228955"/>
    <xdr:sp macro="" textlink="">
      <xdr:nvSpPr>
        <xdr:cNvPr id="302" name="Text Box 192">
          <a:extLst>
            <a:ext uri="{FF2B5EF4-FFF2-40B4-BE49-F238E27FC236}">
              <a16:creationId xmlns:a16="http://schemas.microsoft.com/office/drawing/2014/main" id="{300FE6B7-CC08-4CE3-95CC-6D404FB414F4}"/>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189</xdr:row>
      <xdr:rowOff>0</xdr:rowOff>
    </xdr:from>
    <xdr:ext cx="10372" cy="228955"/>
    <xdr:sp macro="" textlink="">
      <xdr:nvSpPr>
        <xdr:cNvPr id="303" name="Text Box 192">
          <a:extLst>
            <a:ext uri="{FF2B5EF4-FFF2-40B4-BE49-F238E27FC236}">
              <a16:creationId xmlns:a16="http://schemas.microsoft.com/office/drawing/2014/main" id="{A21CD63A-1885-448A-BCBF-E580CB5E6231}"/>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190</xdr:row>
      <xdr:rowOff>0</xdr:rowOff>
    </xdr:from>
    <xdr:ext cx="10372" cy="228955"/>
    <xdr:sp macro="" textlink="">
      <xdr:nvSpPr>
        <xdr:cNvPr id="304" name="Text Box 192">
          <a:extLst>
            <a:ext uri="{FF2B5EF4-FFF2-40B4-BE49-F238E27FC236}">
              <a16:creationId xmlns:a16="http://schemas.microsoft.com/office/drawing/2014/main" id="{EF91ACDD-449A-46A1-9553-5E71232764D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190</xdr:row>
      <xdr:rowOff>0</xdr:rowOff>
    </xdr:from>
    <xdr:ext cx="10372" cy="228955"/>
    <xdr:sp macro="" textlink="">
      <xdr:nvSpPr>
        <xdr:cNvPr id="305" name="Text Box 192">
          <a:extLst>
            <a:ext uri="{FF2B5EF4-FFF2-40B4-BE49-F238E27FC236}">
              <a16:creationId xmlns:a16="http://schemas.microsoft.com/office/drawing/2014/main" id="{441F1C5E-8F2F-46F3-845F-27DBC146EC51}"/>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191</xdr:row>
      <xdr:rowOff>0</xdr:rowOff>
    </xdr:from>
    <xdr:ext cx="10372" cy="228955"/>
    <xdr:sp macro="" textlink="">
      <xdr:nvSpPr>
        <xdr:cNvPr id="306" name="Text Box 192">
          <a:extLst>
            <a:ext uri="{FF2B5EF4-FFF2-40B4-BE49-F238E27FC236}">
              <a16:creationId xmlns:a16="http://schemas.microsoft.com/office/drawing/2014/main" id="{53BC302A-CD93-4DB8-908B-0E15EF997C6D}"/>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191</xdr:row>
      <xdr:rowOff>0</xdr:rowOff>
    </xdr:from>
    <xdr:ext cx="10372" cy="228955"/>
    <xdr:sp macro="" textlink="">
      <xdr:nvSpPr>
        <xdr:cNvPr id="307" name="Text Box 192">
          <a:extLst>
            <a:ext uri="{FF2B5EF4-FFF2-40B4-BE49-F238E27FC236}">
              <a16:creationId xmlns:a16="http://schemas.microsoft.com/office/drawing/2014/main" id="{5E8D23CC-6001-424F-9B97-8DA883157541}"/>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192</xdr:row>
      <xdr:rowOff>0</xdr:rowOff>
    </xdr:from>
    <xdr:ext cx="10372" cy="228955"/>
    <xdr:sp macro="" textlink="">
      <xdr:nvSpPr>
        <xdr:cNvPr id="308" name="Text Box 192">
          <a:extLst>
            <a:ext uri="{FF2B5EF4-FFF2-40B4-BE49-F238E27FC236}">
              <a16:creationId xmlns:a16="http://schemas.microsoft.com/office/drawing/2014/main" id="{A0F0AB08-1AF2-44D1-9680-38AADEAB0717}"/>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195</xdr:row>
      <xdr:rowOff>0</xdr:rowOff>
    </xdr:from>
    <xdr:ext cx="10372" cy="228955"/>
    <xdr:sp macro="" textlink="">
      <xdr:nvSpPr>
        <xdr:cNvPr id="309" name="Text Box 192">
          <a:extLst>
            <a:ext uri="{FF2B5EF4-FFF2-40B4-BE49-F238E27FC236}">
              <a16:creationId xmlns:a16="http://schemas.microsoft.com/office/drawing/2014/main" id="{2DF92C05-AC8E-4900-AB72-333F9293417D}"/>
            </a:ext>
          </a:extLst>
        </xdr:cNvPr>
        <xdr:cNvSpPr txBox="1">
          <a:spLocks noChangeArrowheads="1"/>
        </xdr:cNvSpPr>
      </xdr:nvSpPr>
      <xdr:spPr bwMode="auto">
        <a:xfrm>
          <a:off x="15722834" y="442495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196</xdr:row>
      <xdr:rowOff>0</xdr:rowOff>
    </xdr:from>
    <xdr:ext cx="10372" cy="228955"/>
    <xdr:sp macro="" textlink="">
      <xdr:nvSpPr>
        <xdr:cNvPr id="310" name="Text Box 192">
          <a:extLst>
            <a:ext uri="{FF2B5EF4-FFF2-40B4-BE49-F238E27FC236}">
              <a16:creationId xmlns:a16="http://schemas.microsoft.com/office/drawing/2014/main" id="{DE97EB05-52FC-42E7-A8AA-2CF1C67D6DE2}"/>
            </a:ext>
          </a:extLst>
        </xdr:cNvPr>
        <xdr:cNvSpPr txBox="1">
          <a:spLocks noChangeArrowheads="1"/>
        </xdr:cNvSpPr>
      </xdr:nvSpPr>
      <xdr:spPr bwMode="auto">
        <a:xfrm>
          <a:off x="15722834" y="442495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199</xdr:row>
      <xdr:rowOff>0</xdr:rowOff>
    </xdr:from>
    <xdr:ext cx="10372" cy="228955"/>
    <xdr:sp macro="" textlink="">
      <xdr:nvSpPr>
        <xdr:cNvPr id="311" name="Text Box 192">
          <a:extLst>
            <a:ext uri="{FF2B5EF4-FFF2-40B4-BE49-F238E27FC236}">
              <a16:creationId xmlns:a16="http://schemas.microsoft.com/office/drawing/2014/main" id="{5BB6BA4F-1034-4276-9861-9F11F2C1899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200</xdr:row>
      <xdr:rowOff>0</xdr:rowOff>
    </xdr:from>
    <xdr:ext cx="10372" cy="228955"/>
    <xdr:sp macro="" textlink="">
      <xdr:nvSpPr>
        <xdr:cNvPr id="312" name="Text Box 192">
          <a:extLst>
            <a:ext uri="{FF2B5EF4-FFF2-40B4-BE49-F238E27FC236}">
              <a16:creationId xmlns:a16="http://schemas.microsoft.com/office/drawing/2014/main" id="{70B42909-5019-48A0-9A06-46F6C0B5052A}"/>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201</xdr:row>
      <xdr:rowOff>0</xdr:rowOff>
    </xdr:from>
    <xdr:ext cx="10372" cy="228955"/>
    <xdr:sp macro="" textlink="">
      <xdr:nvSpPr>
        <xdr:cNvPr id="313" name="Text Box 192">
          <a:extLst>
            <a:ext uri="{FF2B5EF4-FFF2-40B4-BE49-F238E27FC236}">
              <a16:creationId xmlns:a16="http://schemas.microsoft.com/office/drawing/2014/main" id="{7BCF3DB1-C412-4BFA-9EF5-464DDC23E36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202</xdr:row>
      <xdr:rowOff>0</xdr:rowOff>
    </xdr:from>
    <xdr:ext cx="10372" cy="228955"/>
    <xdr:sp macro="" textlink="">
      <xdr:nvSpPr>
        <xdr:cNvPr id="314" name="Text Box 192">
          <a:extLst>
            <a:ext uri="{FF2B5EF4-FFF2-40B4-BE49-F238E27FC236}">
              <a16:creationId xmlns:a16="http://schemas.microsoft.com/office/drawing/2014/main" id="{4D57A6FB-BB2F-4D25-90E0-2D0A197D5C32}"/>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203</xdr:row>
      <xdr:rowOff>0</xdr:rowOff>
    </xdr:from>
    <xdr:ext cx="10372" cy="228955"/>
    <xdr:sp macro="" textlink="">
      <xdr:nvSpPr>
        <xdr:cNvPr id="315" name="Text Box 192">
          <a:extLst>
            <a:ext uri="{FF2B5EF4-FFF2-40B4-BE49-F238E27FC236}">
              <a16:creationId xmlns:a16="http://schemas.microsoft.com/office/drawing/2014/main" id="{2CB145AC-AF5E-47A3-A52C-1EF19949486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204</xdr:row>
      <xdr:rowOff>0</xdr:rowOff>
    </xdr:from>
    <xdr:ext cx="10372" cy="228955"/>
    <xdr:sp macro="" textlink="">
      <xdr:nvSpPr>
        <xdr:cNvPr id="316" name="Text Box 192">
          <a:extLst>
            <a:ext uri="{FF2B5EF4-FFF2-40B4-BE49-F238E27FC236}">
              <a16:creationId xmlns:a16="http://schemas.microsoft.com/office/drawing/2014/main" id="{D9428FED-87F0-49C5-A537-FE5FD4E30C31}"/>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205</xdr:row>
      <xdr:rowOff>0</xdr:rowOff>
    </xdr:from>
    <xdr:ext cx="10372" cy="228955"/>
    <xdr:sp macro="" textlink="">
      <xdr:nvSpPr>
        <xdr:cNvPr id="317" name="Text Box 192">
          <a:extLst>
            <a:ext uri="{FF2B5EF4-FFF2-40B4-BE49-F238E27FC236}">
              <a16:creationId xmlns:a16="http://schemas.microsoft.com/office/drawing/2014/main" id="{A9E3F184-4A8D-45DC-B5D1-B015D8ABC00A}"/>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206</xdr:row>
      <xdr:rowOff>0</xdr:rowOff>
    </xdr:from>
    <xdr:ext cx="10372" cy="228955"/>
    <xdr:sp macro="" textlink="">
      <xdr:nvSpPr>
        <xdr:cNvPr id="318" name="Text Box 192">
          <a:extLst>
            <a:ext uri="{FF2B5EF4-FFF2-40B4-BE49-F238E27FC236}">
              <a16:creationId xmlns:a16="http://schemas.microsoft.com/office/drawing/2014/main" id="{C8C4B1D8-7542-4575-BF32-E54ECB1A18A9}"/>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207</xdr:row>
      <xdr:rowOff>0</xdr:rowOff>
    </xdr:from>
    <xdr:ext cx="10372" cy="228955"/>
    <xdr:sp macro="" textlink="">
      <xdr:nvSpPr>
        <xdr:cNvPr id="319" name="Text Box 192">
          <a:extLst>
            <a:ext uri="{FF2B5EF4-FFF2-40B4-BE49-F238E27FC236}">
              <a16:creationId xmlns:a16="http://schemas.microsoft.com/office/drawing/2014/main" id="{D7E09E8A-F855-4A15-AA15-644A74DE05ED}"/>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208</xdr:row>
      <xdr:rowOff>0</xdr:rowOff>
    </xdr:from>
    <xdr:ext cx="10372" cy="228955"/>
    <xdr:sp macro="" textlink="">
      <xdr:nvSpPr>
        <xdr:cNvPr id="320" name="Text Box 192">
          <a:extLst>
            <a:ext uri="{FF2B5EF4-FFF2-40B4-BE49-F238E27FC236}">
              <a16:creationId xmlns:a16="http://schemas.microsoft.com/office/drawing/2014/main" id="{13ADF12B-03BC-419F-975D-67CB841792EF}"/>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209</xdr:row>
      <xdr:rowOff>0</xdr:rowOff>
    </xdr:from>
    <xdr:ext cx="10372" cy="228955"/>
    <xdr:sp macro="" textlink="">
      <xdr:nvSpPr>
        <xdr:cNvPr id="321" name="Text Box 192">
          <a:extLst>
            <a:ext uri="{FF2B5EF4-FFF2-40B4-BE49-F238E27FC236}">
              <a16:creationId xmlns:a16="http://schemas.microsoft.com/office/drawing/2014/main" id="{AAFBFA30-BCFE-4B02-AB0F-8AEE721F4CC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210</xdr:row>
      <xdr:rowOff>0</xdr:rowOff>
    </xdr:from>
    <xdr:ext cx="10372" cy="228955"/>
    <xdr:sp macro="" textlink="">
      <xdr:nvSpPr>
        <xdr:cNvPr id="322" name="Text Box 192">
          <a:extLst>
            <a:ext uri="{FF2B5EF4-FFF2-40B4-BE49-F238E27FC236}">
              <a16:creationId xmlns:a16="http://schemas.microsoft.com/office/drawing/2014/main" id="{8512172A-00C6-4369-8030-8B33A3CF7491}"/>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211</xdr:row>
      <xdr:rowOff>0</xdr:rowOff>
    </xdr:from>
    <xdr:ext cx="10372" cy="228955"/>
    <xdr:sp macro="" textlink="">
      <xdr:nvSpPr>
        <xdr:cNvPr id="323" name="Text Box 192">
          <a:extLst>
            <a:ext uri="{FF2B5EF4-FFF2-40B4-BE49-F238E27FC236}">
              <a16:creationId xmlns:a16="http://schemas.microsoft.com/office/drawing/2014/main" id="{2D20B70E-92EE-4C2A-AC04-F8FC7B3433D8}"/>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214</xdr:row>
      <xdr:rowOff>0</xdr:rowOff>
    </xdr:from>
    <xdr:ext cx="10372" cy="228955"/>
    <xdr:sp macro="" textlink="">
      <xdr:nvSpPr>
        <xdr:cNvPr id="324" name="Text Box 192">
          <a:extLst>
            <a:ext uri="{FF2B5EF4-FFF2-40B4-BE49-F238E27FC236}">
              <a16:creationId xmlns:a16="http://schemas.microsoft.com/office/drawing/2014/main" id="{46043B38-C361-4FFB-9E4A-CA8CC64D7B09}"/>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215</xdr:row>
      <xdr:rowOff>0</xdr:rowOff>
    </xdr:from>
    <xdr:ext cx="10372" cy="228955"/>
    <xdr:sp macro="" textlink="">
      <xdr:nvSpPr>
        <xdr:cNvPr id="325" name="Text Box 192">
          <a:extLst>
            <a:ext uri="{FF2B5EF4-FFF2-40B4-BE49-F238E27FC236}">
              <a16:creationId xmlns:a16="http://schemas.microsoft.com/office/drawing/2014/main" id="{B2F3EE1A-6D25-41DE-8DF3-3E4E4016A587}"/>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216</xdr:row>
      <xdr:rowOff>0</xdr:rowOff>
    </xdr:from>
    <xdr:ext cx="10372" cy="228955"/>
    <xdr:sp macro="" textlink="">
      <xdr:nvSpPr>
        <xdr:cNvPr id="326" name="Text Box 192">
          <a:extLst>
            <a:ext uri="{FF2B5EF4-FFF2-40B4-BE49-F238E27FC236}">
              <a16:creationId xmlns:a16="http://schemas.microsoft.com/office/drawing/2014/main" id="{9BF11359-3BBD-4699-B658-50C54F5637B8}"/>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217</xdr:row>
      <xdr:rowOff>0</xdr:rowOff>
    </xdr:from>
    <xdr:ext cx="10372" cy="228955"/>
    <xdr:sp macro="" textlink="">
      <xdr:nvSpPr>
        <xdr:cNvPr id="327" name="Text Box 192">
          <a:extLst>
            <a:ext uri="{FF2B5EF4-FFF2-40B4-BE49-F238E27FC236}">
              <a16:creationId xmlns:a16="http://schemas.microsoft.com/office/drawing/2014/main" id="{7EEB93F4-CFE4-43FE-9205-7321A37D3119}"/>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220</xdr:row>
      <xdr:rowOff>0</xdr:rowOff>
    </xdr:from>
    <xdr:ext cx="10372" cy="228955"/>
    <xdr:sp macro="" textlink="">
      <xdr:nvSpPr>
        <xdr:cNvPr id="328" name="Text Box 192">
          <a:extLst>
            <a:ext uri="{FF2B5EF4-FFF2-40B4-BE49-F238E27FC236}">
              <a16:creationId xmlns:a16="http://schemas.microsoft.com/office/drawing/2014/main" id="{A374776B-4AD9-4C9F-905E-8F8318638C98}"/>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221</xdr:row>
      <xdr:rowOff>0</xdr:rowOff>
    </xdr:from>
    <xdr:ext cx="10372" cy="228955"/>
    <xdr:sp macro="" textlink="">
      <xdr:nvSpPr>
        <xdr:cNvPr id="329" name="Text Box 192">
          <a:extLst>
            <a:ext uri="{FF2B5EF4-FFF2-40B4-BE49-F238E27FC236}">
              <a16:creationId xmlns:a16="http://schemas.microsoft.com/office/drawing/2014/main" id="{B3646233-4831-44F1-A49F-2F3B4227B951}"/>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222</xdr:row>
      <xdr:rowOff>0</xdr:rowOff>
    </xdr:from>
    <xdr:ext cx="10372" cy="228955"/>
    <xdr:sp macro="" textlink="">
      <xdr:nvSpPr>
        <xdr:cNvPr id="330" name="Text Box 192">
          <a:extLst>
            <a:ext uri="{FF2B5EF4-FFF2-40B4-BE49-F238E27FC236}">
              <a16:creationId xmlns:a16="http://schemas.microsoft.com/office/drawing/2014/main" id="{7019F1E8-30BF-4AEB-BE58-56FEE6582ED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223</xdr:row>
      <xdr:rowOff>0</xdr:rowOff>
    </xdr:from>
    <xdr:ext cx="10372" cy="228955"/>
    <xdr:sp macro="" textlink="">
      <xdr:nvSpPr>
        <xdr:cNvPr id="331" name="Text Box 192">
          <a:extLst>
            <a:ext uri="{FF2B5EF4-FFF2-40B4-BE49-F238E27FC236}">
              <a16:creationId xmlns:a16="http://schemas.microsoft.com/office/drawing/2014/main" id="{F5022A46-C788-498C-A1E8-29F322F038EA}"/>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226</xdr:row>
      <xdr:rowOff>0</xdr:rowOff>
    </xdr:from>
    <xdr:ext cx="10372" cy="228955"/>
    <xdr:sp macro="" textlink="">
      <xdr:nvSpPr>
        <xdr:cNvPr id="332" name="Text Box 192">
          <a:extLst>
            <a:ext uri="{FF2B5EF4-FFF2-40B4-BE49-F238E27FC236}">
              <a16:creationId xmlns:a16="http://schemas.microsoft.com/office/drawing/2014/main" id="{FCF856EB-D3FF-4899-93A1-8EDEEC90724C}"/>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227</xdr:row>
      <xdr:rowOff>0</xdr:rowOff>
    </xdr:from>
    <xdr:ext cx="10372" cy="228955"/>
    <xdr:sp macro="" textlink="">
      <xdr:nvSpPr>
        <xdr:cNvPr id="333" name="Text Box 192">
          <a:extLst>
            <a:ext uri="{FF2B5EF4-FFF2-40B4-BE49-F238E27FC236}">
              <a16:creationId xmlns:a16="http://schemas.microsoft.com/office/drawing/2014/main" id="{0BE6D344-F3AA-4907-BAF1-C09398E5145A}"/>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228</xdr:row>
      <xdr:rowOff>0</xdr:rowOff>
    </xdr:from>
    <xdr:ext cx="10372" cy="228955"/>
    <xdr:sp macro="" textlink="">
      <xdr:nvSpPr>
        <xdr:cNvPr id="334" name="Text Box 192">
          <a:extLst>
            <a:ext uri="{FF2B5EF4-FFF2-40B4-BE49-F238E27FC236}">
              <a16:creationId xmlns:a16="http://schemas.microsoft.com/office/drawing/2014/main" id="{7B4C6A05-C334-48D1-8A33-F4FDB593EE1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231</xdr:row>
      <xdr:rowOff>0</xdr:rowOff>
    </xdr:from>
    <xdr:ext cx="10372" cy="228955"/>
    <xdr:sp macro="" textlink="">
      <xdr:nvSpPr>
        <xdr:cNvPr id="335" name="Text Box 192">
          <a:extLst>
            <a:ext uri="{FF2B5EF4-FFF2-40B4-BE49-F238E27FC236}">
              <a16:creationId xmlns:a16="http://schemas.microsoft.com/office/drawing/2014/main" id="{98356D8C-CEC4-4EAB-BF0C-C790A97B88F6}"/>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232</xdr:row>
      <xdr:rowOff>0</xdr:rowOff>
    </xdr:from>
    <xdr:ext cx="10372" cy="228955"/>
    <xdr:sp macro="" textlink="">
      <xdr:nvSpPr>
        <xdr:cNvPr id="336" name="Text Box 192">
          <a:extLst>
            <a:ext uri="{FF2B5EF4-FFF2-40B4-BE49-F238E27FC236}">
              <a16:creationId xmlns:a16="http://schemas.microsoft.com/office/drawing/2014/main" id="{75A0B57F-07B9-44FC-8BB2-56C62309042A}"/>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233</xdr:row>
      <xdr:rowOff>0</xdr:rowOff>
    </xdr:from>
    <xdr:ext cx="10372" cy="228955"/>
    <xdr:sp macro="" textlink="">
      <xdr:nvSpPr>
        <xdr:cNvPr id="337" name="Text Box 192">
          <a:extLst>
            <a:ext uri="{FF2B5EF4-FFF2-40B4-BE49-F238E27FC236}">
              <a16:creationId xmlns:a16="http://schemas.microsoft.com/office/drawing/2014/main" id="{2AE16418-5040-43B6-BABD-E96BB2FA9B28}"/>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234</xdr:row>
      <xdr:rowOff>0</xdr:rowOff>
    </xdr:from>
    <xdr:ext cx="10372" cy="228955"/>
    <xdr:sp macro="" textlink="">
      <xdr:nvSpPr>
        <xdr:cNvPr id="338" name="Text Box 192">
          <a:extLst>
            <a:ext uri="{FF2B5EF4-FFF2-40B4-BE49-F238E27FC236}">
              <a16:creationId xmlns:a16="http://schemas.microsoft.com/office/drawing/2014/main" id="{13D99000-9527-47C8-AAAD-955955948269}"/>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235</xdr:row>
      <xdr:rowOff>0</xdr:rowOff>
    </xdr:from>
    <xdr:ext cx="10372" cy="228955"/>
    <xdr:sp macro="" textlink="">
      <xdr:nvSpPr>
        <xdr:cNvPr id="339" name="Text Box 192">
          <a:extLst>
            <a:ext uri="{FF2B5EF4-FFF2-40B4-BE49-F238E27FC236}">
              <a16:creationId xmlns:a16="http://schemas.microsoft.com/office/drawing/2014/main" id="{AF611D79-490A-4ACD-A483-758D3A440E5B}"/>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236</xdr:row>
      <xdr:rowOff>0</xdr:rowOff>
    </xdr:from>
    <xdr:ext cx="10372" cy="228955"/>
    <xdr:sp macro="" textlink="">
      <xdr:nvSpPr>
        <xdr:cNvPr id="340" name="Text Box 192">
          <a:extLst>
            <a:ext uri="{FF2B5EF4-FFF2-40B4-BE49-F238E27FC236}">
              <a16:creationId xmlns:a16="http://schemas.microsoft.com/office/drawing/2014/main" id="{D0B3B252-89CD-4C2C-BAA3-D3950591FD9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237</xdr:row>
      <xdr:rowOff>0</xdr:rowOff>
    </xdr:from>
    <xdr:ext cx="10372" cy="228955"/>
    <xdr:sp macro="" textlink="">
      <xdr:nvSpPr>
        <xdr:cNvPr id="341" name="Text Box 192">
          <a:extLst>
            <a:ext uri="{FF2B5EF4-FFF2-40B4-BE49-F238E27FC236}">
              <a16:creationId xmlns:a16="http://schemas.microsoft.com/office/drawing/2014/main" id="{7B9A05F9-85CB-406D-A4C0-37A7A04B7B19}"/>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238</xdr:row>
      <xdr:rowOff>0</xdr:rowOff>
    </xdr:from>
    <xdr:ext cx="10372" cy="228955"/>
    <xdr:sp macro="" textlink="">
      <xdr:nvSpPr>
        <xdr:cNvPr id="342" name="Text Box 192">
          <a:extLst>
            <a:ext uri="{FF2B5EF4-FFF2-40B4-BE49-F238E27FC236}">
              <a16:creationId xmlns:a16="http://schemas.microsoft.com/office/drawing/2014/main" id="{49755632-EAB2-4B65-A393-E9BCF4B73A07}"/>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239</xdr:row>
      <xdr:rowOff>0</xdr:rowOff>
    </xdr:from>
    <xdr:ext cx="10372" cy="228955"/>
    <xdr:sp macro="" textlink="">
      <xdr:nvSpPr>
        <xdr:cNvPr id="343" name="Text Box 192">
          <a:extLst>
            <a:ext uri="{FF2B5EF4-FFF2-40B4-BE49-F238E27FC236}">
              <a16:creationId xmlns:a16="http://schemas.microsoft.com/office/drawing/2014/main" id="{B0E3DFEC-5B59-465A-9901-92BAB53A7674}"/>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240</xdr:row>
      <xdr:rowOff>0</xdr:rowOff>
    </xdr:from>
    <xdr:ext cx="10372" cy="228955"/>
    <xdr:sp macro="" textlink="">
      <xdr:nvSpPr>
        <xdr:cNvPr id="344" name="Text Box 192">
          <a:extLst>
            <a:ext uri="{FF2B5EF4-FFF2-40B4-BE49-F238E27FC236}">
              <a16:creationId xmlns:a16="http://schemas.microsoft.com/office/drawing/2014/main" id="{A7CF8C46-EA5B-4264-8930-894C078AD962}"/>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241</xdr:row>
      <xdr:rowOff>0</xdr:rowOff>
    </xdr:from>
    <xdr:ext cx="10372" cy="228955"/>
    <xdr:sp macro="" textlink="">
      <xdr:nvSpPr>
        <xdr:cNvPr id="345" name="Text Box 192">
          <a:extLst>
            <a:ext uri="{FF2B5EF4-FFF2-40B4-BE49-F238E27FC236}">
              <a16:creationId xmlns:a16="http://schemas.microsoft.com/office/drawing/2014/main" id="{8B003A6F-EE71-492B-85CC-AC3F54DD7CED}"/>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242</xdr:row>
      <xdr:rowOff>0</xdr:rowOff>
    </xdr:from>
    <xdr:ext cx="10372" cy="228955"/>
    <xdr:sp macro="" textlink="">
      <xdr:nvSpPr>
        <xdr:cNvPr id="346" name="Text Box 192">
          <a:extLst>
            <a:ext uri="{FF2B5EF4-FFF2-40B4-BE49-F238E27FC236}">
              <a16:creationId xmlns:a16="http://schemas.microsoft.com/office/drawing/2014/main" id="{53B57A0C-4C89-482C-9E68-6E3DC2B68544}"/>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243</xdr:row>
      <xdr:rowOff>0</xdr:rowOff>
    </xdr:from>
    <xdr:ext cx="10372" cy="228955"/>
    <xdr:sp macro="" textlink="">
      <xdr:nvSpPr>
        <xdr:cNvPr id="347" name="Text Box 192">
          <a:extLst>
            <a:ext uri="{FF2B5EF4-FFF2-40B4-BE49-F238E27FC236}">
              <a16:creationId xmlns:a16="http://schemas.microsoft.com/office/drawing/2014/main" id="{25701F5E-C9B6-45B4-A386-8CB4E64B71E1}"/>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244</xdr:row>
      <xdr:rowOff>0</xdr:rowOff>
    </xdr:from>
    <xdr:ext cx="10372" cy="228955"/>
    <xdr:sp macro="" textlink="">
      <xdr:nvSpPr>
        <xdr:cNvPr id="348" name="Text Box 192">
          <a:extLst>
            <a:ext uri="{FF2B5EF4-FFF2-40B4-BE49-F238E27FC236}">
              <a16:creationId xmlns:a16="http://schemas.microsoft.com/office/drawing/2014/main" id="{6E1E8488-AFFB-4880-949F-A358A205FD01}"/>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245</xdr:row>
      <xdr:rowOff>0</xdr:rowOff>
    </xdr:from>
    <xdr:ext cx="10372" cy="228955"/>
    <xdr:sp macro="" textlink="">
      <xdr:nvSpPr>
        <xdr:cNvPr id="349" name="Text Box 192">
          <a:extLst>
            <a:ext uri="{FF2B5EF4-FFF2-40B4-BE49-F238E27FC236}">
              <a16:creationId xmlns:a16="http://schemas.microsoft.com/office/drawing/2014/main" id="{FAD104C0-9E89-4A15-AC6F-6C9D238447D2}"/>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248</xdr:row>
      <xdr:rowOff>0</xdr:rowOff>
    </xdr:from>
    <xdr:ext cx="10372" cy="228955"/>
    <xdr:sp macro="" textlink="">
      <xdr:nvSpPr>
        <xdr:cNvPr id="350" name="Text Box 192">
          <a:extLst>
            <a:ext uri="{FF2B5EF4-FFF2-40B4-BE49-F238E27FC236}">
              <a16:creationId xmlns:a16="http://schemas.microsoft.com/office/drawing/2014/main" id="{B9084F6A-1AC7-433D-9206-DDC981CCC32F}"/>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249</xdr:row>
      <xdr:rowOff>0</xdr:rowOff>
    </xdr:from>
    <xdr:ext cx="10372" cy="228955"/>
    <xdr:sp macro="" textlink="">
      <xdr:nvSpPr>
        <xdr:cNvPr id="351" name="Text Box 192">
          <a:extLst>
            <a:ext uri="{FF2B5EF4-FFF2-40B4-BE49-F238E27FC236}">
              <a16:creationId xmlns:a16="http://schemas.microsoft.com/office/drawing/2014/main" id="{B5E1E76A-7D00-4608-8B46-6A781F049099}"/>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250</xdr:row>
      <xdr:rowOff>0</xdr:rowOff>
    </xdr:from>
    <xdr:ext cx="10372" cy="228955"/>
    <xdr:sp macro="" textlink="">
      <xdr:nvSpPr>
        <xdr:cNvPr id="352" name="Text Box 192">
          <a:extLst>
            <a:ext uri="{FF2B5EF4-FFF2-40B4-BE49-F238E27FC236}">
              <a16:creationId xmlns:a16="http://schemas.microsoft.com/office/drawing/2014/main" id="{D21AAFFE-64EA-45E8-92F7-5ACD905B90F1}"/>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251</xdr:row>
      <xdr:rowOff>0</xdr:rowOff>
    </xdr:from>
    <xdr:ext cx="10372" cy="228955"/>
    <xdr:sp macro="" textlink="">
      <xdr:nvSpPr>
        <xdr:cNvPr id="353" name="Text Box 192">
          <a:extLst>
            <a:ext uri="{FF2B5EF4-FFF2-40B4-BE49-F238E27FC236}">
              <a16:creationId xmlns:a16="http://schemas.microsoft.com/office/drawing/2014/main" id="{442CA947-C4CE-4B0D-9E0D-73AB87F88081}"/>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252</xdr:row>
      <xdr:rowOff>0</xdr:rowOff>
    </xdr:from>
    <xdr:ext cx="10372" cy="228955"/>
    <xdr:sp macro="" textlink="">
      <xdr:nvSpPr>
        <xdr:cNvPr id="354" name="Text Box 192">
          <a:extLst>
            <a:ext uri="{FF2B5EF4-FFF2-40B4-BE49-F238E27FC236}">
              <a16:creationId xmlns:a16="http://schemas.microsoft.com/office/drawing/2014/main" id="{620934BC-2A7D-4CAB-9528-81083733A615}"/>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253</xdr:row>
      <xdr:rowOff>0</xdr:rowOff>
    </xdr:from>
    <xdr:ext cx="10372" cy="228955"/>
    <xdr:sp macro="" textlink="">
      <xdr:nvSpPr>
        <xdr:cNvPr id="355" name="Text Box 192">
          <a:extLst>
            <a:ext uri="{FF2B5EF4-FFF2-40B4-BE49-F238E27FC236}">
              <a16:creationId xmlns:a16="http://schemas.microsoft.com/office/drawing/2014/main" id="{BB738910-3286-42E7-9C44-B33ABA8C90D8}"/>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254</xdr:row>
      <xdr:rowOff>0</xdr:rowOff>
    </xdr:from>
    <xdr:ext cx="10372" cy="228955"/>
    <xdr:sp macro="" textlink="">
      <xdr:nvSpPr>
        <xdr:cNvPr id="356" name="Text Box 192">
          <a:extLst>
            <a:ext uri="{FF2B5EF4-FFF2-40B4-BE49-F238E27FC236}">
              <a16:creationId xmlns:a16="http://schemas.microsoft.com/office/drawing/2014/main" id="{0F4287E8-394D-4302-870F-9C4F89B13E0A}"/>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255</xdr:row>
      <xdr:rowOff>0</xdr:rowOff>
    </xdr:from>
    <xdr:ext cx="10372" cy="228955"/>
    <xdr:sp macro="" textlink="">
      <xdr:nvSpPr>
        <xdr:cNvPr id="357" name="Text Box 192">
          <a:extLst>
            <a:ext uri="{FF2B5EF4-FFF2-40B4-BE49-F238E27FC236}">
              <a16:creationId xmlns:a16="http://schemas.microsoft.com/office/drawing/2014/main" id="{F4630628-5841-46DA-AC09-6C03ED9ECC4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256</xdr:row>
      <xdr:rowOff>0</xdr:rowOff>
    </xdr:from>
    <xdr:ext cx="10372" cy="228955"/>
    <xdr:sp macro="" textlink="">
      <xdr:nvSpPr>
        <xdr:cNvPr id="358" name="Text Box 192">
          <a:extLst>
            <a:ext uri="{FF2B5EF4-FFF2-40B4-BE49-F238E27FC236}">
              <a16:creationId xmlns:a16="http://schemas.microsoft.com/office/drawing/2014/main" id="{FDD3D37C-FB53-4CD4-8ECD-43C0A5102640}"/>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257</xdr:row>
      <xdr:rowOff>0</xdr:rowOff>
    </xdr:from>
    <xdr:ext cx="10372" cy="228955"/>
    <xdr:sp macro="" textlink="">
      <xdr:nvSpPr>
        <xdr:cNvPr id="359" name="Text Box 192">
          <a:extLst>
            <a:ext uri="{FF2B5EF4-FFF2-40B4-BE49-F238E27FC236}">
              <a16:creationId xmlns:a16="http://schemas.microsoft.com/office/drawing/2014/main" id="{BF2F1002-90AF-4403-B2FE-1C8EADD282B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258</xdr:row>
      <xdr:rowOff>0</xdr:rowOff>
    </xdr:from>
    <xdr:ext cx="10372" cy="228955"/>
    <xdr:sp macro="" textlink="">
      <xdr:nvSpPr>
        <xdr:cNvPr id="360" name="Text Box 192">
          <a:extLst>
            <a:ext uri="{FF2B5EF4-FFF2-40B4-BE49-F238E27FC236}">
              <a16:creationId xmlns:a16="http://schemas.microsoft.com/office/drawing/2014/main" id="{06D04187-F519-465F-90BA-F87C9FC6DFF8}"/>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259</xdr:row>
      <xdr:rowOff>0</xdr:rowOff>
    </xdr:from>
    <xdr:ext cx="10372" cy="228955"/>
    <xdr:sp macro="" textlink="">
      <xdr:nvSpPr>
        <xdr:cNvPr id="361" name="Text Box 192">
          <a:extLst>
            <a:ext uri="{FF2B5EF4-FFF2-40B4-BE49-F238E27FC236}">
              <a16:creationId xmlns:a16="http://schemas.microsoft.com/office/drawing/2014/main" id="{CF3BDCF2-8601-4DC0-A9C6-3190B04BA108}"/>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260</xdr:row>
      <xdr:rowOff>0</xdr:rowOff>
    </xdr:from>
    <xdr:ext cx="10372" cy="228955"/>
    <xdr:sp macro="" textlink="">
      <xdr:nvSpPr>
        <xdr:cNvPr id="362" name="Text Box 192">
          <a:extLst>
            <a:ext uri="{FF2B5EF4-FFF2-40B4-BE49-F238E27FC236}">
              <a16:creationId xmlns:a16="http://schemas.microsoft.com/office/drawing/2014/main" id="{161D2A78-D89F-47E2-A0C1-CC84605C3F91}"/>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261</xdr:row>
      <xdr:rowOff>0</xdr:rowOff>
    </xdr:from>
    <xdr:ext cx="10372" cy="228955"/>
    <xdr:sp macro="" textlink="">
      <xdr:nvSpPr>
        <xdr:cNvPr id="363" name="Text Box 192">
          <a:extLst>
            <a:ext uri="{FF2B5EF4-FFF2-40B4-BE49-F238E27FC236}">
              <a16:creationId xmlns:a16="http://schemas.microsoft.com/office/drawing/2014/main" id="{7CC7130E-4514-42F1-B3D9-1819F158AD59}"/>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264</xdr:row>
      <xdr:rowOff>0</xdr:rowOff>
    </xdr:from>
    <xdr:ext cx="10372" cy="228955"/>
    <xdr:sp macro="" textlink="">
      <xdr:nvSpPr>
        <xdr:cNvPr id="364" name="Text Box 192">
          <a:extLst>
            <a:ext uri="{FF2B5EF4-FFF2-40B4-BE49-F238E27FC236}">
              <a16:creationId xmlns:a16="http://schemas.microsoft.com/office/drawing/2014/main" id="{9B5C2666-43B4-4054-BD55-3C418A1A0D8C}"/>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267</xdr:row>
      <xdr:rowOff>0</xdr:rowOff>
    </xdr:from>
    <xdr:ext cx="10372" cy="228955"/>
    <xdr:sp macro="" textlink="">
      <xdr:nvSpPr>
        <xdr:cNvPr id="365" name="Text Box 192">
          <a:extLst>
            <a:ext uri="{FF2B5EF4-FFF2-40B4-BE49-F238E27FC236}">
              <a16:creationId xmlns:a16="http://schemas.microsoft.com/office/drawing/2014/main" id="{8DDC9E61-E660-404B-85C8-1EF35E019449}"/>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268</xdr:row>
      <xdr:rowOff>0</xdr:rowOff>
    </xdr:from>
    <xdr:ext cx="10372" cy="228955"/>
    <xdr:sp macro="" textlink="">
      <xdr:nvSpPr>
        <xdr:cNvPr id="366" name="Text Box 192">
          <a:extLst>
            <a:ext uri="{FF2B5EF4-FFF2-40B4-BE49-F238E27FC236}">
              <a16:creationId xmlns:a16="http://schemas.microsoft.com/office/drawing/2014/main" id="{049685CB-37D7-4B39-AAB1-A43C3FE0BF74}"/>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269</xdr:row>
      <xdr:rowOff>0</xdr:rowOff>
    </xdr:from>
    <xdr:ext cx="10372" cy="228955"/>
    <xdr:sp macro="" textlink="">
      <xdr:nvSpPr>
        <xdr:cNvPr id="367" name="Text Box 192">
          <a:extLst>
            <a:ext uri="{FF2B5EF4-FFF2-40B4-BE49-F238E27FC236}">
              <a16:creationId xmlns:a16="http://schemas.microsoft.com/office/drawing/2014/main" id="{A7F6751D-7A83-4873-A430-F3C5B290F945}"/>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270</xdr:row>
      <xdr:rowOff>0</xdr:rowOff>
    </xdr:from>
    <xdr:ext cx="10372" cy="228955"/>
    <xdr:sp macro="" textlink="">
      <xdr:nvSpPr>
        <xdr:cNvPr id="368" name="Text Box 192">
          <a:extLst>
            <a:ext uri="{FF2B5EF4-FFF2-40B4-BE49-F238E27FC236}">
              <a16:creationId xmlns:a16="http://schemas.microsoft.com/office/drawing/2014/main" id="{BA8195E0-F0E1-414A-9E01-B5460F0C9DCC}"/>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271</xdr:row>
      <xdr:rowOff>0</xdr:rowOff>
    </xdr:from>
    <xdr:ext cx="10372" cy="228955"/>
    <xdr:sp macro="" textlink="">
      <xdr:nvSpPr>
        <xdr:cNvPr id="369" name="Text Box 192">
          <a:extLst>
            <a:ext uri="{FF2B5EF4-FFF2-40B4-BE49-F238E27FC236}">
              <a16:creationId xmlns:a16="http://schemas.microsoft.com/office/drawing/2014/main" id="{1871C2AD-14C3-46AD-8D3E-DAB9EFE4AFD7}"/>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272</xdr:row>
      <xdr:rowOff>0</xdr:rowOff>
    </xdr:from>
    <xdr:ext cx="10372" cy="228955"/>
    <xdr:sp macro="" textlink="">
      <xdr:nvSpPr>
        <xdr:cNvPr id="370" name="Text Box 192">
          <a:extLst>
            <a:ext uri="{FF2B5EF4-FFF2-40B4-BE49-F238E27FC236}">
              <a16:creationId xmlns:a16="http://schemas.microsoft.com/office/drawing/2014/main" id="{D3EDFE6F-5A41-4689-8186-20BC430BEA95}"/>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273</xdr:row>
      <xdr:rowOff>0</xdr:rowOff>
    </xdr:from>
    <xdr:ext cx="10372" cy="228955"/>
    <xdr:sp macro="" textlink="">
      <xdr:nvSpPr>
        <xdr:cNvPr id="371" name="Text Box 192">
          <a:extLst>
            <a:ext uri="{FF2B5EF4-FFF2-40B4-BE49-F238E27FC236}">
              <a16:creationId xmlns:a16="http://schemas.microsoft.com/office/drawing/2014/main" id="{72481D62-4435-4C4C-8032-B6B598A7BFD7}"/>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274</xdr:row>
      <xdr:rowOff>0</xdr:rowOff>
    </xdr:from>
    <xdr:ext cx="10372" cy="228955"/>
    <xdr:sp macro="" textlink="">
      <xdr:nvSpPr>
        <xdr:cNvPr id="372" name="Text Box 192">
          <a:extLst>
            <a:ext uri="{FF2B5EF4-FFF2-40B4-BE49-F238E27FC236}">
              <a16:creationId xmlns:a16="http://schemas.microsoft.com/office/drawing/2014/main" id="{11381FCF-808F-405E-9C0D-F81935B802F3}"/>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275</xdr:row>
      <xdr:rowOff>0</xdr:rowOff>
    </xdr:from>
    <xdr:ext cx="10372" cy="228955"/>
    <xdr:sp macro="" textlink="">
      <xdr:nvSpPr>
        <xdr:cNvPr id="373" name="Text Box 192">
          <a:extLst>
            <a:ext uri="{FF2B5EF4-FFF2-40B4-BE49-F238E27FC236}">
              <a16:creationId xmlns:a16="http://schemas.microsoft.com/office/drawing/2014/main" id="{83A40098-65C5-441F-B008-C6A4C1E6EBDD}"/>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276</xdr:row>
      <xdr:rowOff>0</xdr:rowOff>
    </xdr:from>
    <xdr:ext cx="10372" cy="228955"/>
    <xdr:sp macro="" textlink="">
      <xdr:nvSpPr>
        <xdr:cNvPr id="374" name="Text Box 192">
          <a:extLst>
            <a:ext uri="{FF2B5EF4-FFF2-40B4-BE49-F238E27FC236}">
              <a16:creationId xmlns:a16="http://schemas.microsoft.com/office/drawing/2014/main" id="{6309290C-BA3A-4FF8-B27F-0F3A29EDCA2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277</xdr:row>
      <xdr:rowOff>0</xdr:rowOff>
    </xdr:from>
    <xdr:ext cx="10372" cy="228955"/>
    <xdr:sp macro="" textlink="">
      <xdr:nvSpPr>
        <xdr:cNvPr id="375" name="Text Box 192">
          <a:extLst>
            <a:ext uri="{FF2B5EF4-FFF2-40B4-BE49-F238E27FC236}">
              <a16:creationId xmlns:a16="http://schemas.microsoft.com/office/drawing/2014/main" id="{074574A8-8045-4249-A06C-D2FFE4CF356C}"/>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278</xdr:row>
      <xdr:rowOff>0</xdr:rowOff>
    </xdr:from>
    <xdr:ext cx="10372" cy="228955"/>
    <xdr:sp macro="" textlink="">
      <xdr:nvSpPr>
        <xdr:cNvPr id="376" name="Text Box 192">
          <a:extLst>
            <a:ext uri="{FF2B5EF4-FFF2-40B4-BE49-F238E27FC236}">
              <a16:creationId xmlns:a16="http://schemas.microsoft.com/office/drawing/2014/main" id="{A8D7D1E5-CF7D-4B51-88FA-E30D1DC4A9FC}"/>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279</xdr:row>
      <xdr:rowOff>0</xdr:rowOff>
    </xdr:from>
    <xdr:ext cx="10372" cy="228955"/>
    <xdr:sp macro="" textlink="">
      <xdr:nvSpPr>
        <xdr:cNvPr id="377" name="Text Box 192">
          <a:extLst>
            <a:ext uri="{FF2B5EF4-FFF2-40B4-BE49-F238E27FC236}">
              <a16:creationId xmlns:a16="http://schemas.microsoft.com/office/drawing/2014/main" id="{88919AE0-45E9-4839-912E-75E1C8DEC789}"/>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280</xdr:row>
      <xdr:rowOff>0</xdr:rowOff>
    </xdr:from>
    <xdr:ext cx="10372" cy="228955"/>
    <xdr:sp macro="" textlink="">
      <xdr:nvSpPr>
        <xdr:cNvPr id="378" name="Text Box 192">
          <a:extLst>
            <a:ext uri="{FF2B5EF4-FFF2-40B4-BE49-F238E27FC236}">
              <a16:creationId xmlns:a16="http://schemas.microsoft.com/office/drawing/2014/main" id="{B2E57BD0-0F4E-4650-B670-632107D710C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281</xdr:row>
      <xdr:rowOff>0</xdr:rowOff>
    </xdr:from>
    <xdr:ext cx="10372" cy="228955"/>
    <xdr:sp macro="" textlink="">
      <xdr:nvSpPr>
        <xdr:cNvPr id="379" name="Text Box 192">
          <a:extLst>
            <a:ext uri="{FF2B5EF4-FFF2-40B4-BE49-F238E27FC236}">
              <a16:creationId xmlns:a16="http://schemas.microsoft.com/office/drawing/2014/main" id="{69738FF9-E86F-42A5-9D72-90F6653DB9BB}"/>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284</xdr:row>
      <xdr:rowOff>0</xdr:rowOff>
    </xdr:from>
    <xdr:ext cx="10372" cy="228955"/>
    <xdr:sp macro="" textlink="">
      <xdr:nvSpPr>
        <xdr:cNvPr id="380" name="Text Box 192">
          <a:extLst>
            <a:ext uri="{FF2B5EF4-FFF2-40B4-BE49-F238E27FC236}">
              <a16:creationId xmlns:a16="http://schemas.microsoft.com/office/drawing/2014/main" id="{B617C29D-35E8-4CE6-A6AE-B6000CC55F6E}"/>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285</xdr:row>
      <xdr:rowOff>0</xdr:rowOff>
    </xdr:from>
    <xdr:ext cx="10372" cy="228955"/>
    <xdr:sp macro="" textlink="">
      <xdr:nvSpPr>
        <xdr:cNvPr id="381" name="Text Box 192">
          <a:extLst>
            <a:ext uri="{FF2B5EF4-FFF2-40B4-BE49-F238E27FC236}">
              <a16:creationId xmlns:a16="http://schemas.microsoft.com/office/drawing/2014/main" id="{0932B746-3F72-4739-89C9-E27D706A8CF4}"/>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286</xdr:row>
      <xdr:rowOff>0</xdr:rowOff>
    </xdr:from>
    <xdr:ext cx="10372" cy="228955"/>
    <xdr:sp macro="" textlink="">
      <xdr:nvSpPr>
        <xdr:cNvPr id="382" name="Text Box 192">
          <a:extLst>
            <a:ext uri="{FF2B5EF4-FFF2-40B4-BE49-F238E27FC236}">
              <a16:creationId xmlns:a16="http://schemas.microsoft.com/office/drawing/2014/main" id="{27696F0C-6C3A-4D81-8172-5F5011F54BF0}"/>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289</xdr:row>
      <xdr:rowOff>0</xdr:rowOff>
    </xdr:from>
    <xdr:ext cx="10372" cy="228955"/>
    <xdr:sp macro="" textlink="">
      <xdr:nvSpPr>
        <xdr:cNvPr id="383" name="Text Box 192">
          <a:extLst>
            <a:ext uri="{FF2B5EF4-FFF2-40B4-BE49-F238E27FC236}">
              <a16:creationId xmlns:a16="http://schemas.microsoft.com/office/drawing/2014/main" id="{6DF1FF8F-A1E4-4086-BB50-B23B711FE68C}"/>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290</xdr:row>
      <xdr:rowOff>0</xdr:rowOff>
    </xdr:from>
    <xdr:ext cx="10372" cy="228955"/>
    <xdr:sp macro="" textlink="">
      <xdr:nvSpPr>
        <xdr:cNvPr id="384" name="Text Box 192">
          <a:extLst>
            <a:ext uri="{FF2B5EF4-FFF2-40B4-BE49-F238E27FC236}">
              <a16:creationId xmlns:a16="http://schemas.microsoft.com/office/drawing/2014/main" id="{40290E2C-4A00-450E-B096-18EEE93CBC27}"/>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291</xdr:row>
      <xdr:rowOff>0</xdr:rowOff>
    </xdr:from>
    <xdr:ext cx="10372" cy="228955"/>
    <xdr:sp macro="" textlink="">
      <xdr:nvSpPr>
        <xdr:cNvPr id="385" name="Text Box 192">
          <a:extLst>
            <a:ext uri="{FF2B5EF4-FFF2-40B4-BE49-F238E27FC236}">
              <a16:creationId xmlns:a16="http://schemas.microsoft.com/office/drawing/2014/main" id="{389131FB-6C97-4594-8B3A-04F7D2B0B290}"/>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292</xdr:row>
      <xdr:rowOff>0</xdr:rowOff>
    </xdr:from>
    <xdr:ext cx="10372" cy="228955"/>
    <xdr:sp macro="" textlink="">
      <xdr:nvSpPr>
        <xdr:cNvPr id="386" name="Text Box 192">
          <a:extLst>
            <a:ext uri="{FF2B5EF4-FFF2-40B4-BE49-F238E27FC236}">
              <a16:creationId xmlns:a16="http://schemas.microsoft.com/office/drawing/2014/main" id="{A21D37AA-7C12-4A0E-8825-E9C86D8D0971}"/>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295</xdr:row>
      <xdr:rowOff>0</xdr:rowOff>
    </xdr:from>
    <xdr:ext cx="10372" cy="228955"/>
    <xdr:sp macro="" textlink="">
      <xdr:nvSpPr>
        <xdr:cNvPr id="387" name="Text Box 192">
          <a:extLst>
            <a:ext uri="{FF2B5EF4-FFF2-40B4-BE49-F238E27FC236}">
              <a16:creationId xmlns:a16="http://schemas.microsoft.com/office/drawing/2014/main" id="{FAB42F89-DD51-47FC-AC43-F9F1E15857F0}"/>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296</xdr:row>
      <xdr:rowOff>0</xdr:rowOff>
    </xdr:from>
    <xdr:ext cx="10372" cy="228955"/>
    <xdr:sp macro="" textlink="">
      <xdr:nvSpPr>
        <xdr:cNvPr id="388" name="Text Box 192">
          <a:extLst>
            <a:ext uri="{FF2B5EF4-FFF2-40B4-BE49-F238E27FC236}">
              <a16:creationId xmlns:a16="http://schemas.microsoft.com/office/drawing/2014/main" id="{58A32B41-8AF6-41E0-9D7A-34F8196946B6}"/>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299</xdr:row>
      <xdr:rowOff>0</xdr:rowOff>
    </xdr:from>
    <xdr:ext cx="10372" cy="228955"/>
    <xdr:sp macro="" textlink="">
      <xdr:nvSpPr>
        <xdr:cNvPr id="389" name="Text Box 192">
          <a:extLst>
            <a:ext uri="{FF2B5EF4-FFF2-40B4-BE49-F238E27FC236}">
              <a16:creationId xmlns:a16="http://schemas.microsoft.com/office/drawing/2014/main" id="{C16D97D5-244C-48E1-BE80-DA9C7CE73310}"/>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300</xdr:row>
      <xdr:rowOff>0</xdr:rowOff>
    </xdr:from>
    <xdr:ext cx="10372" cy="228955"/>
    <xdr:sp macro="" textlink="">
      <xdr:nvSpPr>
        <xdr:cNvPr id="390" name="Text Box 192">
          <a:extLst>
            <a:ext uri="{FF2B5EF4-FFF2-40B4-BE49-F238E27FC236}">
              <a16:creationId xmlns:a16="http://schemas.microsoft.com/office/drawing/2014/main" id="{4B7DB7A8-BD32-4C6A-80A3-987706682251}"/>
            </a:ext>
          </a:extLst>
        </xdr:cNvPr>
        <xdr:cNvSpPr txBox="1">
          <a:spLocks noChangeArrowheads="1"/>
        </xdr:cNvSpPr>
      </xdr:nvSpPr>
      <xdr:spPr bwMode="auto">
        <a:xfrm>
          <a:off x="15722834" y="97399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301</xdr:row>
      <xdr:rowOff>0</xdr:rowOff>
    </xdr:from>
    <xdr:ext cx="10372" cy="228955"/>
    <xdr:sp macro="" textlink="">
      <xdr:nvSpPr>
        <xdr:cNvPr id="391" name="Text Box 192">
          <a:extLst>
            <a:ext uri="{FF2B5EF4-FFF2-40B4-BE49-F238E27FC236}">
              <a16:creationId xmlns:a16="http://schemas.microsoft.com/office/drawing/2014/main" id="{0041DE52-9BD4-45DE-8CC7-4BF1743BBC91}"/>
            </a:ext>
          </a:extLst>
        </xdr:cNvPr>
        <xdr:cNvSpPr txBox="1">
          <a:spLocks noChangeArrowheads="1"/>
        </xdr:cNvSpPr>
      </xdr:nvSpPr>
      <xdr:spPr bwMode="auto">
        <a:xfrm>
          <a:off x="15722834" y="97399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302</xdr:row>
      <xdr:rowOff>0</xdr:rowOff>
    </xdr:from>
    <xdr:ext cx="10372" cy="228955"/>
    <xdr:sp macro="" textlink="">
      <xdr:nvSpPr>
        <xdr:cNvPr id="392" name="Text Box 192">
          <a:extLst>
            <a:ext uri="{FF2B5EF4-FFF2-40B4-BE49-F238E27FC236}">
              <a16:creationId xmlns:a16="http://schemas.microsoft.com/office/drawing/2014/main" id="{0C6E08C5-E315-4FF8-9B4F-E31A07E31CD7}"/>
            </a:ext>
          </a:extLst>
        </xdr:cNvPr>
        <xdr:cNvSpPr txBox="1">
          <a:spLocks noChangeArrowheads="1"/>
        </xdr:cNvSpPr>
      </xdr:nvSpPr>
      <xdr:spPr bwMode="auto">
        <a:xfrm>
          <a:off x="15722834" y="97399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303</xdr:row>
      <xdr:rowOff>0</xdr:rowOff>
    </xdr:from>
    <xdr:ext cx="10372" cy="228955"/>
    <xdr:sp macro="" textlink="">
      <xdr:nvSpPr>
        <xdr:cNvPr id="393" name="Text Box 192">
          <a:extLst>
            <a:ext uri="{FF2B5EF4-FFF2-40B4-BE49-F238E27FC236}">
              <a16:creationId xmlns:a16="http://schemas.microsoft.com/office/drawing/2014/main" id="{969DBA0C-FBE4-49E9-B7B6-E1318C74A3E9}"/>
            </a:ext>
          </a:extLst>
        </xdr:cNvPr>
        <xdr:cNvSpPr txBox="1">
          <a:spLocks noChangeArrowheads="1"/>
        </xdr:cNvSpPr>
      </xdr:nvSpPr>
      <xdr:spPr bwMode="auto">
        <a:xfrm>
          <a:off x="15722834" y="97399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304</xdr:row>
      <xdr:rowOff>0</xdr:rowOff>
    </xdr:from>
    <xdr:ext cx="10372" cy="228955"/>
    <xdr:sp macro="" textlink="">
      <xdr:nvSpPr>
        <xdr:cNvPr id="394" name="Text Box 192">
          <a:extLst>
            <a:ext uri="{FF2B5EF4-FFF2-40B4-BE49-F238E27FC236}">
              <a16:creationId xmlns:a16="http://schemas.microsoft.com/office/drawing/2014/main" id="{DA979D31-CA03-4961-A5A9-139C35055A8E}"/>
            </a:ext>
          </a:extLst>
        </xdr:cNvPr>
        <xdr:cNvSpPr txBox="1">
          <a:spLocks noChangeArrowheads="1"/>
        </xdr:cNvSpPr>
      </xdr:nvSpPr>
      <xdr:spPr bwMode="auto">
        <a:xfrm>
          <a:off x="15722834" y="97399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305</xdr:row>
      <xdr:rowOff>0</xdr:rowOff>
    </xdr:from>
    <xdr:ext cx="10372" cy="228955"/>
    <xdr:sp macro="" textlink="">
      <xdr:nvSpPr>
        <xdr:cNvPr id="395" name="Text Box 192">
          <a:extLst>
            <a:ext uri="{FF2B5EF4-FFF2-40B4-BE49-F238E27FC236}">
              <a16:creationId xmlns:a16="http://schemas.microsoft.com/office/drawing/2014/main" id="{3754A1C9-FD49-4E11-9F0D-68D4EBC4826B}"/>
            </a:ext>
          </a:extLst>
        </xdr:cNvPr>
        <xdr:cNvSpPr txBox="1">
          <a:spLocks noChangeArrowheads="1"/>
        </xdr:cNvSpPr>
      </xdr:nvSpPr>
      <xdr:spPr bwMode="auto">
        <a:xfrm>
          <a:off x="15722834" y="97399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351865</xdr:colOff>
      <xdr:row>306</xdr:row>
      <xdr:rowOff>0</xdr:rowOff>
    </xdr:from>
    <xdr:ext cx="10372" cy="228955"/>
    <xdr:sp macro="" textlink="">
      <xdr:nvSpPr>
        <xdr:cNvPr id="396" name="Text Box 192">
          <a:extLst>
            <a:ext uri="{FF2B5EF4-FFF2-40B4-BE49-F238E27FC236}">
              <a16:creationId xmlns:a16="http://schemas.microsoft.com/office/drawing/2014/main" id="{84EA73C5-C638-470E-B7FD-CEF0CB08AA28}"/>
            </a:ext>
          </a:extLst>
        </xdr:cNvPr>
        <xdr:cNvSpPr txBox="1">
          <a:spLocks noChangeArrowheads="1"/>
        </xdr:cNvSpPr>
      </xdr:nvSpPr>
      <xdr:spPr bwMode="auto">
        <a:xfrm>
          <a:off x="15722834" y="97399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xdr:row>
      <xdr:rowOff>0</xdr:rowOff>
    </xdr:from>
    <xdr:ext cx="10372" cy="228955"/>
    <xdr:sp macro="" textlink="">
      <xdr:nvSpPr>
        <xdr:cNvPr id="397" name="Text Box 192">
          <a:extLst>
            <a:ext uri="{FF2B5EF4-FFF2-40B4-BE49-F238E27FC236}">
              <a16:creationId xmlns:a16="http://schemas.microsoft.com/office/drawing/2014/main" id="{FA46DA76-E2FF-43BA-999F-9809BA0A3A62}"/>
            </a:ext>
          </a:extLst>
        </xdr:cNvPr>
        <xdr:cNvSpPr txBox="1">
          <a:spLocks noChangeArrowheads="1"/>
        </xdr:cNvSpPr>
      </xdr:nvSpPr>
      <xdr:spPr bwMode="auto">
        <a:xfrm>
          <a:off x="15722834"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xdr:row>
      <xdr:rowOff>0</xdr:rowOff>
    </xdr:from>
    <xdr:ext cx="10372" cy="228955"/>
    <xdr:sp macro="" textlink="">
      <xdr:nvSpPr>
        <xdr:cNvPr id="398" name="Text Box 192">
          <a:extLst>
            <a:ext uri="{FF2B5EF4-FFF2-40B4-BE49-F238E27FC236}">
              <a16:creationId xmlns:a16="http://schemas.microsoft.com/office/drawing/2014/main" id="{1B676894-BC5A-4544-ADCE-115EFEF7E4FF}"/>
            </a:ext>
          </a:extLst>
        </xdr:cNvPr>
        <xdr:cNvSpPr txBox="1">
          <a:spLocks noChangeArrowheads="1"/>
        </xdr:cNvSpPr>
      </xdr:nvSpPr>
      <xdr:spPr bwMode="auto">
        <a:xfrm>
          <a:off x="15722834"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399" name="Text Box 192">
          <a:extLst>
            <a:ext uri="{FF2B5EF4-FFF2-40B4-BE49-F238E27FC236}">
              <a16:creationId xmlns:a16="http://schemas.microsoft.com/office/drawing/2014/main" id="{7E139FBB-CE45-45CF-9190-904CBE3D81DC}"/>
            </a:ext>
          </a:extLst>
        </xdr:cNvPr>
        <xdr:cNvSpPr txBox="1">
          <a:spLocks noChangeArrowheads="1"/>
        </xdr:cNvSpPr>
      </xdr:nvSpPr>
      <xdr:spPr bwMode="auto">
        <a:xfrm>
          <a:off x="15722834" y="37207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400" name="Text Box 192">
          <a:extLst>
            <a:ext uri="{FF2B5EF4-FFF2-40B4-BE49-F238E27FC236}">
              <a16:creationId xmlns:a16="http://schemas.microsoft.com/office/drawing/2014/main" id="{D5D3DA52-241B-4926-A389-6292CB09AC69}"/>
            </a:ext>
          </a:extLst>
        </xdr:cNvPr>
        <xdr:cNvSpPr txBox="1">
          <a:spLocks noChangeArrowheads="1"/>
        </xdr:cNvSpPr>
      </xdr:nvSpPr>
      <xdr:spPr bwMode="auto">
        <a:xfrm>
          <a:off x="15722834" y="38814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401" name="Text Box 192">
          <a:extLst>
            <a:ext uri="{FF2B5EF4-FFF2-40B4-BE49-F238E27FC236}">
              <a16:creationId xmlns:a16="http://schemas.microsoft.com/office/drawing/2014/main" id="{3EBECEEF-451A-4577-8A3B-469C51318DEF}"/>
            </a:ext>
          </a:extLst>
        </xdr:cNvPr>
        <xdr:cNvSpPr txBox="1">
          <a:spLocks noChangeArrowheads="1"/>
        </xdr:cNvSpPr>
      </xdr:nvSpPr>
      <xdr:spPr bwMode="auto">
        <a:xfrm>
          <a:off x="15722834" y="38814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402" name="Text Box 192">
          <a:extLst>
            <a:ext uri="{FF2B5EF4-FFF2-40B4-BE49-F238E27FC236}">
              <a16:creationId xmlns:a16="http://schemas.microsoft.com/office/drawing/2014/main" id="{BE273CC6-E582-4F49-A5B1-9252398FED34}"/>
            </a:ext>
          </a:extLst>
        </xdr:cNvPr>
        <xdr:cNvSpPr txBox="1">
          <a:spLocks noChangeArrowheads="1"/>
        </xdr:cNvSpPr>
      </xdr:nvSpPr>
      <xdr:spPr bwMode="auto">
        <a:xfrm>
          <a:off x="15722834" y="404217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403" name="Text Box 192">
          <a:extLst>
            <a:ext uri="{FF2B5EF4-FFF2-40B4-BE49-F238E27FC236}">
              <a16:creationId xmlns:a16="http://schemas.microsoft.com/office/drawing/2014/main" id="{6224AF28-723C-43FD-B9FF-2B633E695884}"/>
            </a:ext>
          </a:extLst>
        </xdr:cNvPr>
        <xdr:cNvSpPr txBox="1">
          <a:spLocks noChangeArrowheads="1"/>
        </xdr:cNvSpPr>
      </xdr:nvSpPr>
      <xdr:spPr bwMode="auto">
        <a:xfrm>
          <a:off x="15722834" y="404217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404" name="Text Box 192">
          <a:extLst>
            <a:ext uri="{FF2B5EF4-FFF2-40B4-BE49-F238E27FC236}">
              <a16:creationId xmlns:a16="http://schemas.microsoft.com/office/drawing/2014/main" id="{53318CCE-B548-4EAC-9EA4-F117091F1D68}"/>
            </a:ext>
          </a:extLst>
        </xdr:cNvPr>
        <xdr:cNvSpPr txBox="1">
          <a:spLocks noChangeArrowheads="1"/>
        </xdr:cNvSpPr>
      </xdr:nvSpPr>
      <xdr:spPr bwMode="auto">
        <a:xfrm>
          <a:off x="15722834" y="4202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405" name="Text Box 192">
          <a:extLst>
            <a:ext uri="{FF2B5EF4-FFF2-40B4-BE49-F238E27FC236}">
              <a16:creationId xmlns:a16="http://schemas.microsoft.com/office/drawing/2014/main" id="{7D4889EB-470E-4EE5-A467-20826C392ED0}"/>
            </a:ext>
          </a:extLst>
        </xdr:cNvPr>
        <xdr:cNvSpPr txBox="1">
          <a:spLocks noChangeArrowheads="1"/>
        </xdr:cNvSpPr>
      </xdr:nvSpPr>
      <xdr:spPr bwMode="auto">
        <a:xfrm>
          <a:off x="15722834" y="4202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406" name="Text Box 192">
          <a:extLst>
            <a:ext uri="{FF2B5EF4-FFF2-40B4-BE49-F238E27FC236}">
              <a16:creationId xmlns:a16="http://schemas.microsoft.com/office/drawing/2014/main" id="{16152985-495A-495B-961D-374B9173B076}"/>
            </a:ext>
          </a:extLst>
        </xdr:cNvPr>
        <xdr:cNvSpPr txBox="1">
          <a:spLocks noChangeArrowheads="1"/>
        </xdr:cNvSpPr>
      </xdr:nvSpPr>
      <xdr:spPr bwMode="auto">
        <a:xfrm>
          <a:off x="15722834" y="4363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407" name="Text Box 192">
          <a:extLst>
            <a:ext uri="{FF2B5EF4-FFF2-40B4-BE49-F238E27FC236}">
              <a16:creationId xmlns:a16="http://schemas.microsoft.com/office/drawing/2014/main" id="{C0E87796-BB18-4D3B-8042-6AE03C7A9E61}"/>
            </a:ext>
          </a:extLst>
        </xdr:cNvPr>
        <xdr:cNvSpPr txBox="1">
          <a:spLocks noChangeArrowheads="1"/>
        </xdr:cNvSpPr>
      </xdr:nvSpPr>
      <xdr:spPr bwMode="auto">
        <a:xfrm>
          <a:off x="15722834" y="4363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408" name="Text Box 192">
          <a:extLst>
            <a:ext uri="{FF2B5EF4-FFF2-40B4-BE49-F238E27FC236}">
              <a16:creationId xmlns:a16="http://schemas.microsoft.com/office/drawing/2014/main" id="{E754A2B4-337A-4D52-B976-775755921D33}"/>
            </a:ext>
          </a:extLst>
        </xdr:cNvPr>
        <xdr:cNvSpPr txBox="1">
          <a:spLocks noChangeArrowheads="1"/>
        </xdr:cNvSpPr>
      </xdr:nvSpPr>
      <xdr:spPr bwMode="auto">
        <a:xfrm>
          <a:off x="15722834" y="46851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409" name="Text Box 192">
          <a:extLst>
            <a:ext uri="{FF2B5EF4-FFF2-40B4-BE49-F238E27FC236}">
              <a16:creationId xmlns:a16="http://schemas.microsoft.com/office/drawing/2014/main" id="{981E06D4-1032-413A-B0A9-9B6655C3A63E}"/>
            </a:ext>
          </a:extLst>
        </xdr:cNvPr>
        <xdr:cNvSpPr txBox="1">
          <a:spLocks noChangeArrowheads="1"/>
        </xdr:cNvSpPr>
      </xdr:nvSpPr>
      <xdr:spPr bwMode="auto">
        <a:xfrm>
          <a:off x="15722834" y="46851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410" name="Text Box 192">
          <a:extLst>
            <a:ext uri="{FF2B5EF4-FFF2-40B4-BE49-F238E27FC236}">
              <a16:creationId xmlns:a16="http://schemas.microsoft.com/office/drawing/2014/main" id="{900CA18D-0F50-4EA6-B8C8-7FDBD70E3E1B}"/>
            </a:ext>
          </a:extLst>
        </xdr:cNvPr>
        <xdr:cNvSpPr txBox="1">
          <a:spLocks noChangeArrowheads="1"/>
        </xdr:cNvSpPr>
      </xdr:nvSpPr>
      <xdr:spPr bwMode="auto">
        <a:xfrm>
          <a:off x="15722834" y="484584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xdr:row>
      <xdr:rowOff>0</xdr:rowOff>
    </xdr:from>
    <xdr:ext cx="10372" cy="228955"/>
    <xdr:sp macro="" textlink="">
      <xdr:nvSpPr>
        <xdr:cNvPr id="411" name="Text Box 192">
          <a:extLst>
            <a:ext uri="{FF2B5EF4-FFF2-40B4-BE49-F238E27FC236}">
              <a16:creationId xmlns:a16="http://schemas.microsoft.com/office/drawing/2014/main" id="{59EA096D-855C-44BC-8B6D-D4C6625944A9}"/>
            </a:ext>
          </a:extLst>
        </xdr:cNvPr>
        <xdr:cNvSpPr txBox="1">
          <a:spLocks noChangeArrowheads="1"/>
        </xdr:cNvSpPr>
      </xdr:nvSpPr>
      <xdr:spPr bwMode="auto">
        <a:xfrm>
          <a:off x="15722834" y="52149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412" name="Text Box 192">
          <a:extLst>
            <a:ext uri="{FF2B5EF4-FFF2-40B4-BE49-F238E27FC236}">
              <a16:creationId xmlns:a16="http://schemas.microsoft.com/office/drawing/2014/main" id="{04E67DDB-4D74-4B19-B182-9FF100FB3DCA}"/>
            </a:ext>
          </a:extLst>
        </xdr:cNvPr>
        <xdr:cNvSpPr txBox="1">
          <a:spLocks noChangeArrowheads="1"/>
        </xdr:cNvSpPr>
      </xdr:nvSpPr>
      <xdr:spPr bwMode="auto">
        <a:xfrm>
          <a:off x="15722834" y="5381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413" name="Text Box 192">
          <a:extLst>
            <a:ext uri="{FF2B5EF4-FFF2-40B4-BE49-F238E27FC236}">
              <a16:creationId xmlns:a16="http://schemas.microsoft.com/office/drawing/2014/main" id="{8ECFEB58-3510-42B0-BB40-7689C40BDD44}"/>
            </a:ext>
          </a:extLst>
        </xdr:cNvPr>
        <xdr:cNvSpPr txBox="1">
          <a:spLocks noChangeArrowheads="1"/>
        </xdr:cNvSpPr>
      </xdr:nvSpPr>
      <xdr:spPr bwMode="auto">
        <a:xfrm>
          <a:off x="15722834" y="5381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414" name="Text Box 192">
          <a:extLst>
            <a:ext uri="{FF2B5EF4-FFF2-40B4-BE49-F238E27FC236}">
              <a16:creationId xmlns:a16="http://schemas.microsoft.com/office/drawing/2014/main" id="{A8EE6E38-7822-4F07-B57A-9E866B63A874}"/>
            </a:ext>
          </a:extLst>
        </xdr:cNvPr>
        <xdr:cNvSpPr txBox="1">
          <a:spLocks noChangeArrowheads="1"/>
        </xdr:cNvSpPr>
      </xdr:nvSpPr>
      <xdr:spPr bwMode="auto">
        <a:xfrm>
          <a:off x="15722834" y="5703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415" name="Text Box 192">
          <a:extLst>
            <a:ext uri="{FF2B5EF4-FFF2-40B4-BE49-F238E27FC236}">
              <a16:creationId xmlns:a16="http://schemas.microsoft.com/office/drawing/2014/main" id="{75A0FD47-9272-44EE-9CE7-0C24670684BA}"/>
            </a:ext>
          </a:extLst>
        </xdr:cNvPr>
        <xdr:cNvSpPr txBox="1">
          <a:spLocks noChangeArrowheads="1"/>
        </xdr:cNvSpPr>
      </xdr:nvSpPr>
      <xdr:spPr bwMode="auto">
        <a:xfrm>
          <a:off x="15722834" y="5703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416" name="Text Box 192">
          <a:extLst>
            <a:ext uri="{FF2B5EF4-FFF2-40B4-BE49-F238E27FC236}">
              <a16:creationId xmlns:a16="http://schemas.microsoft.com/office/drawing/2014/main" id="{F49E7A62-D02E-4AB8-8C5F-37773654DBA1}"/>
            </a:ext>
          </a:extLst>
        </xdr:cNvPr>
        <xdr:cNvSpPr txBox="1">
          <a:spLocks noChangeArrowheads="1"/>
        </xdr:cNvSpPr>
      </xdr:nvSpPr>
      <xdr:spPr bwMode="auto">
        <a:xfrm>
          <a:off x="15722834" y="60245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417" name="Text Box 192">
          <a:extLst>
            <a:ext uri="{FF2B5EF4-FFF2-40B4-BE49-F238E27FC236}">
              <a16:creationId xmlns:a16="http://schemas.microsoft.com/office/drawing/2014/main" id="{999F8DF6-ECA1-4341-872B-79F58EC7CF88}"/>
            </a:ext>
          </a:extLst>
        </xdr:cNvPr>
        <xdr:cNvSpPr txBox="1">
          <a:spLocks noChangeArrowheads="1"/>
        </xdr:cNvSpPr>
      </xdr:nvSpPr>
      <xdr:spPr bwMode="auto">
        <a:xfrm>
          <a:off x="15722834" y="60245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418" name="Text Box 192">
          <a:extLst>
            <a:ext uri="{FF2B5EF4-FFF2-40B4-BE49-F238E27FC236}">
              <a16:creationId xmlns:a16="http://schemas.microsoft.com/office/drawing/2014/main" id="{B8A2AB9B-3542-4219-969A-4A69D20B8D96}"/>
            </a:ext>
          </a:extLst>
        </xdr:cNvPr>
        <xdr:cNvSpPr txBox="1">
          <a:spLocks noChangeArrowheads="1"/>
        </xdr:cNvSpPr>
      </xdr:nvSpPr>
      <xdr:spPr bwMode="auto">
        <a:xfrm>
          <a:off x="15722834" y="61852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36</xdr:row>
      <xdr:rowOff>0</xdr:rowOff>
    </xdr:from>
    <xdr:ext cx="10372" cy="228955"/>
    <xdr:sp macro="" textlink="">
      <xdr:nvSpPr>
        <xdr:cNvPr id="419" name="Text Box 192">
          <a:extLst>
            <a:ext uri="{FF2B5EF4-FFF2-40B4-BE49-F238E27FC236}">
              <a16:creationId xmlns:a16="http://schemas.microsoft.com/office/drawing/2014/main" id="{428D4A72-236C-4E3C-8F8C-CB44F93EE5F2}"/>
            </a:ext>
          </a:extLst>
        </xdr:cNvPr>
        <xdr:cNvSpPr txBox="1">
          <a:spLocks noChangeArrowheads="1"/>
        </xdr:cNvSpPr>
      </xdr:nvSpPr>
      <xdr:spPr bwMode="auto">
        <a:xfrm>
          <a:off x="15722834" y="688181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420" name="Text Box 192">
          <a:extLst>
            <a:ext uri="{FF2B5EF4-FFF2-40B4-BE49-F238E27FC236}">
              <a16:creationId xmlns:a16="http://schemas.microsoft.com/office/drawing/2014/main" id="{B9DC9B67-8A95-4C9A-A85A-01224F089F07}"/>
            </a:ext>
          </a:extLst>
        </xdr:cNvPr>
        <xdr:cNvSpPr txBox="1">
          <a:spLocks noChangeArrowheads="1"/>
        </xdr:cNvSpPr>
      </xdr:nvSpPr>
      <xdr:spPr bwMode="auto">
        <a:xfrm>
          <a:off x="15722834" y="70485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421" name="Text Box 192">
          <a:extLst>
            <a:ext uri="{FF2B5EF4-FFF2-40B4-BE49-F238E27FC236}">
              <a16:creationId xmlns:a16="http://schemas.microsoft.com/office/drawing/2014/main" id="{58264EB1-931D-441E-AF8A-C2E8C49B732B}"/>
            </a:ext>
          </a:extLst>
        </xdr:cNvPr>
        <xdr:cNvSpPr txBox="1">
          <a:spLocks noChangeArrowheads="1"/>
        </xdr:cNvSpPr>
      </xdr:nvSpPr>
      <xdr:spPr bwMode="auto">
        <a:xfrm>
          <a:off x="15722834" y="70485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422" name="Text Box 192">
          <a:extLst>
            <a:ext uri="{FF2B5EF4-FFF2-40B4-BE49-F238E27FC236}">
              <a16:creationId xmlns:a16="http://schemas.microsoft.com/office/drawing/2014/main" id="{E3F3114F-88AA-416F-847C-5A105A63ED37}"/>
            </a:ext>
          </a:extLst>
        </xdr:cNvPr>
        <xdr:cNvSpPr txBox="1">
          <a:spLocks noChangeArrowheads="1"/>
        </xdr:cNvSpPr>
      </xdr:nvSpPr>
      <xdr:spPr bwMode="auto">
        <a:xfrm>
          <a:off x="15722834" y="720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423" name="Text Box 192">
          <a:extLst>
            <a:ext uri="{FF2B5EF4-FFF2-40B4-BE49-F238E27FC236}">
              <a16:creationId xmlns:a16="http://schemas.microsoft.com/office/drawing/2014/main" id="{6C008D21-DA61-41E7-94E9-6206C75887B2}"/>
            </a:ext>
          </a:extLst>
        </xdr:cNvPr>
        <xdr:cNvSpPr txBox="1">
          <a:spLocks noChangeArrowheads="1"/>
        </xdr:cNvSpPr>
      </xdr:nvSpPr>
      <xdr:spPr bwMode="auto">
        <a:xfrm>
          <a:off x="15722834" y="720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424" name="Text Box 192">
          <a:extLst>
            <a:ext uri="{FF2B5EF4-FFF2-40B4-BE49-F238E27FC236}">
              <a16:creationId xmlns:a16="http://schemas.microsoft.com/office/drawing/2014/main" id="{09EC0FDB-CBCC-4812-9B10-D804092E9E93}"/>
            </a:ext>
          </a:extLst>
        </xdr:cNvPr>
        <xdr:cNvSpPr txBox="1">
          <a:spLocks noChangeArrowheads="1"/>
        </xdr:cNvSpPr>
      </xdr:nvSpPr>
      <xdr:spPr bwMode="auto">
        <a:xfrm>
          <a:off x="15722834" y="736996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425" name="Text Box 192">
          <a:extLst>
            <a:ext uri="{FF2B5EF4-FFF2-40B4-BE49-F238E27FC236}">
              <a16:creationId xmlns:a16="http://schemas.microsoft.com/office/drawing/2014/main" id="{27C055F9-EF73-473F-AEDA-D04853739262}"/>
            </a:ext>
          </a:extLst>
        </xdr:cNvPr>
        <xdr:cNvSpPr txBox="1">
          <a:spLocks noChangeArrowheads="1"/>
        </xdr:cNvSpPr>
      </xdr:nvSpPr>
      <xdr:spPr bwMode="auto">
        <a:xfrm>
          <a:off x="15722834" y="736996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426" name="Text Box 192">
          <a:extLst>
            <a:ext uri="{FF2B5EF4-FFF2-40B4-BE49-F238E27FC236}">
              <a16:creationId xmlns:a16="http://schemas.microsoft.com/office/drawing/2014/main" id="{8B4CDDB7-0818-4D9E-B946-69B2CE66F7CC}"/>
            </a:ext>
          </a:extLst>
        </xdr:cNvPr>
        <xdr:cNvSpPr txBox="1">
          <a:spLocks noChangeArrowheads="1"/>
        </xdr:cNvSpPr>
      </xdr:nvSpPr>
      <xdr:spPr bwMode="auto">
        <a:xfrm>
          <a:off x="15722834" y="75307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427" name="Text Box 192">
          <a:extLst>
            <a:ext uri="{FF2B5EF4-FFF2-40B4-BE49-F238E27FC236}">
              <a16:creationId xmlns:a16="http://schemas.microsoft.com/office/drawing/2014/main" id="{5E21BCE5-87D6-43B1-A856-BAF725D49EF6}"/>
            </a:ext>
          </a:extLst>
        </xdr:cNvPr>
        <xdr:cNvSpPr txBox="1">
          <a:spLocks noChangeArrowheads="1"/>
        </xdr:cNvSpPr>
      </xdr:nvSpPr>
      <xdr:spPr bwMode="auto">
        <a:xfrm>
          <a:off x="15722834" y="75307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428" name="Text Box 192">
          <a:extLst>
            <a:ext uri="{FF2B5EF4-FFF2-40B4-BE49-F238E27FC236}">
              <a16:creationId xmlns:a16="http://schemas.microsoft.com/office/drawing/2014/main" id="{C33BE9DD-0B50-4B7A-A523-BDA525CA3E65}"/>
            </a:ext>
          </a:extLst>
        </xdr:cNvPr>
        <xdr:cNvSpPr txBox="1">
          <a:spLocks noChangeArrowheads="1"/>
        </xdr:cNvSpPr>
      </xdr:nvSpPr>
      <xdr:spPr bwMode="auto">
        <a:xfrm>
          <a:off x="15722834" y="76914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429" name="Text Box 192">
          <a:extLst>
            <a:ext uri="{FF2B5EF4-FFF2-40B4-BE49-F238E27FC236}">
              <a16:creationId xmlns:a16="http://schemas.microsoft.com/office/drawing/2014/main" id="{63F8666F-F3C0-4C94-8D2B-FACA1B3602E0}"/>
            </a:ext>
          </a:extLst>
        </xdr:cNvPr>
        <xdr:cNvSpPr txBox="1">
          <a:spLocks noChangeArrowheads="1"/>
        </xdr:cNvSpPr>
      </xdr:nvSpPr>
      <xdr:spPr bwMode="auto">
        <a:xfrm>
          <a:off x="15722834" y="76914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430" name="Text Box 192">
          <a:extLst>
            <a:ext uri="{FF2B5EF4-FFF2-40B4-BE49-F238E27FC236}">
              <a16:creationId xmlns:a16="http://schemas.microsoft.com/office/drawing/2014/main" id="{61A40F16-AD5D-4D67-87A0-55F2EF723EBE}"/>
            </a:ext>
          </a:extLst>
        </xdr:cNvPr>
        <xdr:cNvSpPr txBox="1">
          <a:spLocks noChangeArrowheads="1"/>
        </xdr:cNvSpPr>
      </xdr:nvSpPr>
      <xdr:spPr bwMode="auto">
        <a:xfrm>
          <a:off x="15722834" y="785217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44</xdr:row>
      <xdr:rowOff>0</xdr:rowOff>
    </xdr:from>
    <xdr:ext cx="10372" cy="228955"/>
    <xdr:sp macro="" textlink="">
      <xdr:nvSpPr>
        <xdr:cNvPr id="431" name="Text Box 192">
          <a:extLst>
            <a:ext uri="{FF2B5EF4-FFF2-40B4-BE49-F238E27FC236}">
              <a16:creationId xmlns:a16="http://schemas.microsoft.com/office/drawing/2014/main" id="{C1C104FD-56F6-499C-8627-164B936E0E7E}"/>
            </a:ext>
          </a:extLst>
        </xdr:cNvPr>
        <xdr:cNvSpPr txBox="1">
          <a:spLocks noChangeArrowheads="1"/>
        </xdr:cNvSpPr>
      </xdr:nvSpPr>
      <xdr:spPr bwMode="auto">
        <a:xfrm>
          <a:off x="15722834" y="82212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432" name="Text Box 192">
          <a:extLst>
            <a:ext uri="{FF2B5EF4-FFF2-40B4-BE49-F238E27FC236}">
              <a16:creationId xmlns:a16="http://schemas.microsoft.com/office/drawing/2014/main" id="{8D3BE037-D6BC-4C49-BE5C-B62473CBC0FE}"/>
            </a:ext>
          </a:extLst>
        </xdr:cNvPr>
        <xdr:cNvSpPr txBox="1">
          <a:spLocks noChangeArrowheads="1"/>
        </xdr:cNvSpPr>
      </xdr:nvSpPr>
      <xdr:spPr bwMode="auto">
        <a:xfrm>
          <a:off x="15722834" y="838795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433" name="Text Box 192">
          <a:extLst>
            <a:ext uri="{FF2B5EF4-FFF2-40B4-BE49-F238E27FC236}">
              <a16:creationId xmlns:a16="http://schemas.microsoft.com/office/drawing/2014/main" id="{0BFC2AE0-296D-4F9A-A4DC-28674952503C}"/>
            </a:ext>
          </a:extLst>
        </xdr:cNvPr>
        <xdr:cNvSpPr txBox="1">
          <a:spLocks noChangeArrowheads="1"/>
        </xdr:cNvSpPr>
      </xdr:nvSpPr>
      <xdr:spPr bwMode="auto">
        <a:xfrm>
          <a:off x="15722834" y="838795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434" name="Text Box 192">
          <a:extLst>
            <a:ext uri="{FF2B5EF4-FFF2-40B4-BE49-F238E27FC236}">
              <a16:creationId xmlns:a16="http://schemas.microsoft.com/office/drawing/2014/main" id="{53CBB47E-1F62-481E-9BCA-C9715FC070DA}"/>
            </a:ext>
          </a:extLst>
        </xdr:cNvPr>
        <xdr:cNvSpPr txBox="1">
          <a:spLocks noChangeArrowheads="1"/>
        </xdr:cNvSpPr>
      </xdr:nvSpPr>
      <xdr:spPr bwMode="auto">
        <a:xfrm>
          <a:off x="15722834" y="8548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435" name="Text Box 192">
          <a:extLst>
            <a:ext uri="{FF2B5EF4-FFF2-40B4-BE49-F238E27FC236}">
              <a16:creationId xmlns:a16="http://schemas.microsoft.com/office/drawing/2014/main" id="{DE2A6CB7-1F0F-481A-8F9C-5FE97606DC13}"/>
            </a:ext>
          </a:extLst>
        </xdr:cNvPr>
        <xdr:cNvSpPr txBox="1">
          <a:spLocks noChangeArrowheads="1"/>
        </xdr:cNvSpPr>
      </xdr:nvSpPr>
      <xdr:spPr bwMode="auto">
        <a:xfrm>
          <a:off x="15722834" y="8548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436" name="Text Box 192">
          <a:extLst>
            <a:ext uri="{FF2B5EF4-FFF2-40B4-BE49-F238E27FC236}">
              <a16:creationId xmlns:a16="http://schemas.microsoft.com/office/drawing/2014/main" id="{D8140FF5-4A7F-426D-8E05-B8FF5D4B1FC5}"/>
            </a:ext>
          </a:extLst>
        </xdr:cNvPr>
        <xdr:cNvSpPr txBox="1">
          <a:spLocks noChangeArrowheads="1"/>
        </xdr:cNvSpPr>
      </xdr:nvSpPr>
      <xdr:spPr bwMode="auto">
        <a:xfrm>
          <a:off x="15722834" y="87094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437" name="Text Box 192">
          <a:extLst>
            <a:ext uri="{FF2B5EF4-FFF2-40B4-BE49-F238E27FC236}">
              <a16:creationId xmlns:a16="http://schemas.microsoft.com/office/drawing/2014/main" id="{A7BAAADE-11DC-4F07-92EF-27912F8E6106}"/>
            </a:ext>
          </a:extLst>
        </xdr:cNvPr>
        <xdr:cNvSpPr txBox="1">
          <a:spLocks noChangeArrowheads="1"/>
        </xdr:cNvSpPr>
      </xdr:nvSpPr>
      <xdr:spPr bwMode="auto">
        <a:xfrm>
          <a:off x="15722834" y="87094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438" name="Text Box 192">
          <a:extLst>
            <a:ext uri="{FF2B5EF4-FFF2-40B4-BE49-F238E27FC236}">
              <a16:creationId xmlns:a16="http://schemas.microsoft.com/office/drawing/2014/main" id="{0B59A341-719A-433E-9D86-7ED7356C4527}"/>
            </a:ext>
          </a:extLst>
        </xdr:cNvPr>
        <xdr:cNvSpPr txBox="1">
          <a:spLocks noChangeArrowheads="1"/>
        </xdr:cNvSpPr>
      </xdr:nvSpPr>
      <xdr:spPr bwMode="auto">
        <a:xfrm>
          <a:off x="15722834" y="88701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439" name="Text Box 192">
          <a:extLst>
            <a:ext uri="{FF2B5EF4-FFF2-40B4-BE49-F238E27FC236}">
              <a16:creationId xmlns:a16="http://schemas.microsoft.com/office/drawing/2014/main" id="{70B53A01-F021-4C24-A849-A14F22537CDE}"/>
            </a:ext>
          </a:extLst>
        </xdr:cNvPr>
        <xdr:cNvSpPr txBox="1">
          <a:spLocks noChangeArrowheads="1"/>
        </xdr:cNvSpPr>
      </xdr:nvSpPr>
      <xdr:spPr bwMode="auto">
        <a:xfrm>
          <a:off x="15722834" y="88701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440" name="Text Box 192">
          <a:extLst>
            <a:ext uri="{FF2B5EF4-FFF2-40B4-BE49-F238E27FC236}">
              <a16:creationId xmlns:a16="http://schemas.microsoft.com/office/drawing/2014/main" id="{276CC93F-8917-4A73-96E7-EE2DD6168A94}"/>
            </a:ext>
          </a:extLst>
        </xdr:cNvPr>
        <xdr:cNvSpPr txBox="1">
          <a:spLocks noChangeArrowheads="1"/>
        </xdr:cNvSpPr>
      </xdr:nvSpPr>
      <xdr:spPr bwMode="auto">
        <a:xfrm>
          <a:off x="15722834" y="9030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441" name="Text Box 192">
          <a:extLst>
            <a:ext uri="{FF2B5EF4-FFF2-40B4-BE49-F238E27FC236}">
              <a16:creationId xmlns:a16="http://schemas.microsoft.com/office/drawing/2014/main" id="{75E5DF2E-C96D-40FC-ABC8-22DE9C6D5EAF}"/>
            </a:ext>
          </a:extLst>
        </xdr:cNvPr>
        <xdr:cNvSpPr txBox="1">
          <a:spLocks noChangeArrowheads="1"/>
        </xdr:cNvSpPr>
      </xdr:nvSpPr>
      <xdr:spPr bwMode="auto">
        <a:xfrm>
          <a:off x="15722834" y="9030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442" name="Text Box 192">
          <a:extLst>
            <a:ext uri="{FF2B5EF4-FFF2-40B4-BE49-F238E27FC236}">
              <a16:creationId xmlns:a16="http://schemas.microsoft.com/office/drawing/2014/main" id="{F3589840-9EFD-46C7-9467-1E1A1110907D}"/>
            </a:ext>
          </a:extLst>
        </xdr:cNvPr>
        <xdr:cNvSpPr txBox="1">
          <a:spLocks noChangeArrowheads="1"/>
        </xdr:cNvSpPr>
      </xdr:nvSpPr>
      <xdr:spPr bwMode="auto">
        <a:xfrm>
          <a:off x="15722834" y="9191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443" name="Text Box 192">
          <a:extLst>
            <a:ext uri="{FF2B5EF4-FFF2-40B4-BE49-F238E27FC236}">
              <a16:creationId xmlns:a16="http://schemas.microsoft.com/office/drawing/2014/main" id="{A9E2E619-2466-4F8B-BACE-DED80C2B1B44}"/>
            </a:ext>
          </a:extLst>
        </xdr:cNvPr>
        <xdr:cNvSpPr txBox="1">
          <a:spLocks noChangeArrowheads="1"/>
        </xdr:cNvSpPr>
      </xdr:nvSpPr>
      <xdr:spPr bwMode="auto">
        <a:xfrm>
          <a:off x="15722834" y="9191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444" name="Text Box 192">
          <a:extLst>
            <a:ext uri="{FF2B5EF4-FFF2-40B4-BE49-F238E27FC236}">
              <a16:creationId xmlns:a16="http://schemas.microsoft.com/office/drawing/2014/main" id="{21D07257-0EF7-49B6-9D88-728F3458B61A}"/>
            </a:ext>
          </a:extLst>
        </xdr:cNvPr>
        <xdr:cNvSpPr txBox="1">
          <a:spLocks noChangeArrowheads="1"/>
        </xdr:cNvSpPr>
      </xdr:nvSpPr>
      <xdr:spPr bwMode="auto">
        <a:xfrm>
          <a:off x="15722834" y="9352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445" name="Text Box 192">
          <a:extLst>
            <a:ext uri="{FF2B5EF4-FFF2-40B4-BE49-F238E27FC236}">
              <a16:creationId xmlns:a16="http://schemas.microsoft.com/office/drawing/2014/main" id="{18A31557-A83D-480E-B1A9-A29BF677525D}"/>
            </a:ext>
          </a:extLst>
        </xdr:cNvPr>
        <xdr:cNvSpPr txBox="1">
          <a:spLocks noChangeArrowheads="1"/>
        </xdr:cNvSpPr>
      </xdr:nvSpPr>
      <xdr:spPr bwMode="auto">
        <a:xfrm>
          <a:off x="15722834" y="9352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446" name="Text Box 192">
          <a:extLst>
            <a:ext uri="{FF2B5EF4-FFF2-40B4-BE49-F238E27FC236}">
              <a16:creationId xmlns:a16="http://schemas.microsoft.com/office/drawing/2014/main" id="{8CFE5F93-1E8A-4941-9C16-46C3EEBE0CEF}"/>
            </a:ext>
          </a:extLst>
        </xdr:cNvPr>
        <xdr:cNvSpPr txBox="1">
          <a:spLocks noChangeArrowheads="1"/>
        </xdr:cNvSpPr>
      </xdr:nvSpPr>
      <xdr:spPr bwMode="auto">
        <a:xfrm>
          <a:off x="15722834" y="9513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447" name="Text Box 192">
          <a:extLst>
            <a:ext uri="{FF2B5EF4-FFF2-40B4-BE49-F238E27FC236}">
              <a16:creationId xmlns:a16="http://schemas.microsoft.com/office/drawing/2014/main" id="{6385F884-C247-4A00-AA7C-373AD92CE2CA}"/>
            </a:ext>
          </a:extLst>
        </xdr:cNvPr>
        <xdr:cNvSpPr txBox="1">
          <a:spLocks noChangeArrowheads="1"/>
        </xdr:cNvSpPr>
      </xdr:nvSpPr>
      <xdr:spPr bwMode="auto">
        <a:xfrm>
          <a:off x="15722834" y="9513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448" name="Text Box 192">
          <a:extLst>
            <a:ext uri="{FF2B5EF4-FFF2-40B4-BE49-F238E27FC236}">
              <a16:creationId xmlns:a16="http://schemas.microsoft.com/office/drawing/2014/main" id="{47CEBC4D-DB6F-4642-98C0-61CF903D17A7}"/>
            </a:ext>
          </a:extLst>
        </xdr:cNvPr>
        <xdr:cNvSpPr txBox="1">
          <a:spLocks noChangeArrowheads="1"/>
        </xdr:cNvSpPr>
      </xdr:nvSpPr>
      <xdr:spPr bwMode="auto">
        <a:xfrm>
          <a:off x="15722834" y="967382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55</xdr:row>
      <xdr:rowOff>0</xdr:rowOff>
    </xdr:from>
    <xdr:ext cx="10372" cy="228955"/>
    <xdr:sp macro="" textlink="">
      <xdr:nvSpPr>
        <xdr:cNvPr id="449" name="Text Box 192">
          <a:extLst>
            <a:ext uri="{FF2B5EF4-FFF2-40B4-BE49-F238E27FC236}">
              <a16:creationId xmlns:a16="http://schemas.microsoft.com/office/drawing/2014/main" id="{CEE4FC2A-E569-4672-A380-F3D1A1BC9101}"/>
            </a:ext>
          </a:extLst>
        </xdr:cNvPr>
        <xdr:cNvSpPr txBox="1">
          <a:spLocks noChangeArrowheads="1"/>
        </xdr:cNvSpPr>
      </xdr:nvSpPr>
      <xdr:spPr bwMode="auto">
        <a:xfrm>
          <a:off x="15722834"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450" name="Text Box 192">
          <a:extLst>
            <a:ext uri="{FF2B5EF4-FFF2-40B4-BE49-F238E27FC236}">
              <a16:creationId xmlns:a16="http://schemas.microsoft.com/office/drawing/2014/main" id="{5A5A7E09-CD55-4E98-B7CF-D46A08C04835}"/>
            </a:ext>
          </a:extLst>
        </xdr:cNvPr>
        <xdr:cNvSpPr txBox="1">
          <a:spLocks noChangeArrowheads="1"/>
        </xdr:cNvSpPr>
      </xdr:nvSpPr>
      <xdr:spPr bwMode="auto">
        <a:xfrm>
          <a:off x="15722834"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59</xdr:row>
      <xdr:rowOff>0</xdr:rowOff>
    </xdr:from>
    <xdr:ext cx="10372" cy="228955"/>
    <xdr:sp macro="" textlink="">
      <xdr:nvSpPr>
        <xdr:cNvPr id="451" name="Text Box 192">
          <a:extLst>
            <a:ext uri="{FF2B5EF4-FFF2-40B4-BE49-F238E27FC236}">
              <a16:creationId xmlns:a16="http://schemas.microsoft.com/office/drawing/2014/main" id="{8BACAF44-572E-4DA0-B4AD-51211858C637}"/>
            </a:ext>
          </a:extLst>
        </xdr:cNvPr>
        <xdr:cNvSpPr txBox="1">
          <a:spLocks noChangeArrowheads="1"/>
        </xdr:cNvSpPr>
      </xdr:nvSpPr>
      <xdr:spPr bwMode="auto">
        <a:xfrm>
          <a:off x="15722834" y="1139428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452" name="Text Box 192">
          <a:extLst>
            <a:ext uri="{FF2B5EF4-FFF2-40B4-BE49-F238E27FC236}">
              <a16:creationId xmlns:a16="http://schemas.microsoft.com/office/drawing/2014/main" id="{9D581F93-3B81-4B35-85F3-64C6B03B794F}"/>
            </a:ext>
          </a:extLst>
        </xdr:cNvPr>
        <xdr:cNvSpPr txBox="1">
          <a:spLocks noChangeArrowheads="1"/>
        </xdr:cNvSpPr>
      </xdr:nvSpPr>
      <xdr:spPr bwMode="auto">
        <a:xfrm>
          <a:off x="15722834" y="1156096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453" name="Text Box 192">
          <a:extLst>
            <a:ext uri="{FF2B5EF4-FFF2-40B4-BE49-F238E27FC236}">
              <a16:creationId xmlns:a16="http://schemas.microsoft.com/office/drawing/2014/main" id="{421E4C87-F95C-46B4-BA1D-A4FCD2E0535F}"/>
            </a:ext>
          </a:extLst>
        </xdr:cNvPr>
        <xdr:cNvSpPr txBox="1">
          <a:spLocks noChangeArrowheads="1"/>
        </xdr:cNvSpPr>
      </xdr:nvSpPr>
      <xdr:spPr bwMode="auto">
        <a:xfrm>
          <a:off x="15722834" y="1156096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454" name="Text Box 192">
          <a:extLst>
            <a:ext uri="{FF2B5EF4-FFF2-40B4-BE49-F238E27FC236}">
              <a16:creationId xmlns:a16="http://schemas.microsoft.com/office/drawing/2014/main" id="{E1E4499A-8E6D-4693-86B2-4CA489633EE9}"/>
            </a:ext>
          </a:extLst>
        </xdr:cNvPr>
        <xdr:cNvSpPr txBox="1">
          <a:spLocks noChangeArrowheads="1"/>
        </xdr:cNvSpPr>
      </xdr:nvSpPr>
      <xdr:spPr bwMode="auto">
        <a:xfrm>
          <a:off x="15722834" y="117217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455" name="Text Box 192">
          <a:extLst>
            <a:ext uri="{FF2B5EF4-FFF2-40B4-BE49-F238E27FC236}">
              <a16:creationId xmlns:a16="http://schemas.microsoft.com/office/drawing/2014/main" id="{8A861151-0C6A-41CF-BE83-12084D435953}"/>
            </a:ext>
          </a:extLst>
        </xdr:cNvPr>
        <xdr:cNvSpPr txBox="1">
          <a:spLocks noChangeArrowheads="1"/>
        </xdr:cNvSpPr>
      </xdr:nvSpPr>
      <xdr:spPr bwMode="auto">
        <a:xfrm>
          <a:off x="15722834" y="117217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456" name="Text Box 192">
          <a:extLst>
            <a:ext uri="{FF2B5EF4-FFF2-40B4-BE49-F238E27FC236}">
              <a16:creationId xmlns:a16="http://schemas.microsoft.com/office/drawing/2014/main" id="{8D6AAB90-6463-494F-BFDA-477BB1E8D4B4}"/>
            </a:ext>
          </a:extLst>
        </xdr:cNvPr>
        <xdr:cNvSpPr txBox="1">
          <a:spLocks noChangeArrowheads="1"/>
        </xdr:cNvSpPr>
      </xdr:nvSpPr>
      <xdr:spPr bwMode="auto">
        <a:xfrm>
          <a:off x="15722834" y="118824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457" name="Text Box 192">
          <a:extLst>
            <a:ext uri="{FF2B5EF4-FFF2-40B4-BE49-F238E27FC236}">
              <a16:creationId xmlns:a16="http://schemas.microsoft.com/office/drawing/2014/main" id="{9038B44C-7EBC-4A67-84D4-91FB0DA2D802}"/>
            </a:ext>
          </a:extLst>
        </xdr:cNvPr>
        <xdr:cNvSpPr txBox="1">
          <a:spLocks noChangeArrowheads="1"/>
        </xdr:cNvSpPr>
      </xdr:nvSpPr>
      <xdr:spPr bwMode="auto">
        <a:xfrm>
          <a:off x="15722834" y="118824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458" name="Text Box 192">
          <a:extLst>
            <a:ext uri="{FF2B5EF4-FFF2-40B4-BE49-F238E27FC236}">
              <a16:creationId xmlns:a16="http://schemas.microsoft.com/office/drawing/2014/main" id="{D8D49429-2C68-45F9-A6BA-B7897A9A9549}"/>
            </a:ext>
          </a:extLst>
        </xdr:cNvPr>
        <xdr:cNvSpPr txBox="1">
          <a:spLocks noChangeArrowheads="1"/>
        </xdr:cNvSpPr>
      </xdr:nvSpPr>
      <xdr:spPr bwMode="auto">
        <a:xfrm>
          <a:off x="15722834" y="1204317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459" name="Text Box 192">
          <a:extLst>
            <a:ext uri="{FF2B5EF4-FFF2-40B4-BE49-F238E27FC236}">
              <a16:creationId xmlns:a16="http://schemas.microsoft.com/office/drawing/2014/main" id="{BC735FA8-E940-4D24-B7FD-B7977A79F8A2}"/>
            </a:ext>
          </a:extLst>
        </xdr:cNvPr>
        <xdr:cNvSpPr txBox="1">
          <a:spLocks noChangeArrowheads="1"/>
        </xdr:cNvSpPr>
      </xdr:nvSpPr>
      <xdr:spPr bwMode="auto">
        <a:xfrm>
          <a:off x="15722834" y="1204317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460" name="Text Box 192">
          <a:extLst>
            <a:ext uri="{FF2B5EF4-FFF2-40B4-BE49-F238E27FC236}">
              <a16:creationId xmlns:a16="http://schemas.microsoft.com/office/drawing/2014/main" id="{4A1C13BC-BC15-4A93-885B-EF3DB7C956D0}"/>
            </a:ext>
          </a:extLst>
        </xdr:cNvPr>
        <xdr:cNvSpPr txBox="1">
          <a:spLocks noChangeArrowheads="1"/>
        </xdr:cNvSpPr>
      </xdr:nvSpPr>
      <xdr:spPr bwMode="auto">
        <a:xfrm>
          <a:off x="15722834" y="12364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67</xdr:row>
      <xdr:rowOff>0</xdr:rowOff>
    </xdr:from>
    <xdr:ext cx="10372" cy="228955"/>
    <xdr:sp macro="" textlink="">
      <xdr:nvSpPr>
        <xdr:cNvPr id="461" name="Text Box 192">
          <a:extLst>
            <a:ext uri="{FF2B5EF4-FFF2-40B4-BE49-F238E27FC236}">
              <a16:creationId xmlns:a16="http://schemas.microsoft.com/office/drawing/2014/main" id="{7C256908-1EAA-4F3D-A223-82BE2764C80F}"/>
            </a:ext>
          </a:extLst>
        </xdr:cNvPr>
        <xdr:cNvSpPr txBox="1">
          <a:spLocks noChangeArrowheads="1"/>
        </xdr:cNvSpPr>
      </xdr:nvSpPr>
      <xdr:spPr bwMode="auto">
        <a:xfrm>
          <a:off x="15722834" y="130611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462" name="Text Box 192">
          <a:extLst>
            <a:ext uri="{FF2B5EF4-FFF2-40B4-BE49-F238E27FC236}">
              <a16:creationId xmlns:a16="http://schemas.microsoft.com/office/drawing/2014/main" id="{3AA0EFD9-8679-4E6D-85A6-3C9262685235}"/>
            </a:ext>
          </a:extLst>
        </xdr:cNvPr>
        <xdr:cNvSpPr txBox="1">
          <a:spLocks noChangeArrowheads="1"/>
        </xdr:cNvSpPr>
      </xdr:nvSpPr>
      <xdr:spPr bwMode="auto">
        <a:xfrm>
          <a:off x="15722834" y="1322784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463" name="Text Box 192">
          <a:extLst>
            <a:ext uri="{FF2B5EF4-FFF2-40B4-BE49-F238E27FC236}">
              <a16:creationId xmlns:a16="http://schemas.microsoft.com/office/drawing/2014/main" id="{4A0A2B04-DFCB-4557-9A93-3F3D29DF2ED8}"/>
            </a:ext>
          </a:extLst>
        </xdr:cNvPr>
        <xdr:cNvSpPr txBox="1">
          <a:spLocks noChangeArrowheads="1"/>
        </xdr:cNvSpPr>
      </xdr:nvSpPr>
      <xdr:spPr bwMode="auto">
        <a:xfrm>
          <a:off x="15722834" y="1322784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464" name="Text Box 192">
          <a:extLst>
            <a:ext uri="{FF2B5EF4-FFF2-40B4-BE49-F238E27FC236}">
              <a16:creationId xmlns:a16="http://schemas.microsoft.com/office/drawing/2014/main" id="{919CD86F-0983-4E5C-AA3B-E02F3D3FB9AE}"/>
            </a:ext>
          </a:extLst>
        </xdr:cNvPr>
        <xdr:cNvSpPr txBox="1">
          <a:spLocks noChangeArrowheads="1"/>
        </xdr:cNvSpPr>
      </xdr:nvSpPr>
      <xdr:spPr bwMode="auto">
        <a:xfrm>
          <a:off x="15722834" y="13876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465" name="Text Box 192">
          <a:extLst>
            <a:ext uri="{FF2B5EF4-FFF2-40B4-BE49-F238E27FC236}">
              <a16:creationId xmlns:a16="http://schemas.microsoft.com/office/drawing/2014/main" id="{7A1D6A8B-B549-4712-8E4E-0F76D7BAF827}"/>
            </a:ext>
          </a:extLst>
        </xdr:cNvPr>
        <xdr:cNvSpPr txBox="1">
          <a:spLocks noChangeArrowheads="1"/>
        </xdr:cNvSpPr>
      </xdr:nvSpPr>
      <xdr:spPr bwMode="auto">
        <a:xfrm>
          <a:off x="15722834" y="13876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466" name="Text Box 192">
          <a:extLst>
            <a:ext uri="{FF2B5EF4-FFF2-40B4-BE49-F238E27FC236}">
              <a16:creationId xmlns:a16="http://schemas.microsoft.com/office/drawing/2014/main" id="{7822D155-43C5-4F72-872B-09EFD0E193BE}"/>
            </a:ext>
          </a:extLst>
        </xdr:cNvPr>
        <xdr:cNvSpPr txBox="1">
          <a:spLocks noChangeArrowheads="1"/>
        </xdr:cNvSpPr>
      </xdr:nvSpPr>
      <xdr:spPr bwMode="auto">
        <a:xfrm>
          <a:off x="15722834" y="14364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467" name="Text Box 192">
          <a:extLst>
            <a:ext uri="{FF2B5EF4-FFF2-40B4-BE49-F238E27FC236}">
              <a16:creationId xmlns:a16="http://schemas.microsoft.com/office/drawing/2014/main" id="{EFEEDB2B-EB10-42E4-BE12-83E655AEF527}"/>
            </a:ext>
          </a:extLst>
        </xdr:cNvPr>
        <xdr:cNvSpPr txBox="1">
          <a:spLocks noChangeArrowheads="1"/>
        </xdr:cNvSpPr>
      </xdr:nvSpPr>
      <xdr:spPr bwMode="auto">
        <a:xfrm>
          <a:off x="15722834" y="14364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468" name="Text Box 192">
          <a:extLst>
            <a:ext uri="{FF2B5EF4-FFF2-40B4-BE49-F238E27FC236}">
              <a16:creationId xmlns:a16="http://schemas.microsoft.com/office/drawing/2014/main" id="{0610FCDF-A60E-41F5-9096-710FDFC26DB5}"/>
            </a:ext>
          </a:extLst>
        </xdr:cNvPr>
        <xdr:cNvSpPr txBox="1">
          <a:spLocks noChangeArrowheads="1"/>
        </xdr:cNvSpPr>
      </xdr:nvSpPr>
      <xdr:spPr bwMode="auto">
        <a:xfrm>
          <a:off x="15722834" y="14525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73</xdr:row>
      <xdr:rowOff>0</xdr:rowOff>
    </xdr:from>
    <xdr:ext cx="10372" cy="228955"/>
    <xdr:sp macro="" textlink="">
      <xdr:nvSpPr>
        <xdr:cNvPr id="469" name="Text Box 192">
          <a:extLst>
            <a:ext uri="{FF2B5EF4-FFF2-40B4-BE49-F238E27FC236}">
              <a16:creationId xmlns:a16="http://schemas.microsoft.com/office/drawing/2014/main" id="{3079EC1E-BF0B-44B7-A92F-5C2821656C32}"/>
            </a:ext>
          </a:extLst>
        </xdr:cNvPr>
        <xdr:cNvSpPr txBox="1">
          <a:spLocks noChangeArrowheads="1"/>
        </xdr:cNvSpPr>
      </xdr:nvSpPr>
      <xdr:spPr bwMode="auto">
        <a:xfrm>
          <a:off x="15722834" y="148947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470" name="Text Box 192">
          <a:extLst>
            <a:ext uri="{FF2B5EF4-FFF2-40B4-BE49-F238E27FC236}">
              <a16:creationId xmlns:a16="http://schemas.microsoft.com/office/drawing/2014/main" id="{AE03206A-3CFD-4FB7-9B19-3A141DC97B18}"/>
            </a:ext>
          </a:extLst>
        </xdr:cNvPr>
        <xdr:cNvSpPr txBox="1">
          <a:spLocks noChangeArrowheads="1"/>
        </xdr:cNvSpPr>
      </xdr:nvSpPr>
      <xdr:spPr bwMode="auto">
        <a:xfrm>
          <a:off x="15722834" y="150614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76</xdr:row>
      <xdr:rowOff>0</xdr:rowOff>
    </xdr:from>
    <xdr:ext cx="10372" cy="228955"/>
    <xdr:sp macro="" textlink="">
      <xdr:nvSpPr>
        <xdr:cNvPr id="471" name="Text Box 192">
          <a:extLst>
            <a:ext uri="{FF2B5EF4-FFF2-40B4-BE49-F238E27FC236}">
              <a16:creationId xmlns:a16="http://schemas.microsoft.com/office/drawing/2014/main" id="{FCDCE884-0B6C-4C1D-95A8-0099714FC82D}"/>
            </a:ext>
          </a:extLst>
        </xdr:cNvPr>
        <xdr:cNvSpPr txBox="1">
          <a:spLocks noChangeArrowheads="1"/>
        </xdr:cNvSpPr>
      </xdr:nvSpPr>
      <xdr:spPr bwMode="auto">
        <a:xfrm>
          <a:off x="15722834" y="15591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472" name="Text Box 192">
          <a:extLst>
            <a:ext uri="{FF2B5EF4-FFF2-40B4-BE49-F238E27FC236}">
              <a16:creationId xmlns:a16="http://schemas.microsoft.com/office/drawing/2014/main" id="{292C0642-A26C-4EDB-AB4A-F406D7E2B0C2}"/>
            </a:ext>
          </a:extLst>
        </xdr:cNvPr>
        <xdr:cNvSpPr txBox="1">
          <a:spLocks noChangeArrowheads="1"/>
        </xdr:cNvSpPr>
      </xdr:nvSpPr>
      <xdr:spPr bwMode="auto">
        <a:xfrm>
          <a:off x="15722834" y="15757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473" name="Text Box 192">
          <a:extLst>
            <a:ext uri="{FF2B5EF4-FFF2-40B4-BE49-F238E27FC236}">
              <a16:creationId xmlns:a16="http://schemas.microsoft.com/office/drawing/2014/main" id="{B4B9B8BB-B0A9-457B-AE53-D13D9710549D}"/>
            </a:ext>
          </a:extLst>
        </xdr:cNvPr>
        <xdr:cNvSpPr txBox="1">
          <a:spLocks noChangeArrowheads="1"/>
        </xdr:cNvSpPr>
      </xdr:nvSpPr>
      <xdr:spPr bwMode="auto">
        <a:xfrm>
          <a:off x="15722834" y="15757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474" name="Text Box 192">
          <a:extLst>
            <a:ext uri="{FF2B5EF4-FFF2-40B4-BE49-F238E27FC236}">
              <a16:creationId xmlns:a16="http://schemas.microsoft.com/office/drawing/2014/main" id="{96FFAA3C-C861-4947-9CEF-5397F79ABDEE}"/>
            </a:ext>
          </a:extLst>
        </xdr:cNvPr>
        <xdr:cNvSpPr txBox="1">
          <a:spLocks noChangeArrowheads="1"/>
        </xdr:cNvSpPr>
      </xdr:nvSpPr>
      <xdr:spPr bwMode="auto">
        <a:xfrm>
          <a:off x="15722834" y="1640681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80</xdr:row>
      <xdr:rowOff>0</xdr:rowOff>
    </xdr:from>
    <xdr:ext cx="10372" cy="228955"/>
    <xdr:sp macro="" textlink="">
      <xdr:nvSpPr>
        <xdr:cNvPr id="475" name="Text Box 192">
          <a:extLst>
            <a:ext uri="{FF2B5EF4-FFF2-40B4-BE49-F238E27FC236}">
              <a16:creationId xmlns:a16="http://schemas.microsoft.com/office/drawing/2014/main" id="{ABDDC449-F882-4EB0-A1E3-AF6397661000}"/>
            </a:ext>
          </a:extLst>
        </xdr:cNvPr>
        <xdr:cNvSpPr txBox="1">
          <a:spLocks noChangeArrowheads="1"/>
        </xdr:cNvSpPr>
      </xdr:nvSpPr>
      <xdr:spPr bwMode="auto">
        <a:xfrm>
          <a:off x="15722834" y="172640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476" name="Text Box 192">
          <a:extLst>
            <a:ext uri="{FF2B5EF4-FFF2-40B4-BE49-F238E27FC236}">
              <a16:creationId xmlns:a16="http://schemas.microsoft.com/office/drawing/2014/main" id="{B5E125A7-65FE-4738-BA2B-8D2F9527D0B2}"/>
            </a:ext>
          </a:extLst>
        </xdr:cNvPr>
        <xdr:cNvSpPr txBox="1">
          <a:spLocks noChangeArrowheads="1"/>
        </xdr:cNvSpPr>
      </xdr:nvSpPr>
      <xdr:spPr bwMode="auto">
        <a:xfrm>
          <a:off x="15722834" y="1743075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477" name="Text Box 192">
          <a:extLst>
            <a:ext uri="{FF2B5EF4-FFF2-40B4-BE49-F238E27FC236}">
              <a16:creationId xmlns:a16="http://schemas.microsoft.com/office/drawing/2014/main" id="{17EA69B2-B708-4133-96DD-83810A0A9EFD}"/>
            </a:ext>
          </a:extLst>
        </xdr:cNvPr>
        <xdr:cNvSpPr txBox="1">
          <a:spLocks noChangeArrowheads="1"/>
        </xdr:cNvSpPr>
      </xdr:nvSpPr>
      <xdr:spPr bwMode="auto">
        <a:xfrm>
          <a:off x="15722834" y="1743075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478" name="Text Box 192">
          <a:extLst>
            <a:ext uri="{FF2B5EF4-FFF2-40B4-BE49-F238E27FC236}">
              <a16:creationId xmlns:a16="http://schemas.microsoft.com/office/drawing/2014/main" id="{552C21B7-0517-403F-A31B-E8A79F95B768}"/>
            </a:ext>
          </a:extLst>
        </xdr:cNvPr>
        <xdr:cNvSpPr txBox="1">
          <a:spLocks noChangeArrowheads="1"/>
        </xdr:cNvSpPr>
      </xdr:nvSpPr>
      <xdr:spPr bwMode="auto">
        <a:xfrm>
          <a:off x="15722834"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85</xdr:row>
      <xdr:rowOff>0</xdr:rowOff>
    </xdr:from>
    <xdr:ext cx="10372" cy="228955"/>
    <xdr:sp macro="" textlink="">
      <xdr:nvSpPr>
        <xdr:cNvPr id="479" name="Text Box 192">
          <a:extLst>
            <a:ext uri="{FF2B5EF4-FFF2-40B4-BE49-F238E27FC236}">
              <a16:creationId xmlns:a16="http://schemas.microsoft.com/office/drawing/2014/main" id="{EAEB6845-F0CE-44FC-A241-B657A2577A1C}"/>
            </a:ext>
          </a:extLst>
        </xdr:cNvPr>
        <xdr:cNvSpPr txBox="1">
          <a:spLocks noChangeArrowheads="1"/>
        </xdr:cNvSpPr>
      </xdr:nvSpPr>
      <xdr:spPr bwMode="auto">
        <a:xfrm>
          <a:off x="15722834" y="191035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480" name="Text Box 192">
          <a:extLst>
            <a:ext uri="{FF2B5EF4-FFF2-40B4-BE49-F238E27FC236}">
              <a16:creationId xmlns:a16="http://schemas.microsoft.com/office/drawing/2014/main" id="{B8EAEC75-8067-4B99-A983-CA094280F2AC}"/>
            </a:ext>
          </a:extLst>
        </xdr:cNvPr>
        <xdr:cNvSpPr txBox="1">
          <a:spLocks noChangeArrowheads="1"/>
        </xdr:cNvSpPr>
      </xdr:nvSpPr>
      <xdr:spPr bwMode="auto">
        <a:xfrm>
          <a:off x="15722834" y="192702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481" name="Text Box 192">
          <a:extLst>
            <a:ext uri="{FF2B5EF4-FFF2-40B4-BE49-F238E27FC236}">
              <a16:creationId xmlns:a16="http://schemas.microsoft.com/office/drawing/2014/main" id="{C638B7B1-E5A3-4DCC-8EFE-70CCED28C878}"/>
            </a:ext>
          </a:extLst>
        </xdr:cNvPr>
        <xdr:cNvSpPr txBox="1">
          <a:spLocks noChangeArrowheads="1"/>
        </xdr:cNvSpPr>
      </xdr:nvSpPr>
      <xdr:spPr bwMode="auto">
        <a:xfrm>
          <a:off x="15722834" y="192702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482" name="Text Box 192">
          <a:extLst>
            <a:ext uri="{FF2B5EF4-FFF2-40B4-BE49-F238E27FC236}">
              <a16:creationId xmlns:a16="http://schemas.microsoft.com/office/drawing/2014/main" id="{88FE10BD-9C66-4A2F-BC89-7B652F8BB3BF}"/>
            </a:ext>
          </a:extLst>
        </xdr:cNvPr>
        <xdr:cNvSpPr txBox="1">
          <a:spLocks noChangeArrowheads="1"/>
        </xdr:cNvSpPr>
      </xdr:nvSpPr>
      <xdr:spPr bwMode="auto">
        <a:xfrm>
          <a:off x="15722834" y="199191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483" name="Text Box 192">
          <a:extLst>
            <a:ext uri="{FF2B5EF4-FFF2-40B4-BE49-F238E27FC236}">
              <a16:creationId xmlns:a16="http://schemas.microsoft.com/office/drawing/2014/main" id="{64A0B4AC-9456-457D-AF3D-7ECA3089FAFD}"/>
            </a:ext>
          </a:extLst>
        </xdr:cNvPr>
        <xdr:cNvSpPr txBox="1">
          <a:spLocks noChangeArrowheads="1"/>
        </xdr:cNvSpPr>
      </xdr:nvSpPr>
      <xdr:spPr bwMode="auto">
        <a:xfrm>
          <a:off x="15722834" y="199191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484" name="Text Box 192">
          <a:extLst>
            <a:ext uri="{FF2B5EF4-FFF2-40B4-BE49-F238E27FC236}">
              <a16:creationId xmlns:a16="http://schemas.microsoft.com/office/drawing/2014/main" id="{65A04FC7-50FB-4451-A906-24018D407F9E}"/>
            </a:ext>
          </a:extLst>
        </xdr:cNvPr>
        <xdr:cNvSpPr txBox="1">
          <a:spLocks noChangeArrowheads="1"/>
        </xdr:cNvSpPr>
      </xdr:nvSpPr>
      <xdr:spPr bwMode="auto">
        <a:xfrm>
          <a:off x="15722834" y="20240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485" name="Text Box 192">
          <a:extLst>
            <a:ext uri="{FF2B5EF4-FFF2-40B4-BE49-F238E27FC236}">
              <a16:creationId xmlns:a16="http://schemas.microsoft.com/office/drawing/2014/main" id="{6BBACF47-9A99-44C1-81AC-BC20493F4A7D}"/>
            </a:ext>
          </a:extLst>
        </xdr:cNvPr>
        <xdr:cNvSpPr txBox="1">
          <a:spLocks noChangeArrowheads="1"/>
        </xdr:cNvSpPr>
      </xdr:nvSpPr>
      <xdr:spPr bwMode="auto">
        <a:xfrm>
          <a:off x="15722834" y="20240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486" name="Text Box 192">
          <a:extLst>
            <a:ext uri="{FF2B5EF4-FFF2-40B4-BE49-F238E27FC236}">
              <a16:creationId xmlns:a16="http://schemas.microsoft.com/office/drawing/2014/main" id="{6AA72FA5-151B-41FC-9D66-EA7B6B9D44CE}"/>
            </a:ext>
          </a:extLst>
        </xdr:cNvPr>
        <xdr:cNvSpPr txBox="1">
          <a:spLocks noChangeArrowheads="1"/>
        </xdr:cNvSpPr>
      </xdr:nvSpPr>
      <xdr:spPr bwMode="auto">
        <a:xfrm>
          <a:off x="15722834" y="20401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487" name="Text Box 192">
          <a:extLst>
            <a:ext uri="{FF2B5EF4-FFF2-40B4-BE49-F238E27FC236}">
              <a16:creationId xmlns:a16="http://schemas.microsoft.com/office/drawing/2014/main" id="{EE05F0A0-4834-478D-880F-E26E557DD063}"/>
            </a:ext>
          </a:extLst>
        </xdr:cNvPr>
        <xdr:cNvSpPr txBox="1">
          <a:spLocks noChangeArrowheads="1"/>
        </xdr:cNvSpPr>
      </xdr:nvSpPr>
      <xdr:spPr bwMode="auto">
        <a:xfrm>
          <a:off x="15722834" y="20401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488" name="Text Box 192">
          <a:extLst>
            <a:ext uri="{FF2B5EF4-FFF2-40B4-BE49-F238E27FC236}">
              <a16:creationId xmlns:a16="http://schemas.microsoft.com/office/drawing/2014/main" id="{7FFA1189-AF87-490E-94E7-B7237B1EDC6C}"/>
            </a:ext>
          </a:extLst>
        </xdr:cNvPr>
        <xdr:cNvSpPr txBox="1">
          <a:spLocks noChangeArrowheads="1"/>
        </xdr:cNvSpPr>
      </xdr:nvSpPr>
      <xdr:spPr bwMode="auto">
        <a:xfrm>
          <a:off x="15722834" y="20562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489" name="Text Box 192">
          <a:extLst>
            <a:ext uri="{FF2B5EF4-FFF2-40B4-BE49-F238E27FC236}">
              <a16:creationId xmlns:a16="http://schemas.microsoft.com/office/drawing/2014/main" id="{3F1A627C-F83E-4F5E-83E3-9F71FC04DC58}"/>
            </a:ext>
          </a:extLst>
        </xdr:cNvPr>
        <xdr:cNvSpPr txBox="1">
          <a:spLocks noChangeArrowheads="1"/>
        </xdr:cNvSpPr>
      </xdr:nvSpPr>
      <xdr:spPr bwMode="auto">
        <a:xfrm>
          <a:off x="15722834" y="20562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490" name="Text Box 192">
          <a:extLst>
            <a:ext uri="{FF2B5EF4-FFF2-40B4-BE49-F238E27FC236}">
              <a16:creationId xmlns:a16="http://schemas.microsoft.com/office/drawing/2014/main" id="{F52C3227-1970-4FA6-A67A-0935CD5C1578}"/>
            </a:ext>
          </a:extLst>
        </xdr:cNvPr>
        <xdr:cNvSpPr txBox="1">
          <a:spLocks noChangeArrowheads="1"/>
        </xdr:cNvSpPr>
      </xdr:nvSpPr>
      <xdr:spPr bwMode="auto">
        <a:xfrm>
          <a:off x="15722834" y="208835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491" name="Text Box 192">
          <a:extLst>
            <a:ext uri="{FF2B5EF4-FFF2-40B4-BE49-F238E27FC236}">
              <a16:creationId xmlns:a16="http://schemas.microsoft.com/office/drawing/2014/main" id="{ACAAADF4-B55E-4637-94C9-2857C20B3264}"/>
            </a:ext>
          </a:extLst>
        </xdr:cNvPr>
        <xdr:cNvSpPr txBox="1">
          <a:spLocks noChangeArrowheads="1"/>
        </xdr:cNvSpPr>
      </xdr:nvSpPr>
      <xdr:spPr bwMode="auto">
        <a:xfrm>
          <a:off x="15722834" y="208835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492" name="Text Box 192">
          <a:extLst>
            <a:ext uri="{FF2B5EF4-FFF2-40B4-BE49-F238E27FC236}">
              <a16:creationId xmlns:a16="http://schemas.microsoft.com/office/drawing/2014/main" id="{C4A729A4-1846-479A-986D-8939DC364D52}"/>
            </a:ext>
          </a:extLst>
        </xdr:cNvPr>
        <xdr:cNvSpPr txBox="1">
          <a:spLocks noChangeArrowheads="1"/>
        </xdr:cNvSpPr>
      </xdr:nvSpPr>
      <xdr:spPr bwMode="auto">
        <a:xfrm>
          <a:off x="15722834" y="210442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493" name="Text Box 192">
          <a:extLst>
            <a:ext uri="{FF2B5EF4-FFF2-40B4-BE49-F238E27FC236}">
              <a16:creationId xmlns:a16="http://schemas.microsoft.com/office/drawing/2014/main" id="{AE16B7B4-8A91-45C1-9759-D521FABD9C28}"/>
            </a:ext>
          </a:extLst>
        </xdr:cNvPr>
        <xdr:cNvSpPr txBox="1">
          <a:spLocks noChangeArrowheads="1"/>
        </xdr:cNvSpPr>
      </xdr:nvSpPr>
      <xdr:spPr bwMode="auto">
        <a:xfrm>
          <a:off x="15722834" y="210442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494" name="Text Box 192">
          <a:extLst>
            <a:ext uri="{FF2B5EF4-FFF2-40B4-BE49-F238E27FC236}">
              <a16:creationId xmlns:a16="http://schemas.microsoft.com/office/drawing/2014/main" id="{FA530DA3-28EC-4D20-8EC0-4282F8AD0941}"/>
            </a:ext>
          </a:extLst>
        </xdr:cNvPr>
        <xdr:cNvSpPr txBox="1">
          <a:spLocks noChangeArrowheads="1"/>
        </xdr:cNvSpPr>
      </xdr:nvSpPr>
      <xdr:spPr bwMode="auto">
        <a:xfrm>
          <a:off x="15722834" y="213657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495" name="Text Box 192">
          <a:extLst>
            <a:ext uri="{FF2B5EF4-FFF2-40B4-BE49-F238E27FC236}">
              <a16:creationId xmlns:a16="http://schemas.microsoft.com/office/drawing/2014/main" id="{AAA022AB-5734-45BE-B0C1-08721007DA2A}"/>
            </a:ext>
          </a:extLst>
        </xdr:cNvPr>
        <xdr:cNvSpPr txBox="1">
          <a:spLocks noChangeArrowheads="1"/>
        </xdr:cNvSpPr>
      </xdr:nvSpPr>
      <xdr:spPr bwMode="auto">
        <a:xfrm>
          <a:off x="15722834" y="213657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496" name="Text Box 192">
          <a:extLst>
            <a:ext uri="{FF2B5EF4-FFF2-40B4-BE49-F238E27FC236}">
              <a16:creationId xmlns:a16="http://schemas.microsoft.com/office/drawing/2014/main" id="{F7CC9701-0F49-49F5-ACC6-FE986A4D9931}"/>
            </a:ext>
          </a:extLst>
        </xdr:cNvPr>
        <xdr:cNvSpPr txBox="1">
          <a:spLocks noChangeArrowheads="1"/>
        </xdr:cNvSpPr>
      </xdr:nvSpPr>
      <xdr:spPr bwMode="auto">
        <a:xfrm>
          <a:off x="15722834" y="21687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497" name="Text Box 192">
          <a:extLst>
            <a:ext uri="{FF2B5EF4-FFF2-40B4-BE49-F238E27FC236}">
              <a16:creationId xmlns:a16="http://schemas.microsoft.com/office/drawing/2014/main" id="{55557911-3D3C-4B49-A0CA-9306D6AF2845}"/>
            </a:ext>
          </a:extLst>
        </xdr:cNvPr>
        <xdr:cNvSpPr txBox="1">
          <a:spLocks noChangeArrowheads="1"/>
        </xdr:cNvSpPr>
      </xdr:nvSpPr>
      <xdr:spPr bwMode="auto">
        <a:xfrm>
          <a:off x="15722834" y="21687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498" name="Text Box 192">
          <a:extLst>
            <a:ext uri="{FF2B5EF4-FFF2-40B4-BE49-F238E27FC236}">
              <a16:creationId xmlns:a16="http://schemas.microsoft.com/office/drawing/2014/main" id="{DB3CFFF5-45E8-41BD-A6B2-3BA189663265}"/>
            </a:ext>
          </a:extLst>
        </xdr:cNvPr>
        <xdr:cNvSpPr txBox="1">
          <a:spLocks noChangeArrowheads="1"/>
        </xdr:cNvSpPr>
      </xdr:nvSpPr>
      <xdr:spPr bwMode="auto">
        <a:xfrm>
          <a:off x="15722834" y="220087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499" name="Text Box 192">
          <a:extLst>
            <a:ext uri="{FF2B5EF4-FFF2-40B4-BE49-F238E27FC236}">
              <a16:creationId xmlns:a16="http://schemas.microsoft.com/office/drawing/2014/main" id="{DF1F0137-1BB4-4F72-9444-DB8D16C70261}"/>
            </a:ext>
          </a:extLst>
        </xdr:cNvPr>
        <xdr:cNvSpPr txBox="1">
          <a:spLocks noChangeArrowheads="1"/>
        </xdr:cNvSpPr>
      </xdr:nvSpPr>
      <xdr:spPr bwMode="auto">
        <a:xfrm>
          <a:off x="15722834" y="220087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500" name="Text Box 192">
          <a:extLst>
            <a:ext uri="{FF2B5EF4-FFF2-40B4-BE49-F238E27FC236}">
              <a16:creationId xmlns:a16="http://schemas.microsoft.com/office/drawing/2014/main" id="{6342699D-1A08-4072-A074-8D84F3EC6A21}"/>
            </a:ext>
          </a:extLst>
        </xdr:cNvPr>
        <xdr:cNvSpPr txBox="1">
          <a:spLocks noChangeArrowheads="1"/>
        </xdr:cNvSpPr>
      </xdr:nvSpPr>
      <xdr:spPr bwMode="auto">
        <a:xfrm>
          <a:off x="15722834" y="2233017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501" name="Text Box 192">
          <a:extLst>
            <a:ext uri="{FF2B5EF4-FFF2-40B4-BE49-F238E27FC236}">
              <a16:creationId xmlns:a16="http://schemas.microsoft.com/office/drawing/2014/main" id="{D06AD39E-39BE-40AC-8D27-79871FED4CDD}"/>
            </a:ext>
          </a:extLst>
        </xdr:cNvPr>
        <xdr:cNvSpPr txBox="1">
          <a:spLocks noChangeArrowheads="1"/>
        </xdr:cNvSpPr>
      </xdr:nvSpPr>
      <xdr:spPr bwMode="auto">
        <a:xfrm>
          <a:off x="15722834" y="2233017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502" name="Text Box 192">
          <a:extLst>
            <a:ext uri="{FF2B5EF4-FFF2-40B4-BE49-F238E27FC236}">
              <a16:creationId xmlns:a16="http://schemas.microsoft.com/office/drawing/2014/main" id="{86B79FDE-A951-4694-88B1-F9904A19AD12}"/>
            </a:ext>
          </a:extLst>
        </xdr:cNvPr>
        <xdr:cNvSpPr txBox="1">
          <a:spLocks noChangeArrowheads="1"/>
        </xdr:cNvSpPr>
      </xdr:nvSpPr>
      <xdr:spPr bwMode="auto">
        <a:xfrm>
          <a:off x="15722834" y="22651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99</xdr:row>
      <xdr:rowOff>0</xdr:rowOff>
    </xdr:from>
    <xdr:ext cx="10372" cy="228955"/>
    <xdr:sp macro="" textlink="">
      <xdr:nvSpPr>
        <xdr:cNvPr id="503" name="Text Box 192">
          <a:extLst>
            <a:ext uri="{FF2B5EF4-FFF2-40B4-BE49-F238E27FC236}">
              <a16:creationId xmlns:a16="http://schemas.microsoft.com/office/drawing/2014/main" id="{3BD3B2F4-3B03-437D-BA93-3CAF35610C34}"/>
            </a:ext>
          </a:extLst>
        </xdr:cNvPr>
        <xdr:cNvSpPr txBox="1">
          <a:spLocks noChangeArrowheads="1"/>
        </xdr:cNvSpPr>
      </xdr:nvSpPr>
      <xdr:spPr bwMode="auto">
        <a:xfrm>
          <a:off x="15722834" y="23020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504" name="Text Box 192">
          <a:extLst>
            <a:ext uri="{FF2B5EF4-FFF2-40B4-BE49-F238E27FC236}">
              <a16:creationId xmlns:a16="http://schemas.microsoft.com/office/drawing/2014/main" id="{F303CB4B-A937-4704-A81C-07452AAD4CF9}"/>
            </a:ext>
          </a:extLst>
        </xdr:cNvPr>
        <xdr:cNvSpPr txBox="1">
          <a:spLocks noChangeArrowheads="1"/>
        </xdr:cNvSpPr>
      </xdr:nvSpPr>
      <xdr:spPr bwMode="auto">
        <a:xfrm>
          <a:off x="15722834" y="231874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505" name="Text Box 192">
          <a:extLst>
            <a:ext uri="{FF2B5EF4-FFF2-40B4-BE49-F238E27FC236}">
              <a16:creationId xmlns:a16="http://schemas.microsoft.com/office/drawing/2014/main" id="{A22659C1-62F5-4ED2-8ADB-B936253A39DF}"/>
            </a:ext>
          </a:extLst>
        </xdr:cNvPr>
        <xdr:cNvSpPr txBox="1">
          <a:spLocks noChangeArrowheads="1"/>
        </xdr:cNvSpPr>
      </xdr:nvSpPr>
      <xdr:spPr bwMode="auto">
        <a:xfrm>
          <a:off x="15722834" y="231874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506" name="Text Box 192">
          <a:extLst>
            <a:ext uri="{FF2B5EF4-FFF2-40B4-BE49-F238E27FC236}">
              <a16:creationId xmlns:a16="http://schemas.microsoft.com/office/drawing/2014/main" id="{C100DA33-52EF-4936-A3C8-D32AF0C08AC2}"/>
            </a:ext>
          </a:extLst>
        </xdr:cNvPr>
        <xdr:cNvSpPr txBox="1">
          <a:spLocks noChangeArrowheads="1"/>
        </xdr:cNvSpPr>
      </xdr:nvSpPr>
      <xdr:spPr bwMode="auto">
        <a:xfrm>
          <a:off x="15722834" y="2383631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104</xdr:row>
      <xdr:rowOff>0</xdr:rowOff>
    </xdr:from>
    <xdr:ext cx="10372" cy="228955"/>
    <xdr:sp macro="" textlink="">
      <xdr:nvSpPr>
        <xdr:cNvPr id="507" name="Text Box 192">
          <a:extLst>
            <a:ext uri="{FF2B5EF4-FFF2-40B4-BE49-F238E27FC236}">
              <a16:creationId xmlns:a16="http://schemas.microsoft.com/office/drawing/2014/main" id="{0FE9515C-7104-4CE1-82A2-10E75F0C811D}"/>
            </a:ext>
          </a:extLst>
        </xdr:cNvPr>
        <xdr:cNvSpPr txBox="1">
          <a:spLocks noChangeArrowheads="1"/>
        </xdr:cNvSpPr>
      </xdr:nvSpPr>
      <xdr:spPr bwMode="auto">
        <a:xfrm>
          <a:off x="15722834" y="2486025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508" name="Text Box 192">
          <a:extLst>
            <a:ext uri="{FF2B5EF4-FFF2-40B4-BE49-F238E27FC236}">
              <a16:creationId xmlns:a16="http://schemas.microsoft.com/office/drawing/2014/main" id="{7758A7E6-7764-4081-BDEE-CF6CCB883F5A}"/>
            </a:ext>
          </a:extLst>
        </xdr:cNvPr>
        <xdr:cNvSpPr txBox="1">
          <a:spLocks noChangeArrowheads="1"/>
        </xdr:cNvSpPr>
      </xdr:nvSpPr>
      <xdr:spPr bwMode="auto">
        <a:xfrm>
          <a:off x="15722834" y="250269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509" name="Text Box 192">
          <a:extLst>
            <a:ext uri="{FF2B5EF4-FFF2-40B4-BE49-F238E27FC236}">
              <a16:creationId xmlns:a16="http://schemas.microsoft.com/office/drawing/2014/main" id="{DAAA0127-BF5E-4B55-A2D3-58C94A444BF5}"/>
            </a:ext>
          </a:extLst>
        </xdr:cNvPr>
        <xdr:cNvSpPr txBox="1">
          <a:spLocks noChangeArrowheads="1"/>
        </xdr:cNvSpPr>
      </xdr:nvSpPr>
      <xdr:spPr bwMode="auto">
        <a:xfrm>
          <a:off x="15722834" y="250269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510" name="Text Box 192">
          <a:extLst>
            <a:ext uri="{FF2B5EF4-FFF2-40B4-BE49-F238E27FC236}">
              <a16:creationId xmlns:a16="http://schemas.microsoft.com/office/drawing/2014/main" id="{B05FC893-5BE8-4FFE-93E7-DCBE5848D943}"/>
            </a:ext>
          </a:extLst>
        </xdr:cNvPr>
        <xdr:cNvSpPr txBox="1">
          <a:spLocks noChangeArrowheads="1"/>
        </xdr:cNvSpPr>
      </xdr:nvSpPr>
      <xdr:spPr bwMode="auto">
        <a:xfrm>
          <a:off x="15722834" y="25515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511" name="Text Box 192">
          <a:extLst>
            <a:ext uri="{FF2B5EF4-FFF2-40B4-BE49-F238E27FC236}">
              <a16:creationId xmlns:a16="http://schemas.microsoft.com/office/drawing/2014/main" id="{3E6AD54C-B414-494D-AF78-37B88321FB23}"/>
            </a:ext>
          </a:extLst>
        </xdr:cNvPr>
        <xdr:cNvSpPr txBox="1">
          <a:spLocks noChangeArrowheads="1"/>
        </xdr:cNvSpPr>
      </xdr:nvSpPr>
      <xdr:spPr bwMode="auto">
        <a:xfrm>
          <a:off x="15722834" y="25515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512" name="Text Box 192">
          <a:extLst>
            <a:ext uri="{FF2B5EF4-FFF2-40B4-BE49-F238E27FC236}">
              <a16:creationId xmlns:a16="http://schemas.microsoft.com/office/drawing/2014/main" id="{7BA013E0-03B0-444A-B459-567B653DA956}"/>
            </a:ext>
          </a:extLst>
        </xdr:cNvPr>
        <xdr:cNvSpPr txBox="1">
          <a:spLocks noChangeArrowheads="1"/>
        </xdr:cNvSpPr>
      </xdr:nvSpPr>
      <xdr:spPr bwMode="auto">
        <a:xfrm>
          <a:off x="15722834" y="258365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109</xdr:row>
      <xdr:rowOff>0</xdr:rowOff>
    </xdr:from>
    <xdr:ext cx="10372" cy="228955"/>
    <xdr:sp macro="" textlink="">
      <xdr:nvSpPr>
        <xdr:cNvPr id="513" name="Text Box 192">
          <a:extLst>
            <a:ext uri="{FF2B5EF4-FFF2-40B4-BE49-F238E27FC236}">
              <a16:creationId xmlns:a16="http://schemas.microsoft.com/office/drawing/2014/main" id="{24511D67-4F6F-4807-A071-1286856B448C}"/>
            </a:ext>
          </a:extLst>
        </xdr:cNvPr>
        <xdr:cNvSpPr txBox="1">
          <a:spLocks noChangeArrowheads="1"/>
        </xdr:cNvSpPr>
      </xdr:nvSpPr>
      <xdr:spPr bwMode="auto">
        <a:xfrm>
          <a:off x="15722834" y="263663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514" name="Text Box 192">
          <a:extLst>
            <a:ext uri="{FF2B5EF4-FFF2-40B4-BE49-F238E27FC236}">
              <a16:creationId xmlns:a16="http://schemas.microsoft.com/office/drawing/2014/main" id="{ABEAE9FD-A552-412B-A209-DA5BEF99A4D5}"/>
            </a:ext>
          </a:extLst>
        </xdr:cNvPr>
        <xdr:cNvSpPr txBox="1">
          <a:spLocks noChangeArrowheads="1"/>
        </xdr:cNvSpPr>
      </xdr:nvSpPr>
      <xdr:spPr bwMode="auto">
        <a:xfrm>
          <a:off x="15722834" y="26533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515" name="Text Box 192">
          <a:extLst>
            <a:ext uri="{FF2B5EF4-FFF2-40B4-BE49-F238E27FC236}">
              <a16:creationId xmlns:a16="http://schemas.microsoft.com/office/drawing/2014/main" id="{33536B5E-2BA3-4C00-8024-C990B01CF18B}"/>
            </a:ext>
          </a:extLst>
        </xdr:cNvPr>
        <xdr:cNvSpPr txBox="1">
          <a:spLocks noChangeArrowheads="1"/>
        </xdr:cNvSpPr>
      </xdr:nvSpPr>
      <xdr:spPr bwMode="auto">
        <a:xfrm>
          <a:off x="15722834" y="26533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516" name="Text Box 192">
          <a:extLst>
            <a:ext uri="{FF2B5EF4-FFF2-40B4-BE49-F238E27FC236}">
              <a16:creationId xmlns:a16="http://schemas.microsoft.com/office/drawing/2014/main" id="{5741A925-1666-459F-9A21-14B8EEBE21F3}"/>
            </a:ext>
          </a:extLst>
        </xdr:cNvPr>
        <xdr:cNvSpPr txBox="1">
          <a:spLocks noChangeArrowheads="1"/>
        </xdr:cNvSpPr>
      </xdr:nvSpPr>
      <xdr:spPr bwMode="auto">
        <a:xfrm>
          <a:off x="15722834" y="26854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517" name="Text Box 192">
          <a:extLst>
            <a:ext uri="{FF2B5EF4-FFF2-40B4-BE49-F238E27FC236}">
              <a16:creationId xmlns:a16="http://schemas.microsoft.com/office/drawing/2014/main" id="{60768863-FF67-4214-A389-F66AA96FCDE3}"/>
            </a:ext>
          </a:extLst>
        </xdr:cNvPr>
        <xdr:cNvSpPr txBox="1">
          <a:spLocks noChangeArrowheads="1"/>
        </xdr:cNvSpPr>
      </xdr:nvSpPr>
      <xdr:spPr bwMode="auto">
        <a:xfrm>
          <a:off x="15722834" y="26854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518" name="Text Box 192">
          <a:extLst>
            <a:ext uri="{FF2B5EF4-FFF2-40B4-BE49-F238E27FC236}">
              <a16:creationId xmlns:a16="http://schemas.microsoft.com/office/drawing/2014/main" id="{6DECF661-C1D6-4E38-A114-0039F02816CE}"/>
            </a:ext>
          </a:extLst>
        </xdr:cNvPr>
        <xdr:cNvSpPr txBox="1">
          <a:spLocks noChangeArrowheads="1"/>
        </xdr:cNvSpPr>
      </xdr:nvSpPr>
      <xdr:spPr bwMode="auto">
        <a:xfrm>
          <a:off x="15722834" y="2701528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519" name="Text Box 192">
          <a:extLst>
            <a:ext uri="{FF2B5EF4-FFF2-40B4-BE49-F238E27FC236}">
              <a16:creationId xmlns:a16="http://schemas.microsoft.com/office/drawing/2014/main" id="{6308CBF1-FD3A-4D15-878F-B5CB0E179F26}"/>
            </a:ext>
          </a:extLst>
        </xdr:cNvPr>
        <xdr:cNvSpPr txBox="1">
          <a:spLocks noChangeArrowheads="1"/>
        </xdr:cNvSpPr>
      </xdr:nvSpPr>
      <xdr:spPr bwMode="auto">
        <a:xfrm>
          <a:off x="15722834" y="2701528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520" name="Text Box 192">
          <a:extLst>
            <a:ext uri="{FF2B5EF4-FFF2-40B4-BE49-F238E27FC236}">
              <a16:creationId xmlns:a16="http://schemas.microsoft.com/office/drawing/2014/main" id="{C0B24E5E-70EA-435E-952C-A7F5164168EF}"/>
            </a:ext>
          </a:extLst>
        </xdr:cNvPr>
        <xdr:cNvSpPr txBox="1">
          <a:spLocks noChangeArrowheads="1"/>
        </xdr:cNvSpPr>
      </xdr:nvSpPr>
      <xdr:spPr bwMode="auto">
        <a:xfrm>
          <a:off x="15722834" y="2733675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115</xdr:row>
      <xdr:rowOff>0</xdr:rowOff>
    </xdr:from>
    <xdr:ext cx="10372" cy="228955"/>
    <xdr:sp macro="" textlink="">
      <xdr:nvSpPr>
        <xdr:cNvPr id="521" name="Text Box 192">
          <a:extLst>
            <a:ext uri="{FF2B5EF4-FFF2-40B4-BE49-F238E27FC236}">
              <a16:creationId xmlns:a16="http://schemas.microsoft.com/office/drawing/2014/main" id="{A0CBE36C-9EBD-4BEC-895D-DAF68B39139B}"/>
            </a:ext>
          </a:extLst>
        </xdr:cNvPr>
        <xdr:cNvSpPr txBox="1">
          <a:spLocks noChangeArrowheads="1"/>
        </xdr:cNvSpPr>
      </xdr:nvSpPr>
      <xdr:spPr bwMode="auto">
        <a:xfrm>
          <a:off x="15722834" y="278665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522" name="Text Box 192">
          <a:extLst>
            <a:ext uri="{FF2B5EF4-FFF2-40B4-BE49-F238E27FC236}">
              <a16:creationId xmlns:a16="http://schemas.microsoft.com/office/drawing/2014/main" id="{A9D5A882-7C27-4DE8-8D87-87063119ED9C}"/>
            </a:ext>
          </a:extLst>
        </xdr:cNvPr>
        <xdr:cNvSpPr txBox="1">
          <a:spLocks noChangeArrowheads="1"/>
        </xdr:cNvSpPr>
      </xdr:nvSpPr>
      <xdr:spPr bwMode="auto">
        <a:xfrm>
          <a:off x="15722834" y="280332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523" name="Text Box 192">
          <a:extLst>
            <a:ext uri="{FF2B5EF4-FFF2-40B4-BE49-F238E27FC236}">
              <a16:creationId xmlns:a16="http://schemas.microsoft.com/office/drawing/2014/main" id="{E2CFC4CB-C445-408A-9139-744E94BBF120}"/>
            </a:ext>
          </a:extLst>
        </xdr:cNvPr>
        <xdr:cNvSpPr txBox="1">
          <a:spLocks noChangeArrowheads="1"/>
        </xdr:cNvSpPr>
      </xdr:nvSpPr>
      <xdr:spPr bwMode="auto">
        <a:xfrm>
          <a:off x="15722834" y="280332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524" name="Text Box 192">
          <a:extLst>
            <a:ext uri="{FF2B5EF4-FFF2-40B4-BE49-F238E27FC236}">
              <a16:creationId xmlns:a16="http://schemas.microsoft.com/office/drawing/2014/main" id="{3FFC7D2B-86BA-4FDB-B4EF-0AFD22588247}"/>
            </a:ext>
          </a:extLst>
        </xdr:cNvPr>
        <xdr:cNvSpPr txBox="1">
          <a:spLocks noChangeArrowheads="1"/>
        </xdr:cNvSpPr>
      </xdr:nvSpPr>
      <xdr:spPr bwMode="auto">
        <a:xfrm>
          <a:off x="15722834" y="285214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525" name="Text Box 192">
          <a:extLst>
            <a:ext uri="{FF2B5EF4-FFF2-40B4-BE49-F238E27FC236}">
              <a16:creationId xmlns:a16="http://schemas.microsoft.com/office/drawing/2014/main" id="{2819D534-845E-456F-BD12-E84FFA83D274}"/>
            </a:ext>
          </a:extLst>
        </xdr:cNvPr>
        <xdr:cNvSpPr txBox="1">
          <a:spLocks noChangeArrowheads="1"/>
        </xdr:cNvSpPr>
      </xdr:nvSpPr>
      <xdr:spPr bwMode="auto">
        <a:xfrm>
          <a:off x="15722834" y="285214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526" name="Text Box 192">
          <a:extLst>
            <a:ext uri="{FF2B5EF4-FFF2-40B4-BE49-F238E27FC236}">
              <a16:creationId xmlns:a16="http://schemas.microsoft.com/office/drawing/2014/main" id="{79712460-7D74-492F-B727-7A890A36E117}"/>
            </a:ext>
          </a:extLst>
        </xdr:cNvPr>
        <xdr:cNvSpPr txBox="1">
          <a:spLocks noChangeArrowheads="1"/>
        </xdr:cNvSpPr>
      </xdr:nvSpPr>
      <xdr:spPr bwMode="auto">
        <a:xfrm>
          <a:off x="15722834" y="290095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527" name="Text Box 192">
          <a:extLst>
            <a:ext uri="{FF2B5EF4-FFF2-40B4-BE49-F238E27FC236}">
              <a16:creationId xmlns:a16="http://schemas.microsoft.com/office/drawing/2014/main" id="{784BC391-71B8-4D90-9E4C-BF78FD73F4DF}"/>
            </a:ext>
          </a:extLst>
        </xdr:cNvPr>
        <xdr:cNvSpPr txBox="1">
          <a:spLocks noChangeArrowheads="1"/>
        </xdr:cNvSpPr>
      </xdr:nvSpPr>
      <xdr:spPr bwMode="auto">
        <a:xfrm>
          <a:off x="15722834" y="290095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528" name="Text Box 192">
          <a:extLst>
            <a:ext uri="{FF2B5EF4-FFF2-40B4-BE49-F238E27FC236}">
              <a16:creationId xmlns:a16="http://schemas.microsoft.com/office/drawing/2014/main" id="{13609755-5F6B-4FB2-AED7-44210A0827DC}"/>
            </a:ext>
          </a:extLst>
        </xdr:cNvPr>
        <xdr:cNvSpPr txBox="1">
          <a:spLocks noChangeArrowheads="1"/>
        </xdr:cNvSpPr>
      </xdr:nvSpPr>
      <xdr:spPr bwMode="auto">
        <a:xfrm>
          <a:off x="15722834"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121</xdr:row>
      <xdr:rowOff>0</xdr:rowOff>
    </xdr:from>
    <xdr:ext cx="10372" cy="228955"/>
    <xdr:sp macro="" textlink="">
      <xdr:nvSpPr>
        <xdr:cNvPr id="529" name="Text Box 192">
          <a:extLst>
            <a:ext uri="{FF2B5EF4-FFF2-40B4-BE49-F238E27FC236}">
              <a16:creationId xmlns:a16="http://schemas.microsoft.com/office/drawing/2014/main" id="{FEC350C0-99B4-4C20-B9DB-23C22B7FDA65}"/>
            </a:ext>
          </a:extLst>
        </xdr:cNvPr>
        <xdr:cNvSpPr txBox="1">
          <a:spLocks noChangeArrowheads="1"/>
        </xdr:cNvSpPr>
      </xdr:nvSpPr>
      <xdr:spPr bwMode="auto">
        <a:xfrm>
          <a:off x="15722834" y="300275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530" name="Text Box 192">
          <a:extLst>
            <a:ext uri="{FF2B5EF4-FFF2-40B4-BE49-F238E27FC236}">
              <a16:creationId xmlns:a16="http://schemas.microsoft.com/office/drawing/2014/main" id="{65F6D48A-95BD-4B8A-ACA7-44A8B9013F36}"/>
            </a:ext>
          </a:extLst>
        </xdr:cNvPr>
        <xdr:cNvSpPr txBox="1">
          <a:spLocks noChangeArrowheads="1"/>
        </xdr:cNvSpPr>
      </xdr:nvSpPr>
      <xdr:spPr bwMode="auto">
        <a:xfrm>
          <a:off x="15722834" y="3019425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531" name="Text Box 192">
          <a:extLst>
            <a:ext uri="{FF2B5EF4-FFF2-40B4-BE49-F238E27FC236}">
              <a16:creationId xmlns:a16="http://schemas.microsoft.com/office/drawing/2014/main" id="{E1B66A6D-0008-4400-9C45-F454E0F5C494}"/>
            </a:ext>
          </a:extLst>
        </xdr:cNvPr>
        <xdr:cNvSpPr txBox="1">
          <a:spLocks noChangeArrowheads="1"/>
        </xdr:cNvSpPr>
      </xdr:nvSpPr>
      <xdr:spPr bwMode="auto">
        <a:xfrm>
          <a:off x="15722834" y="3019425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532" name="Text Box 192">
          <a:extLst>
            <a:ext uri="{FF2B5EF4-FFF2-40B4-BE49-F238E27FC236}">
              <a16:creationId xmlns:a16="http://schemas.microsoft.com/office/drawing/2014/main" id="{FF669A47-324B-4AF7-A0DA-F9238C558821}"/>
            </a:ext>
          </a:extLst>
        </xdr:cNvPr>
        <xdr:cNvSpPr txBox="1">
          <a:spLocks noChangeArrowheads="1"/>
        </xdr:cNvSpPr>
      </xdr:nvSpPr>
      <xdr:spPr bwMode="auto">
        <a:xfrm>
          <a:off x="15722834" y="305157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533" name="Text Box 192">
          <a:extLst>
            <a:ext uri="{FF2B5EF4-FFF2-40B4-BE49-F238E27FC236}">
              <a16:creationId xmlns:a16="http://schemas.microsoft.com/office/drawing/2014/main" id="{16B4964E-AE5D-4AA7-8866-99F07F06EAC0}"/>
            </a:ext>
          </a:extLst>
        </xdr:cNvPr>
        <xdr:cNvSpPr txBox="1">
          <a:spLocks noChangeArrowheads="1"/>
        </xdr:cNvSpPr>
      </xdr:nvSpPr>
      <xdr:spPr bwMode="auto">
        <a:xfrm>
          <a:off x="15722834" y="305157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534" name="Text Box 192">
          <a:extLst>
            <a:ext uri="{FF2B5EF4-FFF2-40B4-BE49-F238E27FC236}">
              <a16:creationId xmlns:a16="http://schemas.microsoft.com/office/drawing/2014/main" id="{CA2CAD06-63FC-4124-8ABF-C5ED48206F7D}"/>
            </a:ext>
          </a:extLst>
        </xdr:cNvPr>
        <xdr:cNvSpPr txBox="1">
          <a:spLocks noChangeArrowheads="1"/>
        </xdr:cNvSpPr>
      </xdr:nvSpPr>
      <xdr:spPr bwMode="auto">
        <a:xfrm>
          <a:off x="15722834" y="308371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535" name="Text Box 192">
          <a:extLst>
            <a:ext uri="{FF2B5EF4-FFF2-40B4-BE49-F238E27FC236}">
              <a16:creationId xmlns:a16="http://schemas.microsoft.com/office/drawing/2014/main" id="{DDBF4A95-3244-44AD-8702-538387509A34}"/>
            </a:ext>
          </a:extLst>
        </xdr:cNvPr>
        <xdr:cNvSpPr txBox="1">
          <a:spLocks noChangeArrowheads="1"/>
        </xdr:cNvSpPr>
      </xdr:nvSpPr>
      <xdr:spPr bwMode="auto">
        <a:xfrm>
          <a:off x="15722834" y="308371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536" name="Text Box 192">
          <a:extLst>
            <a:ext uri="{FF2B5EF4-FFF2-40B4-BE49-F238E27FC236}">
              <a16:creationId xmlns:a16="http://schemas.microsoft.com/office/drawing/2014/main" id="{299720A5-D48E-4BD3-BFD0-43BB459F80A6}"/>
            </a:ext>
          </a:extLst>
        </xdr:cNvPr>
        <xdr:cNvSpPr txBox="1">
          <a:spLocks noChangeArrowheads="1"/>
        </xdr:cNvSpPr>
      </xdr:nvSpPr>
      <xdr:spPr bwMode="auto">
        <a:xfrm>
          <a:off x="15722834" y="311586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537" name="Text Box 192">
          <a:extLst>
            <a:ext uri="{FF2B5EF4-FFF2-40B4-BE49-F238E27FC236}">
              <a16:creationId xmlns:a16="http://schemas.microsoft.com/office/drawing/2014/main" id="{2692B706-76F5-45ED-80E6-F8ED136F62B4}"/>
            </a:ext>
          </a:extLst>
        </xdr:cNvPr>
        <xdr:cNvSpPr txBox="1">
          <a:spLocks noChangeArrowheads="1"/>
        </xdr:cNvSpPr>
      </xdr:nvSpPr>
      <xdr:spPr bwMode="auto">
        <a:xfrm>
          <a:off x="15722834" y="311586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538" name="Text Box 192">
          <a:extLst>
            <a:ext uri="{FF2B5EF4-FFF2-40B4-BE49-F238E27FC236}">
              <a16:creationId xmlns:a16="http://schemas.microsoft.com/office/drawing/2014/main" id="{192B62C3-BD2D-4A10-8A8C-98627B56842E}"/>
            </a:ext>
          </a:extLst>
        </xdr:cNvPr>
        <xdr:cNvSpPr txBox="1">
          <a:spLocks noChangeArrowheads="1"/>
        </xdr:cNvSpPr>
      </xdr:nvSpPr>
      <xdr:spPr bwMode="auto">
        <a:xfrm>
          <a:off x="15722834" y="314801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539" name="Text Box 192">
          <a:extLst>
            <a:ext uri="{FF2B5EF4-FFF2-40B4-BE49-F238E27FC236}">
              <a16:creationId xmlns:a16="http://schemas.microsoft.com/office/drawing/2014/main" id="{D3641FC4-7275-45BB-B7B6-908DBB57D2E4}"/>
            </a:ext>
          </a:extLst>
        </xdr:cNvPr>
        <xdr:cNvSpPr txBox="1">
          <a:spLocks noChangeArrowheads="1"/>
        </xdr:cNvSpPr>
      </xdr:nvSpPr>
      <xdr:spPr bwMode="auto">
        <a:xfrm>
          <a:off x="15722834" y="314801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540" name="Text Box 192">
          <a:extLst>
            <a:ext uri="{FF2B5EF4-FFF2-40B4-BE49-F238E27FC236}">
              <a16:creationId xmlns:a16="http://schemas.microsoft.com/office/drawing/2014/main" id="{237C5F4C-451E-4E52-B730-40E71B632C12}"/>
            </a:ext>
          </a:extLst>
        </xdr:cNvPr>
        <xdr:cNvSpPr txBox="1">
          <a:spLocks noChangeArrowheads="1"/>
        </xdr:cNvSpPr>
      </xdr:nvSpPr>
      <xdr:spPr bwMode="auto">
        <a:xfrm>
          <a:off x="15722834" y="31801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130</xdr:row>
      <xdr:rowOff>0</xdr:rowOff>
    </xdr:from>
    <xdr:ext cx="10372" cy="228955"/>
    <xdr:sp macro="" textlink="">
      <xdr:nvSpPr>
        <xdr:cNvPr id="541" name="Text Box 192">
          <a:extLst>
            <a:ext uri="{FF2B5EF4-FFF2-40B4-BE49-F238E27FC236}">
              <a16:creationId xmlns:a16="http://schemas.microsoft.com/office/drawing/2014/main" id="{E7F1B243-33CB-4AD8-8E52-FD4FF92EE7A8}"/>
            </a:ext>
          </a:extLst>
        </xdr:cNvPr>
        <xdr:cNvSpPr txBox="1">
          <a:spLocks noChangeArrowheads="1"/>
        </xdr:cNvSpPr>
      </xdr:nvSpPr>
      <xdr:spPr bwMode="auto">
        <a:xfrm>
          <a:off x="15722834" y="3233737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542" name="Text Box 192">
          <a:extLst>
            <a:ext uri="{FF2B5EF4-FFF2-40B4-BE49-F238E27FC236}">
              <a16:creationId xmlns:a16="http://schemas.microsoft.com/office/drawing/2014/main" id="{9553B5A1-E0F1-45AA-BD3F-2C367A218F99}"/>
            </a:ext>
          </a:extLst>
        </xdr:cNvPr>
        <xdr:cNvSpPr txBox="1">
          <a:spLocks noChangeArrowheads="1"/>
        </xdr:cNvSpPr>
      </xdr:nvSpPr>
      <xdr:spPr bwMode="auto">
        <a:xfrm>
          <a:off x="15722834" y="325040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543" name="Text Box 192">
          <a:extLst>
            <a:ext uri="{FF2B5EF4-FFF2-40B4-BE49-F238E27FC236}">
              <a16:creationId xmlns:a16="http://schemas.microsoft.com/office/drawing/2014/main" id="{052D762A-A282-43C2-A0B1-74EDD3D2CD26}"/>
            </a:ext>
          </a:extLst>
        </xdr:cNvPr>
        <xdr:cNvSpPr txBox="1">
          <a:spLocks noChangeArrowheads="1"/>
        </xdr:cNvSpPr>
      </xdr:nvSpPr>
      <xdr:spPr bwMode="auto">
        <a:xfrm>
          <a:off x="15722834" y="325040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544" name="Text Box 192">
          <a:extLst>
            <a:ext uri="{FF2B5EF4-FFF2-40B4-BE49-F238E27FC236}">
              <a16:creationId xmlns:a16="http://schemas.microsoft.com/office/drawing/2014/main" id="{1FB4FBDC-D283-4E6D-AA6E-41028453865B}"/>
            </a:ext>
          </a:extLst>
        </xdr:cNvPr>
        <xdr:cNvSpPr txBox="1">
          <a:spLocks noChangeArrowheads="1"/>
        </xdr:cNvSpPr>
      </xdr:nvSpPr>
      <xdr:spPr bwMode="auto">
        <a:xfrm>
          <a:off x="15722834" y="326647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545" name="Text Box 192">
          <a:extLst>
            <a:ext uri="{FF2B5EF4-FFF2-40B4-BE49-F238E27FC236}">
              <a16:creationId xmlns:a16="http://schemas.microsoft.com/office/drawing/2014/main" id="{0B7A7321-429D-4C30-BFE4-B790ACB0F00F}"/>
            </a:ext>
          </a:extLst>
        </xdr:cNvPr>
        <xdr:cNvSpPr txBox="1">
          <a:spLocks noChangeArrowheads="1"/>
        </xdr:cNvSpPr>
      </xdr:nvSpPr>
      <xdr:spPr bwMode="auto">
        <a:xfrm>
          <a:off x="15722834" y="326647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546" name="Text Box 192">
          <a:extLst>
            <a:ext uri="{FF2B5EF4-FFF2-40B4-BE49-F238E27FC236}">
              <a16:creationId xmlns:a16="http://schemas.microsoft.com/office/drawing/2014/main" id="{B903A714-890F-402B-9A62-F2DF7EA17F18}"/>
            </a:ext>
          </a:extLst>
        </xdr:cNvPr>
        <xdr:cNvSpPr txBox="1">
          <a:spLocks noChangeArrowheads="1"/>
        </xdr:cNvSpPr>
      </xdr:nvSpPr>
      <xdr:spPr bwMode="auto">
        <a:xfrm>
          <a:off x="15722834" y="3282553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547" name="Text Box 192">
          <a:extLst>
            <a:ext uri="{FF2B5EF4-FFF2-40B4-BE49-F238E27FC236}">
              <a16:creationId xmlns:a16="http://schemas.microsoft.com/office/drawing/2014/main" id="{2BA36407-852B-48CD-8B25-D125582D3F3C}"/>
            </a:ext>
          </a:extLst>
        </xdr:cNvPr>
        <xdr:cNvSpPr txBox="1">
          <a:spLocks noChangeArrowheads="1"/>
        </xdr:cNvSpPr>
      </xdr:nvSpPr>
      <xdr:spPr bwMode="auto">
        <a:xfrm>
          <a:off x="15722834" y="3282553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548" name="Text Box 192">
          <a:extLst>
            <a:ext uri="{FF2B5EF4-FFF2-40B4-BE49-F238E27FC236}">
              <a16:creationId xmlns:a16="http://schemas.microsoft.com/office/drawing/2014/main" id="{5A019252-CFA0-4D9B-B624-B38211E87A59}"/>
            </a:ext>
          </a:extLst>
        </xdr:cNvPr>
        <xdr:cNvSpPr txBox="1">
          <a:spLocks noChangeArrowheads="1"/>
        </xdr:cNvSpPr>
      </xdr:nvSpPr>
      <xdr:spPr bwMode="auto">
        <a:xfrm>
          <a:off x="15722834" y="329862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549" name="Text Box 192">
          <a:extLst>
            <a:ext uri="{FF2B5EF4-FFF2-40B4-BE49-F238E27FC236}">
              <a16:creationId xmlns:a16="http://schemas.microsoft.com/office/drawing/2014/main" id="{F8991AF2-5877-49E3-B8EC-3EFA7975C442}"/>
            </a:ext>
          </a:extLst>
        </xdr:cNvPr>
        <xdr:cNvSpPr txBox="1">
          <a:spLocks noChangeArrowheads="1"/>
        </xdr:cNvSpPr>
      </xdr:nvSpPr>
      <xdr:spPr bwMode="auto">
        <a:xfrm>
          <a:off x="15722834" y="329862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550" name="Text Box 192">
          <a:extLst>
            <a:ext uri="{FF2B5EF4-FFF2-40B4-BE49-F238E27FC236}">
              <a16:creationId xmlns:a16="http://schemas.microsoft.com/office/drawing/2014/main" id="{2B7187FD-7570-436E-897E-5C1499620006}"/>
            </a:ext>
          </a:extLst>
        </xdr:cNvPr>
        <xdr:cNvSpPr txBox="1">
          <a:spLocks noChangeArrowheads="1"/>
        </xdr:cNvSpPr>
      </xdr:nvSpPr>
      <xdr:spPr bwMode="auto">
        <a:xfrm>
          <a:off x="15722834" y="33147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551" name="Text Box 192">
          <a:extLst>
            <a:ext uri="{FF2B5EF4-FFF2-40B4-BE49-F238E27FC236}">
              <a16:creationId xmlns:a16="http://schemas.microsoft.com/office/drawing/2014/main" id="{F57CA0BF-DBBA-4916-86C2-5D863CB3FCFD}"/>
            </a:ext>
          </a:extLst>
        </xdr:cNvPr>
        <xdr:cNvSpPr txBox="1">
          <a:spLocks noChangeArrowheads="1"/>
        </xdr:cNvSpPr>
      </xdr:nvSpPr>
      <xdr:spPr bwMode="auto">
        <a:xfrm>
          <a:off x="15722834" y="33147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552" name="Text Box 192">
          <a:extLst>
            <a:ext uri="{FF2B5EF4-FFF2-40B4-BE49-F238E27FC236}">
              <a16:creationId xmlns:a16="http://schemas.microsoft.com/office/drawing/2014/main" id="{0CFE9A32-158F-4C5D-B7C1-A0D41E97B598}"/>
            </a:ext>
          </a:extLst>
        </xdr:cNvPr>
        <xdr:cNvSpPr txBox="1">
          <a:spLocks noChangeArrowheads="1"/>
        </xdr:cNvSpPr>
      </xdr:nvSpPr>
      <xdr:spPr bwMode="auto">
        <a:xfrm>
          <a:off x="15722834" y="3330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553" name="Text Box 192">
          <a:extLst>
            <a:ext uri="{FF2B5EF4-FFF2-40B4-BE49-F238E27FC236}">
              <a16:creationId xmlns:a16="http://schemas.microsoft.com/office/drawing/2014/main" id="{35196743-CAB5-4ECF-8732-8BFB657C46D9}"/>
            </a:ext>
          </a:extLst>
        </xdr:cNvPr>
        <xdr:cNvSpPr txBox="1">
          <a:spLocks noChangeArrowheads="1"/>
        </xdr:cNvSpPr>
      </xdr:nvSpPr>
      <xdr:spPr bwMode="auto">
        <a:xfrm>
          <a:off x="15722834" y="3330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554" name="Text Box 192">
          <a:extLst>
            <a:ext uri="{FF2B5EF4-FFF2-40B4-BE49-F238E27FC236}">
              <a16:creationId xmlns:a16="http://schemas.microsoft.com/office/drawing/2014/main" id="{E05DFE2E-D180-469F-9118-69D2740EE9CA}"/>
            </a:ext>
          </a:extLst>
        </xdr:cNvPr>
        <xdr:cNvSpPr txBox="1">
          <a:spLocks noChangeArrowheads="1"/>
        </xdr:cNvSpPr>
      </xdr:nvSpPr>
      <xdr:spPr bwMode="auto">
        <a:xfrm>
          <a:off x="15722834" y="3346846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555" name="Text Box 192">
          <a:extLst>
            <a:ext uri="{FF2B5EF4-FFF2-40B4-BE49-F238E27FC236}">
              <a16:creationId xmlns:a16="http://schemas.microsoft.com/office/drawing/2014/main" id="{9443C47A-FBE7-4B3F-B4A4-98FDC2ED5039}"/>
            </a:ext>
          </a:extLst>
        </xdr:cNvPr>
        <xdr:cNvSpPr txBox="1">
          <a:spLocks noChangeArrowheads="1"/>
        </xdr:cNvSpPr>
      </xdr:nvSpPr>
      <xdr:spPr bwMode="auto">
        <a:xfrm>
          <a:off x="15722834" y="3346846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556" name="Text Box 192">
          <a:extLst>
            <a:ext uri="{FF2B5EF4-FFF2-40B4-BE49-F238E27FC236}">
              <a16:creationId xmlns:a16="http://schemas.microsoft.com/office/drawing/2014/main" id="{8F01EA00-5FC5-4432-A400-B9322BB212A6}"/>
            </a:ext>
          </a:extLst>
        </xdr:cNvPr>
        <xdr:cNvSpPr txBox="1">
          <a:spLocks noChangeArrowheads="1"/>
        </xdr:cNvSpPr>
      </xdr:nvSpPr>
      <xdr:spPr bwMode="auto">
        <a:xfrm>
          <a:off x="15722834" y="33629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557" name="Text Box 192">
          <a:extLst>
            <a:ext uri="{FF2B5EF4-FFF2-40B4-BE49-F238E27FC236}">
              <a16:creationId xmlns:a16="http://schemas.microsoft.com/office/drawing/2014/main" id="{0799F7FC-7742-4D4C-B49C-9D08474F72B8}"/>
            </a:ext>
          </a:extLst>
        </xdr:cNvPr>
        <xdr:cNvSpPr txBox="1">
          <a:spLocks noChangeArrowheads="1"/>
        </xdr:cNvSpPr>
      </xdr:nvSpPr>
      <xdr:spPr bwMode="auto">
        <a:xfrm>
          <a:off x="15722834" y="33629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558" name="Text Box 192">
          <a:extLst>
            <a:ext uri="{FF2B5EF4-FFF2-40B4-BE49-F238E27FC236}">
              <a16:creationId xmlns:a16="http://schemas.microsoft.com/office/drawing/2014/main" id="{C483A425-14A2-43F1-A6D9-4A6B1E237E43}"/>
            </a:ext>
          </a:extLst>
        </xdr:cNvPr>
        <xdr:cNvSpPr txBox="1">
          <a:spLocks noChangeArrowheads="1"/>
        </xdr:cNvSpPr>
      </xdr:nvSpPr>
      <xdr:spPr bwMode="auto">
        <a:xfrm>
          <a:off x="15722834" y="337899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559" name="Text Box 192">
          <a:extLst>
            <a:ext uri="{FF2B5EF4-FFF2-40B4-BE49-F238E27FC236}">
              <a16:creationId xmlns:a16="http://schemas.microsoft.com/office/drawing/2014/main" id="{D96E3928-1EED-4E46-8026-9B628BE4F6B1}"/>
            </a:ext>
          </a:extLst>
        </xdr:cNvPr>
        <xdr:cNvSpPr txBox="1">
          <a:spLocks noChangeArrowheads="1"/>
        </xdr:cNvSpPr>
      </xdr:nvSpPr>
      <xdr:spPr bwMode="auto">
        <a:xfrm>
          <a:off x="15722834" y="337899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560" name="Text Box 192">
          <a:extLst>
            <a:ext uri="{FF2B5EF4-FFF2-40B4-BE49-F238E27FC236}">
              <a16:creationId xmlns:a16="http://schemas.microsoft.com/office/drawing/2014/main" id="{C55767AE-18CD-4BA8-B554-9266C85C1494}"/>
            </a:ext>
          </a:extLst>
        </xdr:cNvPr>
        <xdr:cNvSpPr txBox="1">
          <a:spLocks noChangeArrowheads="1"/>
        </xdr:cNvSpPr>
      </xdr:nvSpPr>
      <xdr:spPr bwMode="auto">
        <a:xfrm>
          <a:off x="15722834" y="3395067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561" name="Text Box 192">
          <a:extLst>
            <a:ext uri="{FF2B5EF4-FFF2-40B4-BE49-F238E27FC236}">
              <a16:creationId xmlns:a16="http://schemas.microsoft.com/office/drawing/2014/main" id="{1BAA0EAD-3B12-4989-BA5B-883BFE05C55D}"/>
            </a:ext>
          </a:extLst>
        </xdr:cNvPr>
        <xdr:cNvSpPr txBox="1">
          <a:spLocks noChangeArrowheads="1"/>
        </xdr:cNvSpPr>
      </xdr:nvSpPr>
      <xdr:spPr bwMode="auto">
        <a:xfrm>
          <a:off x="15722834" y="3395067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562" name="Text Box 192">
          <a:extLst>
            <a:ext uri="{FF2B5EF4-FFF2-40B4-BE49-F238E27FC236}">
              <a16:creationId xmlns:a16="http://schemas.microsoft.com/office/drawing/2014/main" id="{25B623E7-7BE8-4431-B7E2-EAA1C6164409}"/>
            </a:ext>
          </a:extLst>
        </xdr:cNvPr>
        <xdr:cNvSpPr txBox="1">
          <a:spLocks noChangeArrowheads="1"/>
        </xdr:cNvSpPr>
      </xdr:nvSpPr>
      <xdr:spPr bwMode="auto">
        <a:xfrm>
          <a:off x="15722834" y="341114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563" name="Text Box 192">
          <a:extLst>
            <a:ext uri="{FF2B5EF4-FFF2-40B4-BE49-F238E27FC236}">
              <a16:creationId xmlns:a16="http://schemas.microsoft.com/office/drawing/2014/main" id="{36E3FFB6-D902-4A19-975D-EBD0062D96D7}"/>
            </a:ext>
          </a:extLst>
        </xdr:cNvPr>
        <xdr:cNvSpPr txBox="1">
          <a:spLocks noChangeArrowheads="1"/>
        </xdr:cNvSpPr>
      </xdr:nvSpPr>
      <xdr:spPr bwMode="auto">
        <a:xfrm>
          <a:off x="15722834" y="341114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564" name="Text Box 192">
          <a:extLst>
            <a:ext uri="{FF2B5EF4-FFF2-40B4-BE49-F238E27FC236}">
              <a16:creationId xmlns:a16="http://schemas.microsoft.com/office/drawing/2014/main" id="{58AE3284-5AD0-41D4-BF7F-9A70B38548BB}"/>
            </a:ext>
          </a:extLst>
        </xdr:cNvPr>
        <xdr:cNvSpPr txBox="1">
          <a:spLocks noChangeArrowheads="1"/>
        </xdr:cNvSpPr>
      </xdr:nvSpPr>
      <xdr:spPr bwMode="auto">
        <a:xfrm>
          <a:off x="15722834" y="342721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565" name="Text Box 192">
          <a:extLst>
            <a:ext uri="{FF2B5EF4-FFF2-40B4-BE49-F238E27FC236}">
              <a16:creationId xmlns:a16="http://schemas.microsoft.com/office/drawing/2014/main" id="{CF6642FC-61E4-47CE-8138-F9DDC90ECABD}"/>
            </a:ext>
          </a:extLst>
        </xdr:cNvPr>
        <xdr:cNvSpPr txBox="1">
          <a:spLocks noChangeArrowheads="1"/>
        </xdr:cNvSpPr>
      </xdr:nvSpPr>
      <xdr:spPr bwMode="auto">
        <a:xfrm>
          <a:off x="15722834" y="342721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566" name="Text Box 192">
          <a:extLst>
            <a:ext uri="{FF2B5EF4-FFF2-40B4-BE49-F238E27FC236}">
              <a16:creationId xmlns:a16="http://schemas.microsoft.com/office/drawing/2014/main" id="{4F3BDC6A-2496-4D80-8B29-DE0B5CD04057}"/>
            </a:ext>
          </a:extLst>
        </xdr:cNvPr>
        <xdr:cNvSpPr txBox="1">
          <a:spLocks noChangeArrowheads="1"/>
        </xdr:cNvSpPr>
      </xdr:nvSpPr>
      <xdr:spPr bwMode="auto">
        <a:xfrm>
          <a:off x="15722834" y="3443287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567" name="Text Box 192">
          <a:extLst>
            <a:ext uri="{FF2B5EF4-FFF2-40B4-BE49-F238E27FC236}">
              <a16:creationId xmlns:a16="http://schemas.microsoft.com/office/drawing/2014/main" id="{A9354B0E-E9AE-4E2F-92BF-0270B65A2637}"/>
            </a:ext>
          </a:extLst>
        </xdr:cNvPr>
        <xdr:cNvSpPr txBox="1">
          <a:spLocks noChangeArrowheads="1"/>
        </xdr:cNvSpPr>
      </xdr:nvSpPr>
      <xdr:spPr bwMode="auto">
        <a:xfrm>
          <a:off x="15722834" y="3443287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568" name="Text Box 192">
          <a:extLst>
            <a:ext uri="{FF2B5EF4-FFF2-40B4-BE49-F238E27FC236}">
              <a16:creationId xmlns:a16="http://schemas.microsoft.com/office/drawing/2014/main" id="{C8E87D9D-72CB-4B1F-8AAA-B18C738C87B9}"/>
            </a:ext>
          </a:extLst>
        </xdr:cNvPr>
        <xdr:cNvSpPr txBox="1">
          <a:spLocks noChangeArrowheads="1"/>
        </xdr:cNvSpPr>
      </xdr:nvSpPr>
      <xdr:spPr bwMode="auto">
        <a:xfrm>
          <a:off x="15722834" y="34593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569" name="Text Box 192">
          <a:extLst>
            <a:ext uri="{FF2B5EF4-FFF2-40B4-BE49-F238E27FC236}">
              <a16:creationId xmlns:a16="http://schemas.microsoft.com/office/drawing/2014/main" id="{B7D0FEFC-23A8-4F85-93DD-2F511B86F33B}"/>
            </a:ext>
          </a:extLst>
        </xdr:cNvPr>
        <xdr:cNvSpPr txBox="1">
          <a:spLocks noChangeArrowheads="1"/>
        </xdr:cNvSpPr>
      </xdr:nvSpPr>
      <xdr:spPr bwMode="auto">
        <a:xfrm>
          <a:off x="15722834" y="34593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570" name="Text Box 192">
          <a:extLst>
            <a:ext uri="{FF2B5EF4-FFF2-40B4-BE49-F238E27FC236}">
              <a16:creationId xmlns:a16="http://schemas.microsoft.com/office/drawing/2014/main" id="{B1EBE166-2430-4C09-9CFE-B3C52BEF4B77}"/>
            </a:ext>
          </a:extLst>
        </xdr:cNvPr>
        <xdr:cNvSpPr txBox="1">
          <a:spLocks noChangeArrowheads="1"/>
        </xdr:cNvSpPr>
      </xdr:nvSpPr>
      <xdr:spPr bwMode="auto">
        <a:xfrm>
          <a:off x="15722834" y="3475434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571" name="Text Box 192">
          <a:extLst>
            <a:ext uri="{FF2B5EF4-FFF2-40B4-BE49-F238E27FC236}">
              <a16:creationId xmlns:a16="http://schemas.microsoft.com/office/drawing/2014/main" id="{1D552597-E4BE-42DA-8D52-6798EEC65E80}"/>
            </a:ext>
          </a:extLst>
        </xdr:cNvPr>
        <xdr:cNvSpPr txBox="1">
          <a:spLocks noChangeArrowheads="1"/>
        </xdr:cNvSpPr>
      </xdr:nvSpPr>
      <xdr:spPr bwMode="auto">
        <a:xfrm>
          <a:off x="15722834" y="3475434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572" name="Text Box 192">
          <a:extLst>
            <a:ext uri="{FF2B5EF4-FFF2-40B4-BE49-F238E27FC236}">
              <a16:creationId xmlns:a16="http://schemas.microsoft.com/office/drawing/2014/main" id="{DF8A336D-3ACE-4A44-B918-537E5D7FF925}"/>
            </a:ext>
          </a:extLst>
        </xdr:cNvPr>
        <xdr:cNvSpPr txBox="1">
          <a:spLocks noChangeArrowheads="1"/>
        </xdr:cNvSpPr>
      </xdr:nvSpPr>
      <xdr:spPr bwMode="auto">
        <a:xfrm>
          <a:off x="15722834" y="34915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573" name="Text Box 192">
          <a:extLst>
            <a:ext uri="{FF2B5EF4-FFF2-40B4-BE49-F238E27FC236}">
              <a16:creationId xmlns:a16="http://schemas.microsoft.com/office/drawing/2014/main" id="{5B826F8E-54D3-4519-8DF1-AF58086014DB}"/>
            </a:ext>
          </a:extLst>
        </xdr:cNvPr>
        <xdr:cNvSpPr txBox="1">
          <a:spLocks noChangeArrowheads="1"/>
        </xdr:cNvSpPr>
      </xdr:nvSpPr>
      <xdr:spPr bwMode="auto">
        <a:xfrm>
          <a:off x="15722834" y="34915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574" name="Text Box 192">
          <a:extLst>
            <a:ext uri="{FF2B5EF4-FFF2-40B4-BE49-F238E27FC236}">
              <a16:creationId xmlns:a16="http://schemas.microsoft.com/office/drawing/2014/main" id="{11B37EDD-94B8-434E-9DB1-880CDAF57952}"/>
            </a:ext>
          </a:extLst>
        </xdr:cNvPr>
        <xdr:cNvSpPr txBox="1">
          <a:spLocks noChangeArrowheads="1"/>
        </xdr:cNvSpPr>
      </xdr:nvSpPr>
      <xdr:spPr bwMode="auto">
        <a:xfrm>
          <a:off x="15722834" y="3507581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575" name="Text Box 192">
          <a:extLst>
            <a:ext uri="{FF2B5EF4-FFF2-40B4-BE49-F238E27FC236}">
              <a16:creationId xmlns:a16="http://schemas.microsoft.com/office/drawing/2014/main" id="{768D3306-29E7-49A7-88E9-E4C8BC1C4B28}"/>
            </a:ext>
          </a:extLst>
        </xdr:cNvPr>
        <xdr:cNvSpPr txBox="1">
          <a:spLocks noChangeArrowheads="1"/>
        </xdr:cNvSpPr>
      </xdr:nvSpPr>
      <xdr:spPr bwMode="auto">
        <a:xfrm>
          <a:off x="15722834" y="3507581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576" name="Text Box 192">
          <a:extLst>
            <a:ext uri="{FF2B5EF4-FFF2-40B4-BE49-F238E27FC236}">
              <a16:creationId xmlns:a16="http://schemas.microsoft.com/office/drawing/2014/main" id="{FAC044B8-F18A-4041-89D9-4B846FCE2B39}"/>
            </a:ext>
          </a:extLst>
        </xdr:cNvPr>
        <xdr:cNvSpPr txBox="1">
          <a:spLocks noChangeArrowheads="1"/>
        </xdr:cNvSpPr>
      </xdr:nvSpPr>
      <xdr:spPr bwMode="auto">
        <a:xfrm>
          <a:off x="15722834" y="358854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577" name="Text Box 192">
          <a:extLst>
            <a:ext uri="{FF2B5EF4-FFF2-40B4-BE49-F238E27FC236}">
              <a16:creationId xmlns:a16="http://schemas.microsoft.com/office/drawing/2014/main" id="{E412BCE5-BC48-4D2F-948A-A8C91C4AC970}"/>
            </a:ext>
          </a:extLst>
        </xdr:cNvPr>
        <xdr:cNvSpPr txBox="1">
          <a:spLocks noChangeArrowheads="1"/>
        </xdr:cNvSpPr>
      </xdr:nvSpPr>
      <xdr:spPr bwMode="auto">
        <a:xfrm>
          <a:off x="15722834" y="358854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578" name="Text Box 192">
          <a:extLst>
            <a:ext uri="{FF2B5EF4-FFF2-40B4-BE49-F238E27FC236}">
              <a16:creationId xmlns:a16="http://schemas.microsoft.com/office/drawing/2014/main" id="{E3817FB8-9886-48DC-9685-7803BA2116D3}"/>
            </a:ext>
          </a:extLst>
        </xdr:cNvPr>
        <xdr:cNvSpPr txBox="1">
          <a:spLocks noChangeArrowheads="1"/>
        </xdr:cNvSpPr>
      </xdr:nvSpPr>
      <xdr:spPr bwMode="auto">
        <a:xfrm>
          <a:off x="15722834"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151</xdr:row>
      <xdr:rowOff>0</xdr:rowOff>
    </xdr:from>
    <xdr:ext cx="10372" cy="228955"/>
    <xdr:sp macro="" textlink="">
      <xdr:nvSpPr>
        <xdr:cNvPr id="579" name="Text Box 192">
          <a:extLst>
            <a:ext uri="{FF2B5EF4-FFF2-40B4-BE49-F238E27FC236}">
              <a16:creationId xmlns:a16="http://schemas.microsoft.com/office/drawing/2014/main" id="{CD0635A9-7252-4F4E-965F-8F0273D156E8}"/>
            </a:ext>
          </a:extLst>
        </xdr:cNvPr>
        <xdr:cNvSpPr txBox="1">
          <a:spLocks noChangeArrowheads="1"/>
        </xdr:cNvSpPr>
      </xdr:nvSpPr>
      <xdr:spPr bwMode="auto">
        <a:xfrm>
          <a:off x="15722834"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580" name="Text Box 192">
          <a:extLst>
            <a:ext uri="{FF2B5EF4-FFF2-40B4-BE49-F238E27FC236}">
              <a16:creationId xmlns:a16="http://schemas.microsoft.com/office/drawing/2014/main" id="{125B33E8-7C5E-402B-8CCB-E558AD439070}"/>
            </a:ext>
          </a:extLst>
        </xdr:cNvPr>
        <xdr:cNvSpPr txBox="1">
          <a:spLocks noChangeArrowheads="1"/>
        </xdr:cNvSpPr>
      </xdr:nvSpPr>
      <xdr:spPr bwMode="auto">
        <a:xfrm>
          <a:off x="15722834"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581" name="Text Box 192">
          <a:extLst>
            <a:ext uri="{FF2B5EF4-FFF2-40B4-BE49-F238E27FC236}">
              <a16:creationId xmlns:a16="http://schemas.microsoft.com/office/drawing/2014/main" id="{1D74B696-5918-4D3E-9BCC-67701C899E31}"/>
            </a:ext>
          </a:extLst>
        </xdr:cNvPr>
        <xdr:cNvSpPr txBox="1">
          <a:spLocks noChangeArrowheads="1"/>
        </xdr:cNvSpPr>
      </xdr:nvSpPr>
      <xdr:spPr bwMode="auto">
        <a:xfrm>
          <a:off x="15722834"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582" name="Text Box 192">
          <a:extLst>
            <a:ext uri="{FF2B5EF4-FFF2-40B4-BE49-F238E27FC236}">
              <a16:creationId xmlns:a16="http://schemas.microsoft.com/office/drawing/2014/main" id="{C968CC51-DD76-49E0-AF7E-5BBEF3FC28CB}"/>
            </a:ext>
          </a:extLst>
        </xdr:cNvPr>
        <xdr:cNvSpPr txBox="1">
          <a:spLocks noChangeArrowheads="1"/>
        </xdr:cNvSpPr>
      </xdr:nvSpPr>
      <xdr:spPr bwMode="auto">
        <a:xfrm>
          <a:off x="15722834" y="369034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584" name="Text Box 192">
          <a:extLst>
            <a:ext uri="{FF2B5EF4-FFF2-40B4-BE49-F238E27FC236}">
              <a16:creationId xmlns:a16="http://schemas.microsoft.com/office/drawing/2014/main" id="{484727C5-4392-4482-B642-9751B06318FE}"/>
            </a:ext>
          </a:extLst>
        </xdr:cNvPr>
        <xdr:cNvSpPr txBox="1">
          <a:spLocks noChangeArrowheads="1"/>
        </xdr:cNvSpPr>
      </xdr:nvSpPr>
      <xdr:spPr bwMode="auto">
        <a:xfrm>
          <a:off x="15722834" y="370641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585" name="Text Box 192">
          <a:extLst>
            <a:ext uri="{FF2B5EF4-FFF2-40B4-BE49-F238E27FC236}">
              <a16:creationId xmlns:a16="http://schemas.microsoft.com/office/drawing/2014/main" id="{F0BD3A5B-D2D9-42F2-8BD3-7B096FB07181}"/>
            </a:ext>
          </a:extLst>
        </xdr:cNvPr>
        <xdr:cNvSpPr txBox="1">
          <a:spLocks noChangeArrowheads="1"/>
        </xdr:cNvSpPr>
      </xdr:nvSpPr>
      <xdr:spPr bwMode="auto">
        <a:xfrm>
          <a:off x="15722834" y="370641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586" name="Text Box 192">
          <a:extLst>
            <a:ext uri="{FF2B5EF4-FFF2-40B4-BE49-F238E27FC236}">
              <a16:creationId xmlns:a16="http://schemas.microsoft.com/office/drawing/2014/main" id="{8CFF83C4-0E8F-4699-9DDC-676E8F7F74C6}"/>
            </a:ext>
          </a:extLst>
        </xdr:cNvPr>
        <xdr:cNvSpPr txBox="1">
          <a:spLocks noChangeArrowheads="1"/>
        </xdr:cNvSpPr>
      </xdr:nvSpPr>
      <xdr:spPr bwMode="auto">
        <a:xfrm>
          <a:off x="15722834" y="37224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587" name="Text Box 192">
          <a:extLst>
            <a:ext uri="{FF2B5EF4-FFF2-40B4-BE49-F238E27FC236}">
              <a16:creationId xmlns:a16="http://schemas.microsoft.com/office/drawing/2014/main" id="{8157C439-E4EB-42DC-8ED5-1586C3F370E4}"/>
            </a:ext>
          </a:extLst>
        </xdr:cNvPr>
        <xdr:cNvSpPr txBox="1">
          <a:spLocks noChangeArrowheads="1"/>
        </xdr:cNvSpPr>
      </xdr:nvSpPr>
      <xdr:spPr bwMode="auto">
        <a:xfrm>
          <a:off x="15722834" y="37224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588" name="Text Box 192">
          <a:extLst>
            <a:ext uri="{FF2B5EF4-FFF2-40B4-BE49-F238E27FC236}">
              <a16:creationId xmlns:a16="http://schemas.microsoft.com/office/drawing/2014/main" id="{F62FF161-4224-4285-BA35-6605BF7ADE2E}"/>
            </a:ext>
          </a:extLst>
        </xdr:cNvPr>
        <xdr:cNvSpPr txBox="1">
          <a:spLocks noChangeArrowheads="1"/>
        </xdr:cNvSpPr>
      </xdr:nvSpPr>
      <xdr:spPr bwMode="auto">
        <a:xfrm>
          <a:off x="15722834" y="37385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589" name="Text Box 192">
          <a:extLst>
            <a:ext uri="{FF2B5EF4-FFF2-40B4-BE49-F238E27FC236}">
              <a16:creationId xmlns:a16="http://schemas.microsoft.com/office/drawing/2014/main" id="{5713B81D-1B7E-46AE-81F9-398C3087216B}"/>
            </a:ext>
          </a:extLst>
        </xdr:cNvPr>
        <xdr:cNvSpPr txBox="1">
          <a:spLocks noChangeArrowheads="1"/>
        </xdr:cNvSpPr>
      </xdr:nvSpPr>
      <xdr:spPr bwMode="auto">
        <a:xfrm>
          <a:off x="15722834" y="37385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590" name="Text Box 192">
          <a:extLst>
            <a:ext uri="{FF2B5EF4-FFF2-40B4-BE49-F238E27FC236}">
              <a16:creationId xmlns:a16="http://schemas.microsoft.com/office/drawing/2014/main" id="{6769C5EE-0FFE-46FA-A5E6-F1396F4F578D}"/>
            </a:ext>
          </a:extLst>
        </xdr:cNvPr>
        <xdr:cNvSpPr txBox="1">
          <a:spLocks noChangeArrowheads="1"/>
        </xdr:cNvSpPr>
      </xdr:nvSpPr>
      <xdr:spPr bwMode="auto">
        <a:xfrm>
          <a:off x="15722834" y="37546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591" name="Text Box 192">
          <a:extLst>
            <a:ext uri="{FF2B5EF4-FFF2-40B4-BE49-F238E27FC236}">
              <a16:creationId xmlns:a16="http://schemas.microsoft.com/office/drawing/2014/main" id="{594455C4-6ADD-4EEE-B6A8-5CA6D6C50B8C}"/>
            </a:ext>
          </a:extLst>
        </xdr:cNvPr>
        <xdr:cNvSpPr txBox="1">
          <a:spLocks noChangeArrowheads="1"/>
        </xdr:cNvSpPr>
      </xdr:nvSpPr>
      <xdr:spPr bwMode="auto">
        <a:xfrm>
          <a:off x="15722834" y="37546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592" name="Text Box 192">
          <a:extLst>
            <a:ext uri="{FF2B5EF4-FFF2-40B4-BE49-F238E27FC236}">
              <a16:creationId xmlns:a16="http://schemas.microsoft.com/office/drawing/2014/main" id="{1C99415D-C363-472D-88A2-507FD7B202A5}"/>
            </a:ext>
          </a:extLst>
        </xdr:cNvPr>
        <xdr:cNvSpPr txBox="1">
          <a:spLocks noChangeArrowheads="1"/>
        </xdr:cNvSpPr>
      </xdr:nvSpPr>
      <xdr:spPr bwMode="auto">
        <a:xfrm>
          <a:off x="15722834" y="37707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593" name="Text Box 192">
          <a:extLst>
            <a:ext uri="{FF2B5EF4-FFF2-40B4-BE49-F238E27FC236}">
              <a16:creationId xmlns:a16="http://schemas.microsoft.com/office/drawing/2014/main" id="{F7ED51AA-2C2D-40ED-84F5-DB5BBD6BF962}"/>
            </a:ext>
          </a:extLst>
        </xdr:cNvPr>
        <xdr:cNvSpPr txBox="1">
          <a:spLocks noChangeArrowheads="1"/>
        </xdr:cNvSpPr>
      </xdr:nvSpPr>
      <xdr:spPr bwMode="auto">
        <a:xfrm>
          <a:off x="15722834" y="37707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594" name="Text Box 192">
          <a:extLst>
            <a:ext uri="{FF2B5EF4-FFF2-40B4-BE49-F238E27FC236}">
              <a16:creationId xmlns:a16="http://schemas.microsoft.com/office/drawing/2014/main" id="{BBA32962-343F-4395-99D6-0C9FCBFF07BC}"/>
            </a:ext>
          </a:extLst>
        </xdr:cNvPr>
        <xdr:cNvSpPr txBox="1">
          <a:spLocks noChangeArrowheads="1"/>
        </xdr:cNvSpPr>
      </xdr:nvSpPr>
      <xdr:spPr bwMode="auto">
        <a:xfrm>
          <a:off x="15722834" y="3786782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595" name="Text Box 192">
          <a:extLst>
            <a:ext uri="{FF2B5EF4-FFF2-40B4-BE49-F238E27FC236}">
              <a16:creationId xmlns:a16="http://schemas.microsoft.com/office/drawing/2014/main" id="{6A56D7BF-E3C2-4198-B5F5-86184EC4273A}"/>
            </a:ext>
          </a:extLst>
        </xdr:cNvPr>
        <xdr:cNvSpPr txBox="1">
          <a:spLocks noChangeArrowheads="1"/>
        </xdr:cNvSpPr>
      </xdr:nvSpPr>
      <xdr:spPr bwMode="auto">
        <a:xfrm>
          <a:off x="15722834" y="3786782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596" name="Text Box 192">
          <a:extLst>
            <a:ext uri="{FF2B5EF4-FFF2-40B4-BE49-F238E27FC236}">
              <a16:creationId xmlns:a16="http://schemas.microsoft.com/office/drawing/2014/main" id="{1E341A32-DF7E-4866-AEC7-D133AED976AC}"/>
            </a:ext>
          </a:extLst>
        </xdr:cNvPr>
        <xdr:cNvSpPr txBox="1">
          <a:spLocks noChangeArrowheads="1"/>
        </xdr:cNvSpPr>
      </xdr:nvSpPr>
      <xdr:spPr bwMode="auto">
        <a:xfrm>
          <a:off x="15722834" y="380285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597" name="Text Box 192">
          <a:extLst>
            <a:ext uri="{FF2B5EF4-FFF2-40B4-BE49-F238E27FC236}">
              <a16:creationId xmlns:a16="http://schemas.microsoft.com/office/drawing/2014/main" id="{30B6B72C-EC77-4484-B100-CCE760E0BBE3}"/>
            </a:ext>
          </a:extLst>
        </xdr:cNvPr>
        <xdr:cNvSpPr txBox="1">
          <a:spLocks noChangeArrowheads="1"/>
        </xdr:cNvSpPr>
      </xdr:nvSpPr>
      <xdr:spPr bwMode="auto">
        <a:xfrm>
          <a:off x="15722834" y="380285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598" name="Text Box 192">
          <a:extLst>
            <a:ext uri="{FF2B5EF4-FFF2-40B4-BE49-F238E27FC236}">
              <a16:creationId xmlns:a16="http://schemas.microsoft.com/office/drawing/2014/main" id="{54611A17-D9EB-4BE6-9288-F57794D21C37}"/>
            </a:ext>
          </a:extLst>
        </xdr:cNvPr>
        <xdr:cNvSpPr txBox="1">
          <a:spLocks noChangeArrowheads="1"/>
        </xdr:cNvSpPr>
      </xdr:nvSpPr>
      <xdr:spPr bwMode="auto">
        <a:xfrm>
          <a:off x="15722834" y="381892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599" name="Text Box 192">
          <a:extLst>
            <a:ext uri="{FF2B5EF4-FFF2-40B4-BE49-F238E27FC236}">
              <a16:creationId xmlns:a16="http://schemas.microsoft.com/office/drawing/2014/main" id="{94EBB0DE-DAD0-4AEF-ACDA-0602ABB67879}"/>
            </a:ext>
          </a:extLst>
        </xdr:cNvPr>
        <xdr:cNvSpPr txBox="1">
          <a:spLocks noChangeArrowheads="1"/>
        </xdr:cNvSpPr>
      </xdr:nvSpPr>
      <xdr:spPr bwMode="auto">
        <a:xfrm>
          <a:off x="15722834" y="381892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600" name="Text Box 192">
          <a:extLst>
            <a:ext uri="{FF2B5EF4-FFF2-40B4-BE49-F238E27FC236}">
              <a16:creationId xmlns:a16="http://schemas.microsoft.com/office/drawing/2014/main" id="{BBA124FD-B2A8-4EC6-A27C-772855720ED4}"/>
            </a:ext>
          </a:extLst>
        </xdr:cNvPr>
        <xdr:cNvSpPr txBox="1">
          <a:spLocks noChangeArrowheads="1"/>
        </xdr:cNvSpPr>
      </xdr:nvSpPr>
      <xdr:spPr bwMode="auto">
        <a:xfrm>
          <a:off x="15722834" y="3835003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601" name="Text Box 192">
          <a:extLst>
            <a:ext uri="{FF2B5EF4-FFF2-40B4-BE49-F238E27FC236}">
              <a16:creationId xmlns:a16="http://schemas.microsoft.com/office/drawing/2014/main" id="{A246D4AE-283E-48AF-8AA8-3832901C1336}"/>
            </a:ext>
          </a:extLst>
        </xdr:cNvPr>
        <xdr:cNvSpPr txBox="1">
          <a:spLocks noChangeArrowheads="1"/>
        </xdr:cNvSpPr>
      </xdr:nvSpPr>
      <xdr:spPr bwMode="auto">
        <a:xfrm>
          <a:off x="15722834" y="3835003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602" name="Text Box 192">
          <a:extLst>
            <a:ext uri="{FF2B5EF4-FFF2-40B4-BE49-F238E27FC236}">
              <a16:creationId xmlns:a16="http://schemas.microsoft.com/office/drawing/2014/main" id="{BF47736E-C7EF-49B6-9B37-24C99D83A90B}"/>
            </a:ext>
          </a:extLst>
        </xdr:cNvPr>
        <xdr:cNvSpPr txBox="1">
          <a:spLocks noChangeArrowheads="1"/>
        </xdr:cNvSpPr>
      </xdr:nvSpPr>
      <xdr:spPr bwMode="auto">
        <a:xfrm>
          <a:off x="15722834" y="385107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603" name="Text Box 192">
          <a:extLst>
            <a:ext uri="{FF2B5EF4-FFF2-40B4-BE49-F238E27FC236}">
              <a16:creationId xmlns:a16="http://schemas.microsoft.com/office/drawing/2014/main" id="{95AA61EC-52BE-4B86-B194-85E92A5216CA}"/>
            </a:ext>
          </a:extLst>
        </xdr:cNvPr>
        <xdr:cNvSpPr txBox="1">
          <a:spLocks noChangeArrowheads="1"/>
        </xdr:cNvSpPr>
      </xdr:nvSpPr>
      <xdr:spPr bwMode="auto">
        <a:xfrm>
          <a:off x="15722834" y="385107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604" name="Text Box 192">
          <a:extLst>
            <a:ext uri="{FF2B5EF4-FFF2-40B4-BE49-F238E27FC236}">
              <a16:creationId xmlns:a16="http://schemas.microsoft.com/office/drawing/2014/main" id="{903CBB2B-57FD-4B3D-BBC8-70FF4D488E1B}"/>
            </a:ext>
          </a:extLst>
        </xdr:cNvPr>
        <xdr:cNvSpPr txBox="1">
          <a:spLocks noChangeArrowheads="1"/>
        </xdr:cNvSpPr>
      </xdr:nvSpPr>
      <xdr:spPr bwMode="auto">
        <a:xfrm>
          <a:off x="15722834" y="386715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605" name="Text Box 192">
          <a:extLst>
            <a:ext uri="{FF2B5EF4-FFF2-40B4-BE49-F238E27FC236}">
              <a16:creationId xmlns:a16="http://schemas.microsoft.com/office/drawing/2014/main" id="{A184E80A-883B-4DAE-98A8-C53F2BC69696}"/>
            </a:ext>
          </a:extLst>
        </xdr:cNvPr>
        <xdr:cNvSpPr txBox="1">
          <a:spLocks noChangeArrowheads="1"/>
        </xdr:cNvSpPr>
      </xdr:nvSpPr>
      <xdr:spPr bwMode="auto">
        <a:xfrm>
          <a:off x="15722834" y="386715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606" name="Text Box 192">
          <a:extLst>
            <a:ext uri="{FF2B5EF4-FFF2-40B4-BE49-F238E27FC236}">
              <a16:creationId xmlns:a16="http://schemas.microsoft.com/office/drawing/2014/main" id="{99E2C74D-BBF2-4891-85DD-0C056D117AAA}"/>
            </a:ext>
          </a:extLst>
        </xdr:cNvPr>
        <xdr:cNvSpPr txBox="1">
          <a:spLocks noChangeArrowheads="1"/>
        </xdr:cNvSpPr>
      </xdr:nvSpPr>
      <xdr:spPr bwMode="auto">
        <a:xfrm>
          <a:off x="15722834" y="38832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607" name="Text Box 192">
          <a:extLst>
            <a:ext uri="{FF2B5EF4-FFF2-40B4-BE49-F238E27FC236}">
              <a16:creationId xmlns:a16="http://schemas.microsoft.com/office/drawing/2014/main" id="{5097029C-5CE5-4255-8B8E-294FE905E5F9}"/>
            </a:ext>
          </a:extLst>
        </xdr:cNvPr>
        <xdr:cNvSpPr txBox="1">
          <a:spLocks noChangeArrowheads="1"/>
        </xdr:cNvSpPr>
      </xdr:nvSpPr>
      <xdr:spPr bwMode="auto">
        <a:xfrm>
          <a:off x="15722834" y="38832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608" name="Text Box 192">
          <a:extLst>
            <a:ext uri="{FF2B5EF4-FFF2-40B4-BE49-F238E27FC236}">
              <a16:creationId xmlns:a16="http://schemas.microsoft.com/office/drawing/2014/main" id="{8DC78C8C-9671-42BF-A687-A04201E6C499}"/>
            </a:ext>
          </a:extLst>
        </xdr:cNvPr>
        <xdr:cNvSpPr txBox="1">
          <a:spLocks noChangeArrowheads="1"/>
        </xdr:cNvSpPr>
      </xdr:nvSpPr>
      <xdr:spPr bwMode="auto">
        <a:xfrm>
          <a:off x="15722834" y="3899296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168</xdr:row>
      <xdr:rowOff>0</xdr:rowOff>
    </xdr:from>
    <xdr:ext cx="10372" cy="228955"/>
    <xdr:sp macro="" textlink="">
      <xdr:nvSpPr>
        <xdr:cNvPr id="609" name="Text Box 192">
          <a:extLst>
            <a:ext uri="{FF2B5EF4-FFF2-40B4-BE49-F238E27FC236}">
              <a16:creationId xmlns:a16="http://schemas.microsoft.com/office/drawing/2014/main" id="{B7AC6172-D825-453D-87C3-24402B6DEA88}"/>
            </a:ext>
          </a:extLst>
        </xdr:cNvPr>
        <xdr:cNvSpPr txBox="1">
          <a:spLocks noChangeArrowheads="1"/>
        </xdr:cNvSpPr>
      </xdr:nvSpPr>
      <xdr:spPr bwMode="auto">
        <a:xfrm>
          <a:off x="15722834" y="393620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610" name="Text Box 192">
          <a:extLst>
            <a:ext uri="{FF2B5EF4-FFF2-40B4-BE49-F238E27FC236}">
              <a16:creationId xmlns:a16="http://schemas.microsoft.com/office/drawing/2014/main" id="{9178276F-9A94-442E-BB07-6460F4A9C25F}"/>
            </a:ext>
          </a:extLst>
        </xdr:cNvPr>
        <xdr:cNvSpPr txBox="1">
          <a:spLocks noChangeArrowheads="1"/>
        </xdr:cNvSpPr>
      </xdr:nvSpPr>
      <xdr:spPr bwMode="auto">
        <a:xfrm>
          <a:off x="15722834" y="3952875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611" name="Text Box 192">
          <a:extLst>
            <a:ext uri="{FF2B5EF4-FFF2-40B4-BE49-F238E27FC236}">
              <a16:creationId xmlns:a16="http://schemas.microsoft.com/office/drawing/2014/main" id="{B9E792AF-0AD7-453A-9A9B-8D9CC21C9071}"/>
            </a:ext>
          </a:extLst>
        </xdr:cNvPr>
        <xdr:cNvSpPr txBox="1">
          <a:spLocks noChangeArrowheads="1"/>
        </xdr:cNvSpPr>
      </xdr:nvSpPr>
      <xdr:spPr bwMode="auto">
        <a:xfrm>
          <a:off x="15722834" y="3952875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612" name="Text Box 192">
          <a:extLst>
            <a:ext uri="{FF2B5EF4-FFF2-40B4-BE49-F238E27FC236}">
              <a16:creationId xmlns:a16="http://schemas.microsoft.com/office/drawing/2014/main" id="{A219D70E-2714-4866-A967-8CA3B439BA02}"/>
            </a:ext>
          </a:extLst>
        </xdr:cNvPr>
        <xdr:cNvSpPr txBox="1">
          <a:spLocks noChangeArrowheads="1"/>
        </xdr:cNvSpPr>
      </xdr:nvSpPr>
      <xdr:spPr bwMode="auto">
        <a:xfrm>
          <a:off x="15722834" y="3968948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614" name="Text Box 192">
          <a:extLst>
            <a:ext uri="{FF2B5EF4-FFF2-40B4-BE49-F238E27FC236}">
              <a16:creationId xmlns:a16="http://schemas.microsoft.com/office/drawing/2014/main" id="{B585097E-A1BC-40E9-89C4-7ED99863D02D}"/>
            </a:ext>
          </a:extLst>
        </xdr:cNvPr>
        <xdr:cNvSpPr txBox="1">
          <a:spLocks noChangeArrowheads="1"/>
        </xdr:cNvSpPr>
      </xdr:nvSpPr>
      <xdr:spPr bwMode="auto">
        <a:xfrm>
          <a:off x="15722834" y="398502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615" name="Text Box 192">
          <a:extLst>
            <a:ext uri="{FF2B5EF4-FFF2-40B4-BE49-F238E27FC236}">
              <a16:creationId xmlns:a16="http://schemas.microsoft.com/office/drawing/2014/main" id="{4F68652E-A9E8-4225-973A-E03CA255E810}"/>
            </a:ext>
          </a:extLst>
        </xdr:cNvPr>
        <xdr:cNvSpPr txBox="1">
          <a:spLocks noChangeArrowheads="1"/>
        </xdr:cNvSpPr>
      </xdr:nvSpPr>
      <xdr:spPr bwMode="auto">
        <a:xfrm>
          <a:off x="15722834" y="398502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616" name="Text Box 192">
          <a:extLst>
            <a:ext uri="{FF2B5EF4-FFF2-40B4-BE49-F238E27FC236}">
              <a16:creationId xmlns:a16="http://schemas.microsoft.com/office/drawing/2014/main" id="{78E7C230-DF9E-4A27-A9A1-E7EBF61FC0E1}"/>
            </a:ext>
          </a:extLst>
        </xdr:cNvPr>
        <xdr:cNvSpPr txBox="1">
          <a:spLocks noChangeArrowheads="1"/>
        </xdr:cNvSpPr>
      </xdr:nvSpPr>
      <xdr:spPr bwMode="auto">
        <a:xfrm>
          <a:off x="15722834" y="4001095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617" name="Text Box 192">
          <a:extLst>
            <a:ext uri="{FF2B5EF4-FFF2-40B4-BE49-F238E27FC236}">
              <a16:creationId xmlns:a16="http://schemas.microsoft.com/office/drawing/2014/main" id="{FE7C6B65-87AE-48B4-AD25-29702A334220}"/>
            </a:ext>
          </a:extLst>
        </xdr:cNvPr>
        <xdr:cNvSpPr txBox="1">
          <a:spLocks noChangeArrowheads="1"/>
        </xdr:cNvSpPr>
      </xdr:nvSpPr>
      <xdr:spPr bwMode="auto">
        <a:xfrm>
          <a:off x="15722834" y="4001095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618" name="Text Box 192">
          <a:extLst>
            <a:ext uri="{FF2B5EF4-FFF2-40B4-BE49-F238E27FC236}">
              <a16:creationId xmlns:a16="http://schemas.microsoft.com/office/drawing/2014/main" id="{43A21A45-1310-4453-9CEE-F9F0A9AC54C0}"/>
            </a:ext>
          </a:extLst>
        </xdr:cNvPr>
        <xdr:cNvSpPr txBox="1">
          <a:spLocks noChangeArrowheads="1"/>
        </xdr:cNvSpPr>
      </xdr:nvSpPr>
      <xdr:spPr bwMode="auto">
        <a:xfrm>
          <a:off x="15722834" y="40171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619" name="Text Box 192">
          <a:extLst>
            <a:ext uri="{FF2B5EF4-FFF2-40B4-BE49-F238E27FC236}">
              <a16:creationId xmlns:a16="http://schemas.microsoft.com/office/drawing/2014/main" id="{C8C8B6DB-4A45-4591-9D0B-ED6C53A4C7BB}"/>
            </a:ext>
          </a:extLst>
        </xdr:cNvPr>
        <xdr:cNvSpPr txBox="1">
          <a:spLocks noChangeArrowheads="1"/>
        </xdr:cNvSpPr>
      </xdr:nvSpPr>
      <xdr:spPr bwMode="auto">
        <a:xfrm>
          <a:off x="15722834" y="40171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620" name="Text Box 192">
          <a:extLst>
            <a:ext uri="{FF2B5EF4-FFF2-40B4-BE49-F238E27FC236}">
              <a16:creationId xmlns:a16="http://schemas.microsoft.com/office/drawing/2014/main" id="{E1A59DA9-7BB3-4889-BC1F-9895C02326C1}"/>
            </a:ext>
          </a:extLst>
        </xdr:cNvPr>
        <xdr:cNvSpPr txBox="1">
          <a:spLocks noChangeArrowheads="1"/>
        </xdr:cNvSpPr>
      </xdr:nvSpPr>
      <xdr:spPr bwMode="auto">
        <a:xfrm>
          <a:off x="15722834" y="403324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621" name="Text Box 192">
          <a:extLst>
            <a:ext uri="{FF2B5EF4-FFF2-40B4-BE49-F238E27FC236}">
              <a16:creationId xmlns:a16="http://schemas.microsoft.com/office/drawing/2014/main" id="{6A9006C3-0228-4112-ACC2-549F4057EC92}"/>
            </a:ext>
          </a:extLst>
        </xdr:cNvPr>
        <xdr:cNvSpPr txBox="1">
          <a:spLocks noChangeArrowheads="1"/>
        </xdr:cNvSpPr>
      </xdr:nvSpPr>
      <xdr:spPr bwMode="auto">
        <a:xfrm>
          <a:off x="15722834" y="403324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622" name="Text Box 192">
          <a:extLst>
            <a:ext uri="{FF2B5EF4-FFF2-40B4-BE49-F238E27FC236}">
              <a16:creationId xmlns:a16="http://schemas.microsoft.com/office/drawing/2014/main" id="{744677B9-6CCA-4406-BC12-BA5BC5BBA45C}"/>
            </a:ext>
          </a:extLst>
        </xdr:cNvPr>
        <xdr:cNvSpPr txBox="1">
          <a:spLocks noChangeArrowheads="1"/>
        </xdr:cNvSpPr>
      </xdr:nvSpPr>
      <xdr:spPr bwMode="auto">
        <a:xfrm>
          <a:off x="15722834" y="404931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623" name="Text Box 192">
          <a:extLst>
            <a:ext uri="{FF2B5EF4-FFF2-40B4-BE49-F238E27FC236}">
              <a16:creationId xmlns:a16="http://schemas.microsoft.com/office/drawing/2014/main" id="{4ADCCDE2-9C3E-47A3-B596-E30813F46B56}"/>
            </a:ext>
          </a:extLst>
        </xdr:cNvPr>
        <xdr:cNvSpPr txBox="1">
          <a:spLocks noChangeArrowheads="1"/>
        </xdr:cNvSpPr>
      </xdr:nvSpPr>
      <xdr:spPr bwMode="auto">
        <a:xfrm>
          <a:off x="15722834" y="404931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624" name="Text Box 192">
          <a:extLst>
            <a:ext uri="{FF2B5EF4-FFF2-40B4-BE49-F238E27FC236}">
              <a16:creationId xmlns:a16="http://schemas.microsoft.com/office/drawing/2014/main" id="{985336F3-42D1-4E1D-ACFC-205B06CD2488}"/>
            </a:ext>
          </a:extLst>
        </xdr:cNvPr>
        <xdr:cNvSpPr txBox="1">
          <a:spLocks noChangeArrowheads="1"/>
        </xdr:cNvSpPr>
      </xdr:nvSpPr>
      <xdr:spPr bwMode="auto">
        <a:xfrm>
          <a:off x="15722834" y="40653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625" name="Text Box 192">
          <a:extLst>
            <a:ext uri="{FF2B5EF4-FFF2-40B4-BE49-F238E27FC236}">
              <a16:creationId xmlns:a16="http://schemas.microsoft.com/office/drawing/2014/main" id="{7A3ACDDC-DB48-4912-B921-DE3D861F69E5}"/>
            </a:ext>
          </a:extLst>
        </xdr:cNvPr>
        <xdr:cNvSpPr txBox="1">
          <a:spLocks noChangeArrowheads="1"/>
        </xdr:cNvSpPr>
      </xdr:nvSpPr>
      <xdr:spPr bwMode="auto">
        <a:xfrm>
          <a:off x="15722834" y="40653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626" name="Text Box 192">
          <a:extLst>
            <a:ext uri="{FF2B5EF4-FFF2-40B4-BE49-F238E27FC236}">
              <a16:creationId xmlns:a16="http://schemas.microsoft.com/office/drawing/2014/main" id="{6F7E2D73-EBC0-4B13-B217-B2DA19B54360}"/>
            </a:ext>
          </a:extLst>
        </xdr:cNvPr>
        <xdr:cNvSpPr txBox="1">
          <a:spLocks noChangeArrowheads="1"/>
        </xdr:cNvSpPr>
      </xdr:nvSpPr>
      <xdr:spPr bwMode="auto">
        <a:xfrm>
          <a:off x="15722834" y="40814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627" name="Text Box 192">
          <a:extLst>
            <a:ext uri="{FF2B5EF4-FFF2-40B4-BE49-F238E27FC236}">
              <a16:creationId xmlns:a16="http://schemas.microsoft.com/office/drawing/2014/main" id="{5FFFBA8A-303D-4DC9-8EB0-2A8812D34244}"/>
            </a:ext>
          </a:extLst>
        </xdr:cNvPr>
        <xdr:cNvSpPr txBox="1">
          <a:spLocks noChangeArrowheads="1"/>
        </xdr:cNvSpPr>
      </xdr:nvSpPr>
      <xdr:spPr bwMode="auto">
        <a:xfrm>
          <a:off x="15722834" y="40814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628" name="Text Box 192">
          <a:extLst>
            <a:ext uri="{FF2B5EF4-FFF2-40B4-BE49-F238E27FC236}">
              <a16:creationId xmlns:a16="http://schemas.microsoft.com/office/drawing/2014/main" id="{54D7435B-7D08-498E-863C-0EAA24CFBB9D}"/>
            </a:ext>
          </a:extLst>
        </xdr:cNvPr>
        <xdr:cNvSpPr txBox="1">
          <a:spLocks noChangeArrowheads="1"/>
        </xdr:cNvSpPr>
      </xdr:nvSpPr>
      <xdr:spPr bwMode="auto">
        <a:xfrm>
          <a:off x="15722834" y="4097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629" name="Text Box 192">
          <a:extLst>
            <a:ext uri="{FF2B5EF4-FFF2-40B4-BE49-F238E27FC236}">
              <a16:creationId xmlns:a16="http://schemas.microsoft.com/office/drawing/2014/main" id="{1F0E6333-197A-47A7-8183-F61871A30573}"/>
            </a:ext>
          </a:extLst>
        </xdr:cNvPr>
        <xdr:cNvSpPr txBox="1">
          <a:spLocks noChangeArrowheads="1"/>
        </xdr:cNvSpPr>
      </xdr:nvSpPr>
      <xdr:spPr bwMode="auto">
        <a:xfrm>
          <a:off x="15722834" y="4097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630" name="Text Box 192">
          <a:extLst>
            <a:ext uri="{FF2B5EF4-FFF2-40B4-BE49-F238E27FC236}">
              <a16:creationId xmlns:a16="http://schemas.microsoft.com/office/drawing/2014/main" id="{260D75DB-1996-4DC4-88C9-ECD90B4E387C}"/>
            </a:ext>
          </a:extLst>
        </xdr:cNvPr>
        <xdr:cNvSpPr txBox="1">
          <a:spLocks noChangeArrowheads="1"/>
        </xdr:cNvSpPr>
      </xdr:nvSpPr>
      <xdr:spPr bwMode="auto">
        <a:xfrm>
          <a:off x="15722834" y="41136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631" name="Text Box 192">
          <a:extLst>
            <a:ext uri="{FF2B5EF4-FFF2-40B4-BE49-F238E27FC236}">
              <a16:creationId xmlns:a16="http://schemas.microsoft.com/office/drawing/2014/main" id="{8939ABED-3A26-4E42-B69C-1DA4B1451AC7}"/>
            </a:ext>
          </a:extLst>
        </xdr:cNvPr>
        <xdr:cNvSpPr txBox="1">
          <a:spLocks noChangeArrowheads="1"/>
        </xdr:cNvSpPr>
      </xdr:nvSpPr>
      <xdr:spPr bwMode="auto">
        <a:xfrm>
          <a:off x="15722834" y="41136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632" name="Text Box 192">
          <a:extLst>
            <a:ext uri="{FF2B5EF4-FFF2-40B4-BE49-F238E27FC236}">
              <a16:creationId xmlns:a16="http://schemas.microsoft.com/office/drawing/2014/main" id="{662F4FD0-253B-468E-AC1D-93FF61CDB04A}"/>
            </a:ext>
          </a:extLst>
        </xdr:cNvPr>
        <xdr:cNvSpPr txBox="1">
          <a:spLocks noChangeArrowheads="1"/>
        </xdr:cNvSpPr>
      </xdr:nvSpPr>
      <xdr:spPr bwMode="auto">
        <a:xfrm>
          <a:off x="15722834" y="4129682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182</xdr:row>
      <xdr:rowOff>0</xdr:rowOff>
    </xdr:from>
    <xdr:ext cx="10372" cy="228955"/>
    <xdr:sp macro="" textlink="">
      <xdr:nvSpPr>
        <xdr:cNvPr id="633" name="Text Box 192">
          <a:extLst>
            <a:ext uri="{FF2B5EF4-FFF2-40B4-BE49-F238E27FC236}">
              <a16:creationId xmlns:a16="http://schemas.microsoft.com/office/drawing/2014/main" id="{C8829727-AFD4-4A8C-8565-F47D805685DE}"/>
            </a:ext>
          </a:extLst>
        </xdr:cNvPr>
        <xdr:cNvSpPr txBox="1">
          <a:spLocks noChangeArrowheads="1"/>
        </xdr:cNvSpPr>
      </xdr:nvSpPr>
      <xdr:spPr bwMode="auto">
        <a:xfrm>
          <a:off x="15722834" y="41665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634" name="Text Box 192">
          <a:extLst>
            <a:ext uri="{FF2B5EF4-FFF2-40B4-BE49-F238E27FC236}">
              <a16:creationId xmlns:a16="http://schemas.microsoft.com/office/drawing/2014/main" id="{8F99B2D0-05AD-418D-A7DE-0C0C513D697F}"/>
            </a:ext>
          </a:extLst>
        </xdr:cNvPr>
        <xdr:cNvSpPr txBox="1">
          <a:spLocks noChangeArrowheads="1"/>
        </xdr:cNvSpPr>
      </xdr:nvSpPr>
      <xdr:spPr bwMode="auto">
        <a:xfrm>
          <a:off x="15722834" y="41832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635" name="Text Box 192">
          <a:extLst>
            <a:ext uri="{FF2B5EF4-FFF2-40B4-BE49-F238E27FC236}">
              <a16:creationId xmlns:a16="http://schemas.microsoft.com/office/drawing/2014/main" id="{82254D12-6BF1-490D-90F1-1031040FC822}"/>
            </a:ext>
          </a:extLst>
        </xdr:cNvPr>
        <xdr:cNvSpPr txBox="1">
          <a:spLocks noChangeArrowheads="1"/>
        </xdr:cNvSpPr>
      </xdr:nvSpPr>
      <xdr:spPr bwMode="auto">
        <a:xfrm>
          <a:off x="15722834" y="41832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636" name="Text Box 192">
          <a:extLst>
            <a:ext uri="{FF2B5EF4-FFF2-40B4-BE49-F238E27FC236}">
              <a16:creationId xmlns:a16="http://schemas.microsoft.com/office/drawing/2014/main" id="{88BD2F94-D86F-4D68-9740-9FCF0B584750}"/>
            </a:ext>
          </a:extLst>
        </xdr:cNvPr>
        <xdr:cNvSpPr txBox="1">
          <a:spLocks noChangeArrowheads="1"/>
        </xdr:cNvSpPr>
      </xdr:nvSpPr>
      <xdr:spPr bwMode="auto">
        <a:xfrm>
          <a:off x="15722834" y="42154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637" name="Text Box 192">
          <a:extLst>
            <a:ext uri="{FF2B5EF4-FFF2-40B4-BE49-F238E27FC236}">
              <a16:creationId xmlns:a16="http://schemas.microsoft.com/office/drawing/2014/main" id="{6CB29D54-2DE4-4812-9A67-8DB03DB94D58}"/>
            </a:ext>
          </a:extLst>
        </xdr:cNvPr>
        <xdr:cNvSpPr txBox="1">
          <a:spLocks noChangeArrowheads="1"/>
        </xdr:cNvSpPr>
      </xdr:nvSpPr>
      <xdr:spPr bwMode="auto">
        <a:xfrm>
          <a:off x="15722834" y="42154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638" name="Text Box 192">
          <a:extLst>
            <a:ext uri="{FF2B5EF4-FFF2-40B4-BE49-F238E27FC236}">
              <a16:creationId xmlns:a16="http://schemas.microsoft.com/office/drawing/2014/main" id="{2B407BC2-20BF-4621-BB12-BDE3FC23C6D6}"/>
            </a:ext>
          </a:extLst>
        </xdr:cNvPr>
        <xdr:cNvSpPr txBox="1">
          <a:spLocks noChangeArrowheads="1"/>
        </xdr:cNvSpPr>
      </xdr:nvSpPr>
      <xdr:spPr bwMode="auto">
        <a:xfrm>
          <a:off x="15722834" y="42475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639" name="Text Box 192">
          <a:extLst>
            <a:ext uri="{FF2B5EF4-FFF2-40B4-BE49-F238E27FC236}">
              <a16:creationId xmlns:a16="http://schemas.microsoft.com/office/drawing/2014/main" id="{9C3DED7A-C8A5-4028-8E95-27B7B181A969}"/>
            </a:ext>
          </a:extLst>
        </xdr:cNvPr>
        <xdr:cNvSpPr txBox="1">
          <a:spLocks noChangeArrowheads="1"/>
        </xdr:cNvSpPr>
      </xdr:nvSpPr>
      <xdr:spPr bwMode="auto">
        <a:xfrm>
          <a:off x="15722834" y="42475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640" name="Text Box 192">
          <a:extLst>
            <a:ext uri="{FF2B5EF4-FFF2-40B4-BE49-F238E27FC236}">
              <a16:creationId xmlns:a16="http://schemas.microsoft.com/office/drawing/2014/main" id="{AF3B4E5E-2214-4601-BE74-A73AD9AC0E80}"/>
            </a:ext>
          </a:extLst>
        </xdr:cNvPr>
        <xdr:cNvSpPr txBox="1">
          <a:spLocks noChangeArrowheads="1"/>
        </xdr:cNvSpPr>
      </xdr:nvSpPr>
      <xdr:spPr bwMode="auto">
        <a:xfrm>
          <a:off x="15722834" y="4263628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641" name="Text Box 192">
          <a:extLst>
            <a:ext uri="{FF2B5EF4-FFF2-40B4-BE49-F238E27FC236}">
              <a16:creationId xmlns:a16="http://schemas.microsoft.com/office/drawing/2014/main" id="{4581AEBA-13FC-4462-A659-B60C5407F5FA}"/>
            </a:ext>
          </a:extLst>
        </xdr:cNvPr>
        <xdr:cNvSpPr txBox="1">
          <a:spLocks noChangeArrowheads="1"/>
        </xdr:cNvSpPr>
      </xdr:nvSpPr>
      <xdr:spPr bwMode="auto">
        <a:xfrm>
          <a:off x="15722834" y="4263628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642" name="Text Box 192">
          <a:extLst>
            <a:ext uri="{FF2B5EF4-FFF2-40B4-BE49-F238E27FC236}">
              <a16:creationId xmlns:a16="http://schemas.microsoft.com/office/drawing/2014/main" id="{557DCF9E-7F8A-40C2-AF35-0501EE5681FB}"/>
            </a:ext>
          </a:extLst>
        </xdr:cNvPr>
        <xdr:cNvSpPr txBox="1">
          <a:spLocks noChangeArrowheads="1"/>
        </xdr:cNvSpPr>
      </xdr:nvSpPr>
      <xdr:spPr bwMode="auto">
        <a:xfrm>
          <a:off x="15722834" y="427970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643" name="Text Box 192">
          <a:extLst>
            <a:ext uri="{FF2B5EF4-FFF2-40B4-BE49-F238E27FC236}">
              <a16:creationId xmlns:a16="http://schemas.microsoft.com/office/drawing/2014/main" id="{5D29716C-6103-4406-90E1-309AABF5A92D}"/>
            </a:ext>
          </a:extLst>
        </xdr:cNvPr>
        <xdr:cNvSpPr txBox="1">
          <a:spLocks noChangeArrowheads="1"/>
        </xdr:cNvSpPr>
      </xdr:nvSpPr>
      <xdr:spPr bwMode="auto">
        <a:xfrm>
          <a:off x="15722834" y="427970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644" name="Text Box 192">
          <a:extLst>
            <a:ext uri="{FF2B5EF4-FFF2-40B4-BE49-F238E27FC236}">
              <a16:creationId xmlns:a16="http://schemas.microsoft.com/office/drawing/2014/main" id="{EF18C6F2-1E38-41C6-B651-F1684CCA4240}"/>
            </a:ext>
          </a:extLst>
        </xdr:cNvPr>
        <xdr:cNvSpPr txBox="1">
          <a:spLocks noChangeArrowheads="1"/>
        </xdr:cNvSpPr>
      </xdr:nvSpPr>
      <xdr:spPr bwMode="auto">
        <a:xfrm>
          <a:off x="15722834" y="4311848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645" name="Text Box 192">
          <a:extLst>
            <a:ext uri="{FF2B5EF4-FFF2-40B4-BE49-F238E27FC236}">
              <a16:creationId xmlns:a16="http://schemas.microsoft.com/office/drawing/2014/main" id="{23990706-DCD3-4D71-95DF-57DF3AA47A8C}"/>
            </a:ext>
          </a:extLst>
        </xdr:cNvPr>
        <xdr:cNvSpPr txBox="1">
          <a:spLocks noChangeArrowheads="1"/>
        </xdr:cNvSpPr>
      </xdr:nvSpPr>
      <xdr:spPr bwMode="auto">
        <a:xfrm>
          <a:off x="15722834" y="4311848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646" name="Text Box 192">
          <a:extLst>
            <a:ext uri="{FF2B5EF4-FFF2-40B4-BE49-F238E27FC236}">
              <a16:creationId xmlns:a16="http://schemas.microsoft.com/office/drawing/2014/main" id="{E2D3D91C-2C36-4CEA-A94E-B45D7DFA0DC1}"/>
            </a:ext>
          </a:extLst>
        </xdr:cNvPr>
        <xdr:cNvSpPr txBox="1">
          <a:spLocks noChangeArrowheads="1"/>
        </xdr:cNvSpPr>
      </xdr:nvSpPr>
      <xdr:spPr bwMode="auto">
        <a:xfrm>
          <a:off x="15722834" y="432792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647" name="Text Box 192">
          <a:extLst>
            <a:ext uri="{FF2B5EF4-FFF2-40B4-BE49-F238E27FC236}">
              <a16:creationId xmlns:a16="http://schemas.microsoft.com/office/drawing/2014/main" id="{CDE3D714-8178-48E3-9D4A-4A485AE79A28}"/>
            </a:ext>
          </a:extLst>
        </xdr:cNvPr>
        <xdr:cNvSpPr txBox="1">
          <a:spLocks noChangeArrowheads="1"/>
        </xdr:cNvSpPr>
      </xdr:nvSpPr>
      <xdr:spPr bwMode="auto">
        <a:xfrm>
          <a:off x="15722834" y="432792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648" name="Text Box 192">
          <a:extLst>
            <a:ext uri="{FF2B5EF4-FFF2-40B4-BE49-F238E27FC236}">
              <a16:creationId xmlns:a16="http://schemas.microsoft.com/office/drawing/2014/main" id="{F7E0A3E8-12BD-47B7-A4E9-C98C4A25B723}"/>
            </a:ext>
          </a:extLst>
        </xdr:cNvPr>
        <xdr:cNvSpPr txBox="1">
          <a:spLocks noChangeArrowheads="1"/>
        </xdr:cNvSpPr>
      </xdr:nvSpPr>
      <xdr:spPr bwMode="auto">
        <a:xfrm>
          <a:off x="15722834" y="4343995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649" name="Text Box 192">
          <a:extLst>
            <a:ext uri="{FF2B5EF4-FFF2-40B4-BE49-F238E27FC236}">
              <a16:creationId xmlns:a16="http://schemas.microsoft.com/office/drawing/2014/main" id="{A9D3702B-8275-488B-ACC7-FA8D27BB47A9}"/>
            </a:ext>
          </a:extLst>
        </xdr:cNvPr>
        <xdr:cNvSpPr txBox="1">
          <a:spLocks noChangeArrowheads="1"/>
        </xdr:cNvSpPr>
      </xdr:nvSpPr>
      <xdr:spPr bwMode="auto">
        <a:xfrm>
          <a:off x="15722834" y="4343995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650" name="Text Box 192">
          <a:extLst>
            <a:ext uri="{FF2B5EF4-FFF2-40B4-BE49-F238E27FC236}">
              <a16:creationId xmlns:a16="http://schemas.microsoft.com/office/drawing/2014/main" id="{9F92BAB5-604B-4A1C-808D-6907E7A01877}"/>
            </a:ext>
          </a:extLst>
        </xdr:cNvPr>
        <xdr:cNvSpPr txBox="1">
          <a:spLocks noChangeArrowheads="1"/>
        </xdr:cNvSpPr>
      </xdr:nvSpPr>
      <xdr:spPr bwMode="auto">
        <a:xfrm>
          <a:off x="15722834" y="439281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651" name="Text Box 192">
          <a:extLst>
            <a:ext uri="{FF2B5EF4-FFF2-40B4-BE49-F238E27FC236}">
              <a16:creationId xmlns:a16="http://schemas.microsoft.com/office/drawing/2014/main" id="{E556CA22-3BAE-4737-80A2-F6CA2813DA0C}"/>
            </a:ext>
          </a:extLst>
        </xdr:cNvPr>
        <xdr:cNvSpPr txBox="1">
          <a:spLocks noChangeArrowheads="1"/>
        </xdr:cNvSpPr>
      </xdr:nvSpPr>
      <xdr:spPr bwMode="auto">
        <a:xfrm>
          <a:off x="15722834" y="439281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652" name="Text Box 192">
          <a:extLst>
            <a:ext uri="{FF2B5EF4-FFF2-40B4-BE49-F238E27FC236}">
              <a16:creationId xmlns:a16="http://schemas.microsoft.com/office/drawing/2014/main" id="{6E93255A-0736-4F56-ABA2-0374B9721CD5}"/>
            </a:ext>
          </a:extLst>
        </xdr:cNvPr>
        <xdr:cNvSpPr txBox="1">
          <a:spLocks noChangeArrowheads="1"/>
        </xdr:cNvSpPr>
      </xdr:nvSpPr>
      <xdr:spPr bwMode="auto">
        <a:xfrm>
          <a:off x="15722834" y="442495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653" name="Text Box 192">
          <a:extLst>
            <a:ext uri="{FF2B5EF4-FFF2-40B4-BE49-F238E27FC236}">
              <a16:creationId xmlns:a16="http://schemas.microsoft.com/office/drawing/2014/main" id="{2AA3F729-839C-4985-AB3C-0D5BCA37D668}"/>
            </a:ext>
          </a:extLst>
        </xdr:cNvPr>
        <xdr:cNvSpPr txBox="1">
          <a:spLocks noChangeArrowheads="1"/>
        </xdr:cNvSpPr>
      </xdr:nvSpPr>
      <xdr:spPr bwMode="auto">
        <a:xfrm>
          <a:off x="15722834" y="44785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654" name="Text Box 192">
          <a:extLst>
            <a:ext uri="{FF2B5EF4-FFF2-40B4-BE49-F238E27FC236}">
              <a16:creationId xmlns:a16="http://schemas.microsoft.com/office/drawing/2014/main" id="{A2C710A4-9508-4F12-A949-C51DFB306433}"/>
            </a:ext>
          </a:extLst>
        </xdr:cNvPr>
        <xdr:cNvSpPr txBox="1">
          <a:spLocks noChangeArrowheads="1"/>
        </xdr:cNvSpPr>
      </xdr:nvSpPr>
      <xdr:spPr bwMode="auto">
        <a:xfrm>
          <a:off x="15722834" y="44946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655" name="Text Box 192">
          <a:extLst>
            <a:ext uri="{FF2B5EF4-FFF2-40B4-BE49-F238E27FC236}">
              <a16:creationId xmlns:a16="http://schemas.microsoft.com/office/drawing/2014/main" id="{20B8CDAA-5A80-4A3C-BF4B-95640D25F0EC}"/>
            </a:ext>
          </a:extLst>
        </xdr:cNvPr>
        <xdr:cNvSpPr txBox="1">
          <a:spLocks noChangeArrowheads="1"/>
        </xdr:cNvSpPr>
      </xdr:nvSpPr>
      <xdr:spPr bwMode="auto">
        <a:xfrm>
          <a:off x="15722834" y="4548187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656" name="Text Box 192">
          <a:extLst>
            <a:ext uri="{FF2B5EF4-FFF2-40B4-BE49-F238E27FC236}">
              <a16:creationId xmlns:a16="http://schemas.microsoft.com/office/drawing/2014/main" id="{5A33D07E-68E0-4542-97BD-74183FC2F18E}"/>
            </a:ext>
          </a:extLst>
        </xdr:cNvPr>
        <xdr:cNvSpPr txBox="1">
          <a:spLocks noChangeArrowheads="1"/>
        </xdr:cNvSpPr>
      </xdr:nvSpPr>
      <xdr:spPr bwMode="auto">
        <a:xfrm>
          <a:off x="15722834" y="462915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657" name="Text Box 192">
          <a:extLst>
            <a:ext uri="{FF2B5EF4-FFF2-40B4-BE49-F238E27FC236}">
              <a16:creationId xmlns:a16="http://schemas.microsoft.com/office/drawing/2014/main" id="{B27A91C9-908D-4A3A-B5C4-D31FFB14F5C5}"/>
            </a:ext>
          </a:extLst>
        </xdr:cNvPr>
        <xdr:cNvSpPr txBox="1">
          <a:spLocks noChangeArrowheads="1"/>
        </xdr:cNvSpPr>
      </xdr:nvSpPr>
      <xdr:spPr bwMode="auto">
        <a:xfrm>
          <a:off x="15722834" y="471011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658" name="Text Box 192">
          <a:extLst>
            <a:ext uri="{FF2B5EF4-FFF2-40B4-BE49-F238E27FC236}">
              <a16:creationId xmlns:a16="http://schemas.microsoft.com/office/drawing/2014/main" id="{585A67D9-BB5D-4070-9BA1-361209FAF131}"/>
            </a:ext>
          </a:extLst>
        </xdr:cNvPr>
        <xdr:cNvSpPr txBox="1">
          <a:spLocks noChangeArrowheads="1"/>
        </xdr:cNvSpPr>
      </xdr:nvSpPr>
      <xdr:spPr bwMode="auto">
        <a:xfrm>
          <a:off x="15722834" y="4791075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659" name="Text Box 192">
          <a:extLst>
            <a:ext uri="{FF2B5EF4-FFF2-40B4-BE49-F238E27FC236}">
              <a16:creationId xmlns:a16="http://schemas.microsoft.com/office/drawing/2014/main" id="{76DA34D6-1DC8-4C86-8BE4-E190710338CF}"/>
            </a:ext>
          </a:extLst>
        </xdr:cNvPr>
        <xdr:cNvSpPr txBox="1">
          <a:spLocks noChangeArrowheads="1"/>
        </xdr:cNvSpPr>
      </xdr:nvSpPr>
      <xdr:spPr bwMode="auto">
        <a:xfrm>
          <a:off x="15722834" y="48398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660" name="Text Box 192">
          <a:extLst>
            <a:ext uri="{FF2B5EF4-FFF2-40B4-BE49-F238E27FC236}">
              <a16:creationId xmlns:a16="http://schemas.microsoft.com/office/drawing/2014/main" id="{4CE7BE0D-D7D2-4097-9F30-30A034239F19}"/>
            </a:ext>
          </a:extLst>
        </xdr:cNvPr>
        <xdr:cNvSpPr txBox="1">
          <a:spLocks noChangeArrowheads="1"/>
        </xdr:cNvSpPr>
      </xdr:nvSpPr>
      <xdr:spPr bwMode="auto">
        <a:xfrm>
          <a:off x="15722834" y="488870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661" name="Text Box 192">
          <a:extLst>
            <a:ext uri="{FF2B5EF4-FFF2-40B4-BE49-F238E27FC236}">
              <a16:creationId xmlns:a16="http://schemas.microsoft.com/office/drawing/2014/main" id="{32ECD1E3-0A85-4BD5-B10C-A12A974127CB}"/>
            </a:ext>
          </a:extLst>
        </xdr:cNvPr>
        <xdr:cNvSpPr txBox="1">
          <a:spLocks noChangeArrowheads="1"/>
        </xdr:cNvSpPr>
      </xdr:nvSpPr>
      <xdr:spPr bwMode="auto">
        <a:xfrm>
          <a:off x="15722834" y="490477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662" name="Text Box 192">
          <a:extLst>
            <a:ext uri="{FF2B5EF4-FFF2-40B4-BE49-F238E27FC236}">
              <a16:creationId xmlns:a16="http://schemas.microsoft.com/office/drawing/2014/main" id="{ABD013E1-F524-42AA-B802-40462A9A1819}"/>
            </a:ext>
          </a:extLst>
        </xdr:cNvPr>
        <xdr:cNvSpPr txBox="1">
          <a:spLocks noChangeArrowheads="1"/>
        </xdr:cNvSpPr>
      </xdr:nvSpPr>
      <xdr:spPr bwMode="auto">
        <a:xfrm>
          <a:off x="15722834" y="4920853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663" name="Text Box 192">
          <a:extLst>
            <a:ext uri="{FF2B5EF4-FFF2-40B4-BE49-F238E27FC236}">
              <a16:creationId xmlns:a16="http://schemas.microsoft.com/office/drawing/2014/main" id="{6E122308-2432-44D6-B894-F02F97033C59}"/>
            </a:ext>
          </a:extLst>
        </xdr:cNvPr>
        <xdr:cNvSpPr txBox="1">
          <a:spLocks noChangeArrowheads="1"/>
        </xdr:cNvSpPr>
      </xdr:nvSpPr>
      <xdr:spPr bwMode="auto">
        <a:xfrm>
          <a:off x="15722834" y="493692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664" name="Text Box 192">
          <a:extLst>
            <a:ext uri="{FF2B5EF4-FFF2-40B4-BE49-F238E27FC236}">
              <a16:creationId xmlns:a16="http://schemas.microsoft.com/office/drawing/2014/main" id="{D9202175-51E2-4183-B419-31F2EE0F1FEE}"/>
            </a:ext>
          </a:extLst>
        </xdr:cNvPr>
        <xdr:cNvSpPr txBox="1">
          <a:spLocks noChangeArrowheads="1"/>
        </xdr:cNvSpPr>
      </xdr:nvSpPr>
      <xdr:spPr bwMode="auto">
        <a:xfrm>
          <a:off x="15722834" y="49690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665" name="Text Box 192">
          <a:extLst>
            <a:ext uri="{FF2B5EF4-FFF2-40B4-BE49-F238E27FC236}">
              <a16:creationId xmlns:a16="http://schemas.microsoft.com/office/drawing/2014/main" id="{E2842AD4-E1A9-4D0B-B24C-C34C6FBBAE3C}"/>
            </a:ext>
          </a:extLst>
        </xdr:cNvPr>
        <xdr:cNvSpPr txBox="1">
          <a:spLocks noChangeArrowheads="1"/>
        </xdr:cNvSpPr>
      </xdr:nvSpPr>
      <xdr:spPr bwMode="auto">
        <a:xfrm>
          <a:off x="15722834" y="4985146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666" name="Text Box 192">
          <a:extLst>
            <a:ext uri="{FF2B5EF4-FFF2-40B4-BE49-F238E27FC236}">
              <a16:creationId xmlns:a16="http://schemas.microsoft.com/office/drawing/2014/main" id="{2A52ECEE-40DF-4E08-A6A9-06075F23374C}"/>
            </a:ext>
          </a:extLst>
        </xdr:cNvPr>
        <xdr:cNvSpPr txBox="1">
          <a:spLocks noChangeArrowheads="1"/>
        </xdr:cNvSpPr>
      </xdr:nvSpPr>
      <xdr:spPr bwMode="auto">
        <a:xfrm>
          <a:off x="15722834" y="50012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667" name="Text Box 192">
          <a:extLst>
            <a:ext uri="{FF2B5EF4-FFF2-40B4-BE49-F238E27FC236}">
              <a16:creationId xmlns:a16="http://schemas.microsoft.com/office/drawing/2014/main" id="{63760306-A1AA-4CCC-918C-8D74CA429496}"/>
            </a:ext>
          </a:extLst>
        </xdr:cNvPr>
        <xdr:cNvSpPr txBox="1">
          <a:spLocks noChangeArrowheads="1"/>
        </xdr:cNvSpPr>
      </xdr:nvSpPr>
      <xdr:spPr bwMode="auto">
        <a:xfrm>
          <a:off x="15722834" y="501729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668" name="Text Box 192">
          <a:extLst>
            <a:ext uri="{FF2B5EF4-FFF2-40B4-BE49-F238E27FC236}">
              <a16:creationId xmlns:a16="http://schemas.microsoft.com/office/drawing/2014/main" id="{529DEAB8-CCCD-4DD7-BA28-2A9F560B4021}"/>
            </a:ext>
          </a:extLst>
        </xdr:cNvPr>
        <xdr:cNvSpPr txBox="1">
          <a:spLocks noChangeArrowheads="1"/>
        </xdr:cNvSpPr>
      </xdr:nvSpPr>
      <xdr:spPr bwMode="auto">
        <a:xfrm>
          <a:off x="15722834" y="507087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669" name="Text Box 192">
          <a:extLst>
            <a:ext uri="{FF2B5EF4-FFF2-40B4-BE49-F238E27FC236}">
              <a16:creationId xmlns:a16="http://schemas.microsoft.com/office/drawing/2014/main" id="{B4C85E76-2D47-40EA-8D5B-DA3752A08B54}"/>
            </a:ext>
          </a:extLst>
        </xdr:cNvPr>
        <xdr:cNvSpPr txBox="1">
          <a:spLocks noChangeArrowheads="1"/>
        </xdr:cNvSpPr>
      </xdr:nvSpPr>
      <xdr:spPr bwMode="auto">
        <a:xfrm>
          <a:off x="15722834" y="51357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670" name="Text Box 192">
          <a:extLst>
            <a:ext uri="{FF2B5EF4-FFF2-40B4-BE49-F238E27FC236}">
              <a16:creationId xmlns:a16="http://schemas.microsoft.com/office/drawing/2014/main" id="{A1BCE931-5624-4087-ABC4-55CC4AAC0E02}"/>
            </a:ext>
          </a:extLst>
        </xdr:cNvPr>
        <xdr:cNvSpPr txBox="1">
          <a:spLocks noChangeArrowheads="1"/>
        </xdr:cNvSpPr>
      </xdr:nvSpPr>
      <xdr:spPr bwMode="auto">
        <a:xfrm>
          <a:off x="15722834" y="520065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671" name="Text Box 192">
          <a:extLst>
            <a:ext uri="{FF2B5EF4-FFF2-40B4-BE49-F238E27FC236}">
              <a16:creationId xmlns:a16="http://schemas.microsoft.com/office/drawing/2014/main" id="{A0BFBBB2-7211-4D8D-B807-A5B85848A652}"/>
            </a:ext>
          </a:extLst>
        </xdr:cNvPr>
        <xdr:cNvSpPr txBox="1">
          <a:spLocks noChangeArrowheads="1"/>
        </xdr:cNvSpPr>
      </xdr:nvSpPr>
      <xdr:spPr bwMode="auto">
        <a:xfrm>
          <a:off x="15722834" y="526553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16</xdr:col>
      <xdr:colOff>631</xdr:colOff>
      <xdr:row>222</xdr:row>
      <xdr:rowOff>553641</xdr:rowOff>
    </xdr:from>
    <xdr:ext cx="10372" cy="228955"/>
    <xdr:sp macro="" textlink="">
      <xdr:nvSpPr>
        <xdr:cNvPr id="672" name="Text Box 192">
          <a:extLst>
            <a:ext uri="{FF2B5EF4-FFF2-40B4-BE49-F238E27FC236}">
              <a16:creationId xmlns:a16="http://schemas.microsoft.com/office/drawing/2014/main" id="{7B845122-57D7-498D-BAE6-7E427F3CF651}"/>
            </a:ext>
          </a:extLst>
        </xdr:cNvPr>
        <xdr:cNvSpPr txBox="1">
          <a:spLocks noChangeArrowheads="1"/>
        </xdr:cNvSpPr>
      </xdr:nvSpPr>
      <xdr:spPr bwMode="auto">
        <a:xfrm>
          <a:off x="22003381" y="553700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673" name="Text Box 192">
          <a:extLst>
            <a:ext uri="{FF2B5EF4-FFF2-40B4-BE49-F238E27FC236}">
              <a16:creationId xmlns:a16="http://schemas.microsoft.com/office/drawing/2014/main" id="{65410814-186C-4870-A85A-DB67CF8FAAFB}"/>
            </a:ext>
          </a:extLst>
        </xdr:cNvPr>
        <xdr:cNvSpPr txBox="1">
          <a:spLocks noChangeArrowheads="1"/>
        </xdr:cNvSpPr>
      </xdr:nvSpPr>
      <xdr:spPr bwMode="auto">
        <a:xfrm>
          <a:off x="15722834" y="5416748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674" name="Text Box 192">
          <a:extLst>
            <a:ext uri="{FF2B5EF4-FFF2-40B4-BE49-F238E27FC236}">
              <a16:creationId xmlns:a16="http://schemas.microsoft.com/office/drawing/2014/main" id="{2157916A-2A36-410C-863F-5F8DB81E0D06}"/>
            </a:ext>
          </a:extLst>
        </xdr:cNvPr>
        <xdr:cNvSpPr txBox="1">
          <a:spLocks noChangeArrowheads="1"/>
        </xdr:cNvSpPr>
      </xdr:nvSpPr>
      <xdr:spPr bwMode="auto">
        <a:xfrm>
          <a:off x="15722834" y="5481637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675" name="Text Box 192">
          <a:extLst>
            <a:ext uri="{FF2B5EF4-FFF2-40B4-BE49-F238E27FC236}">
              <a16:creationId xmlns:a16="http://schemas.microsoft.com/office/drawing/2014/main" id="{84B0697E-1682-4893-9994-E8AB657D7C83}"/>
            </a:ext>
          </a:extLst>
        </xdr:cNvPr>
        <xdr:cNvSpPr txBox="1">
          <a:spLocks noChangeArrowheads="1"/>
        </xdr:cNvSpPr>
      </xdr:nvSpPr>
      <xdr:spPr bwMode="auto">
        <a:xfrm>
          <a:off x="15722834" y="554652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676" name="Text Box 192">
          <a:extLst>
            <a:ext uri="{FF2B5EF4-FFF2-40B4-BE49-F238E27FC236}">
              <a16:creationId xmlns:a16="http://schemas.microsoft.com/office/drawing/2014/main" id="{8EC4410A-BC41-47A7-8199-4CA1F63A8ABC}"/>
            </a:ext>
          </a:extLst>
        </xdr:cNvPr>
        <xdr:cNvSpPr txBox="1">
          <a:spLocks noChangeArrowheads="1"/>
        </xdr:cNvSpPr>
      </xdr:nvSpPr>
      <xdr:spPr bwMode="auto">
        <a:xfrm>
          <a:off x="15722834" y="56489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677" name="Text Box 192">
          <a:extLst>
            <a:ext uri="{FF2B5EF4-FFF2-40B4-BE49-F238E27FC236}">
              <a16:creationId xmlns:a16="http://schemas.microsoft.com/office/drawing/2014/main" id="{65E87309-99A7-4111-9F47-52C018DEFE09}"/>
            </a:ext>
          </a:extLst>
        </xdr:cNvPr>
        <xdr:cNvSpPr txBox="1">
          <a:spLocks noChangeArrowheads="1"/>
        </xdr:cNvSpPr>
      </xdr:nvSpPr>
      <xdr:spPr bwMode="auto">
        <a:xfrm>
          <a:off x="15722834" y="56977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678" name="Text Box 192">
          <a:extLst>
            <a:ext uri="{FF2B5EF4-FFF2-40B4-BE49-F238E27FC236}">
              <a16:creationId xmlns:a16="http://schemas.microsoft.com/office/drawing/2014/main" id="{9C63D246-61B3-4ED0-8D4F-AF9E366B0621}"/>
            </a:ext>
          </a:extLst>
        </xdr:cNvPr>
        <xdr:cNvSpPr txBox="1">
          <a:spLocks noChangeArrowheads="1"/>
        </xdr:cNvSpPr>
      </xdr:nvSpPr>
      <xdr:spPr bwMode="auto">
        <a:xfrm>
          <a:off x="15722834" y="574655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679" name="Text Box 192">
          <a:extLst>
            <a:ext uri="{FF2B5EF4-FFF2-40B4-BE49-F238E27FC236}">
              <a16:creationId xmlns:a16="http://schemas.microsoft.com/office/drawing/2014/main" id="{528B617C-6937-4E4E-A9B8-C2CBF51AF185}"/>
            </a:ext>
          </a:extLst>
        </xdr:cNvPr>
        <xdr:cNvSpPr txBox="1">
          <a:spLocks noChangeArrowheads="1"/>
        </xdr:cNvSpPr>
      </xdr:nvSpPr>
      <xdr:spPr bwMode="auto">
        <a:xfrm>
          <a:off x="15722834" y="580012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680" name="Text Box 192">
          <a:extLst>
            <a:ext uri="{FF2B5EF4-FFF2-40B4-BE49-F238E27FC236}">
              <a16:creationId xmlns:a16="http://schemas.microsoft.com/office/drawing/2014/main" id="{06923750-8BFB-4361-9B6C-DE1258471C14}"/>
            </a:ext>
          </a:extLst>
        </xdr:cNvPr>
        <xdr:cNvSpPr txBox="1">
          <a:spLocks noChangeArrowheads="1"/>
        </xdr:cNvSpPr>
      </xdr:nvSpPr>
      <xdr:spPr bwMode="auto">
        <a:xfrm>
          <a:off x="15722834" y="586501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681" name="Text Box 192">
          <a:extLst>
            <a:ext uri="{FF2B5EF4-FFF2-40B4-BE49-F238E27FC236}">
              <a16:creationId xmlns:a16="http://schemas.microsoft.com/office/drawing/2014/main" id="{C4D9CF3B-33B9-449E-A5C3-CDDF41ED7D3A}"/>
            </a:ext>
          </a:extLst>
        </xdr:cNvPr>
        <xdr:cNvSpPr txBox="1">
          <a:spLocks noChangeArrowheads="1"/>
        </xdr:cNvSpPr>
      </xdr:nvSpPr>
      <xdr:spPr bwMode="auto">
        <a:xfrm>
          <a:off x="15722834" y="59299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682" name="Text Box 192">
          <a:extLst>
            <a:ext uri="{FF2B5EF4-FFF2-40B4-BE49-F238E27FC236}">
              <a16:creationId xmlns:a16="http://schemas.microsoft.com/office/drawing/2014/main" id="{98349137-AF90-412D-8483-4A1830A6F3F9}"/>
            </a:ext>
          </a:extLst>
        </xdr:cNvPr>
        <xdr:cNvSpPr txBox="1">
          <a:spLocks noChangeArrowheads="1"/>
        </xdr:cNvSpPr>
      </xdr:nvSpPr>
      <xdr:spPr bwMode="auto">
        <a:xfrm>
          <a:off x="15722834" y="59787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683" name="Text Box 192">
          <a:extLst>
            <a:ext uri="{FF2B5EF4-FFF2-40B4-BE49-F238E27FC236}">
              <a16:creationId xmlns:a16="http://schemas.microsoft.com/office/drawing/2014/main" id="{C08BB5FC-1F22-4170-814A-F31A4AD928FD}"/>
            </a:ext>
          </a:extLst>
        </xdr:cNvPr>
        <xdr:cNvSpPr txBox="1">
          <a:spLocks noChangeArrowheads="1"/>
        </xdr:cNvSpPr>
      </xdr:nvSpPr>
      <xdr:spPr bwMode="auto">
        <a:xfrm>
          <a:off x="15722834" y="604361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684" name="Text Box 192">
          <a:extLst>
            <a:ext uri="{FF2B5EF4-FFF2-40B4-BE49-F238E27FC236}">
              <a16:creationId xmlns:a16="http://schemas.microsoft.com/office/drawing/2014/main" id="{46005802-0587-4948-95F3-EBED42017613}"/>
            </a:ext>
          </a:extLst>
        </xdr:cNvPr>
        <xdr:cNvSpPr txBox="1">
          <a:spLocks noChangeArrowheads="1"/>
        </xdr:cNvSpPr>
      </xdr:nvSpPr>
      <xdr:spPr bwMode="auto">
        <a:xfrm>
          <a:off x="15722834" y="6092428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685" name="Text Box 192">
          <a:extLst>
            <a:ext uri="{FF2B5EF4-FFF2-40B4-BE49-F238E27FC236}">
              <a16:creationId xmlns:a16="http://schemas.microsoft.com/office/drawing/2014/main" id="{554CEEA2-2843-4ABE-AB4F-6E0E59CE727B}"/>
            </a:ext>
          </a:extLst>
        </xdr:cNvPr>
        <xdr:cNvSpPr txBox="1">
          <a:spLocks noChangeArrowheads="1"/>
        </xdr:cNvSpPr>
      </xdr:nvSpPr>
      <xdr:spPr bwMode="auto">
        <a:xfrm>
          <a:off x="15722834" y="6157317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686" name="Text Box 192">
          <a:extLst>
            <a:ext uri="{FF2B5EF4-FFF2-40B4-BE49-F238E27FC236}">
              <a16:creationId xmlns:a16="http://schemas.microsoft.com/office/drawing/2014/main" id="{65EA21F8-67CD-4564-B1CC-9F83E7731A0D}"/>
            </a:ext>
          </a:extLst>
        </xdr:cNvPr>
        <xdr:cNvSpPr txBox="1">
          <a:spLocks noChangeArrowheads="1"/>
        </xdr:cNvSpPr>
      </xdr:nvSpPr>
      <xdr:spPr bwMode="auto">
        <a:xfrm>
          <a:off x="15722834" y="622220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687" name="Text Box 192">
          <a:extLst>
            <a:ext uri="{FF2B5EF4-FFF2-40B4-BE49-F238E27FC236}">
              <a16:creationId xmlns:a16="http://schemas.microsoft.com/office/drawing/2014/main" id="{6DBFD0E3-D0E3-4ACE-A7C8-32ACC3A5CD50}"/>
            </a:ext>
          </a:extLst>
        </xdr:cNvPr>
        <xdr:cNvSpPr txBox="1">
          <a:spLocks noChangeArrowheads="1"/>
        </xdr:cNvSpPr>
      </xdr:nvSpPr>
      <xdr:spPr bwMode="auto">
        <a:xfrm>
          <a:off x="15722834" y="627102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688" name="Text Box 192">
          <a:extLst>
            <a:ext uri="{FF2B5EF4-FFF2-40B4-BE49-F238E27FC236}">
              <a16:creationId xmlns:a16="http://schemas.microsoft.com/office/drawing/2014/main" id="{0C120FFF-A87C-46E7-BEDF-6E8B95CBADBF}"/>
            </a:ext>
          </a:extLst>
        </xdr:cNvPr>
        <xdr:cNvSpPr txBox="1">
          <a:spLocks noChangeArrowheads="1"/>
        </xdr:cNvSpPr>
      </xdr:nvSpPr>
      <xdr:spPr bwMode="auto">
        <a:xfrm>
          <a:off x="15722834" y="633591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689" name="Text Box 192">
          <a:extLst>
            <a:ext uri="{FF2B5EF4-FFF2-40B4-BE49-F238E27FC236}">
              <a16:creationId xmlns:a16="http://schemas.microsoft.com/office/drawing/2014/main" id="{B7A40483-C56E-4A41-AC97-54759185E3D8}"/>
            </a:ext>
          </a:extLst>
        </xdr:cNvPr>
        <xdr:cNvSpPr txBox="1">
          <a:spLocks noChangeArrowheads="1"/>
        </xdr:cNvSpPr>
      </xdr:nvSpPr>
      <xdr:spPr bwMode="auto">
        <a:xfrm>
          <a:off x="15722834" y="638472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690" name="Text Box 192">
          <a:extLst>
            <a:ext uri="{FF2B5EF4-FFF2-40B4-BE49-F238E27FC236}">
              <a16:creationId xmlns:a16="http://schemas.microsoft.com/office/drawing/2014/main" id="{E257112A-4B27-4D53-A1C8-D06639A292D9}"/>
            </a:ext>
          </a:extLst>
        </xdr:cNvPr>
        <xdr:cNvSpPr txBox="1">
          <a:spLocks noChangeArrowheads="1"/>
        </xdr:cNvSpPr>
      </xdr:nvSpPr>
      <xdr:spPr bwMode="auto">
        <a:xfrm>
          <a:off x="15722834" y="64008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691" name="Text Box 192">
          <a:extLst>
            <a:ext uri="{FF2B5EF4-FFF2-40B4-BE49-F238E27FC236}">
              <a16:creationId xmlns:a16="http://schemas.microsoft.com/office/drawing/2014/main" id="{7B8366F0-4747-4AD8-8CBF-37F22AC5773E}"/>
            </a:ext>
          </a:extLst>
        </xdr:cNvPr>
        <xdr:cNvSpPr txBox="1">
          <a:spLocks noChangeArrowheads="1"/>
        </xdr:cNvSpPr>
      </xdr:nvSpPr>
      <xdr:spPr bwMode="auto">
        <a:xfrm>
          <a:off x="15722834" y="6449615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692" name="Text Box 192">
          <a:extLst>
            <a:ext uri="{FF2B5EF4-FFF2-40B4-BE49-F238E27FC236}">
              <a16:creationId xmlns:a16="http://schemas.microsoft.com/office/drawing/2014/main" id="{DE4BCEC5-70F7-4469-9554-71E9F70A8D78}"/>
            </a:ext>
          </a:extLst>
        </xdr:cNvPr>
        <xdr:cNvSpPr txBox="1">
          <a:spLocks noChangeArrowheads="1"/>
        </xdr:cNvSpPr>
      </xdr:nvSpPr>
      <xdr:spPr bwMode="auto">
        <a:xfrm>
          <a:off x="15722834" y="651450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693" name="Text Box 192">
          <a:extLst>
            <a:ext uri="{FF2B5EF4-FFF2-40B4-BE49-F238E27FC236}">
              <a16:creationId xmlns:a16="http://schemas.microsoft.com/office/drawing/2014/main" id="{D61D52A9-045A-4866-B4E3-E047682B94DC}"/>
            </a:ext>
          </a:extLst>
        </xdr:cNvPr>
        <xdr:cNvSpPr txBox="1">
          <a:spLocks noChangeArrowheads="1"/>
        </xdr:cNvSpPr>
      </xdr:nvSpPr>
      <xdr:spPr bwMode="auto">
        <a:xfrm>
          <a:off x="15722834" y="657939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694" name="Text Box 192">
          <a:extLst>
            <a:ext uri="{FF2B5EF4-FFF2-40B4-BE49-F238E27FC236}">
              <a16:creationId xmlns:a16="http://schemas.microsoft.com/office/drawing/2014/main" id="{B6299579-5C0F-40D6-BAC9-526E2E6C2F34}"/>
            </a:ext>
          </a:extLst>
        </xdr:cNvPr>
        <xdr:cNvSpPr txBox="1">
          <a:spLocks noChangeArrowheads="1"/>
        </xdr:cNvSpPr>
      </xdr:nvSpPr>
      <xdr:spPr bwMode="auto">
        <a:xfrm>
          <a:off x="15722834" y="663297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695" name="Text Box 192">
          <a:extLst>
            <a:ext uri="{FF2B5EF4-FFF2-40B4-BE49-F238E27FC236}">
              <a16:creationId xmlns:a16="http://schemas.microsoft.com/office/drawing/2014/main" id="{3C6C0C41-4467-4FF5-8A77-45539D823865}"/>
            </a:ext>
          </a:extLst>
        </xdr:cNvPr>
        <xdr:cNvSpPr txBox="1">
          <a:spLocks noChangeArrowheads="1"/>
        </xdr:cNvSpPr>
      </xdr:nvSpPr>
      <xdr:spPr bwMode="auto">
        <a:xfrm>
          <a:off x="15722834" y="676275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696" name="Text Box 192">
          <a:extLst>
            <a:ext uri="{FF2B5EF4-FFF2-40B4-BE49-F238E27FC236}">
              <a16:creationId xmlns:a16="http://schemas.microsoft.com/office/drawing/2014/main" id="{DEF71B6D-1563-4C7A-9E79-1E45809B389E}"/>
            </a:ext>
          </a:extLst>
        </xdr:cNvPr>
        <xdr:cNvSpPr txBox="1">
          <a:spLocks noChangeArrowheads="1"/>
        </xdr:cNvSpPr>
      </xdr:nvSpPr>
      <xdr:spPr bwMode="auto">
        <a:xfrm>
          <a:off x="15722834" y="6892528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697" name="Text Box 192">
          <a:extLst>
            <a:ext uri="{FF2B5EF4-FFF2-40B4-BE49-F238E27FC236}">
              <a16:creationId xmlns:a16="http://schemas.microsoft.com/office/drawing/2014/main" id="{ADA1B9D4-5289-4AC0-A9DE-3F14D5812724}"/>
            </a:ext>
          </a:extLst>
        </xdr:cNvPr>
        <xdr:cNvSpPr txBox="1">
          <a:spLocks noChangeArrowheads="1"/>
        </xdr:cNvSpPr>
      </xdr:nvSpPr>
      <xdr:spPr bwMode="auto">
        <a:xfrm>
          <a:off x="15722834" y="69895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698" name="Text Box 192">
          <a:extLst>
            <a:ext uri="{FF2B5EF4-FFF2-40B4-BE49-F238E27FC236}">
              <a16:creationId xmlns:a16="http://schemas.microsoft.com/office/drawing/2014/main" id="{0DF54DEB-C641-4779-B2DC-4B3ADC0320D2}"/>
            </a:ext>
          </a:extLst>
        </xdr:cNvPr>
        <xdr:cNvSpPr txBox="1">
          <a:spLocks noChangeArrowheads="1"/>
        </xdr:cNvSpPr>
      </xdr:nvSpPr>
      <xdr:spPr bwMode="auto">
        <a:xfrm>
          <a:off x="15722834" y="71026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699" name="Text Box 192">
          <a:extLst>
            <a:ext uri="{FF2B5EF4-FFF2-40B4-BE49-F238E27FC236}">
              <a16:creationId xmlns:a16="http://schemas.microsoft.com/office/drawing/2014/main" id="{25616B01-C4F0-4F49-BD49-423F315C47CB}"/>
            </a:ext>
          </a:extLst>
        </xdr:cNvPr>
        <xdr:cNvSpPr txBox="1">
          <a:spLocks noChangeArrowheads="1"/>
        </xdr:cNvSpPr>
      </xdr:nvSpPr>
      <xdr:spPr bwMode="auto">
        <a:xfrm>
          <a:off x="15722834" y="723245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700" name="Text Box 192">
          <a:extLst>
            <a:ext uri="{FF2B5EF4-FFF2-40B4-BE49-F238E27FC236}">
              <a16:creationId xmlns:a16="http://schemas.microsoft.com/office/drawing/2014/main" id="{EE063A8D-7FA8-4B5E-85B7-A28B7A1ECB41}"/>
            </a:ext>
          </a:extLst>
        </xdr:cNvPr>
        <xdr:cNvSpPr txBox="1">
          <a:spLocks noChangeArrowheads="1"/>
        </xdr:cNvSpPr>
      </xdr:nvSpPr>
      <xdr:spPr bwMode="auto">
        <a:xfrm>
          <a:off x="15722834" y="736222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701" name="Text Box 192">
          <a:extLst>
            <a:ext uri="{FF2B5EF4-FFF2-40B4-BE49-F238E27FC236}">
              <a16:creationId xmlns:a16="http://schemas.microsoft.com/office/drawing/2014/main" id="{58341A53-9907-4004-97B0-216A53EB920D}"/>
            </a:ext>
          </a:extLst>
        </xdr:cNvPr>
        <xdr:cNvSpPr txBox="1">
          <a:spLocks noChangeArrowheads="1"/>
        </xdr:cNvSpPr>
      </xdr:nvSpPr>
      <xdr:spPr bwMode="auto">
        <a:xfrm>
          <a:off x="15722834" y="74920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702" name="Text Box 192">
          <a:extLst>
            <a:ext uri="{FF2B5EF4-FFF2-40B4-BE49-F238E27FC236}">
              <a16:creationId xmlns:a16="http://schemas.microsoft.com/office/drawing/2014/main" id="{06551201-4102-4E67-8EC6-D1FD222E734B}"/>
            </a:ext>
          </a:extLst>
        </xdr:cNvPr>
        <xdr:cNvSpPr txBox="1">
          <a:spLocks noChangeArrowheads="1"/>
        </xdr:cNvSpPr>
      </xdr:nvSpPr>
      <xdr:spPr bwMode="auto">
        <a:xfrm>
          <a:off x="15722834" y="762178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703" name="Text Box 192">
          <a:extLst>
            <a:ext uri="{FF2B5EF4-FFF2-40B4-BE49-F238E27FC236}">
              <a16:creationId xmlns:a16="http://schemas.microsoft.com/office/drawing/2014/main" id="{55D5E583-6A73-4D08-B8DF-1DD15FE03AB5}"/>
            </a:ext>
          </a:extLst>
        </xdr:cNvPr>
        <xdr:cNvSpPr txBox="1">
          <a:spLocks noChangeArrowheads="1"/>
        </xdr:cNvSpPr>
      </xdr:nvSpPr>
      <xdr:spPr bwMode="auto">
        <a:xfrm>
          <a:off x="15722834" y="77515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704" name="Text Box 192">
          <a:extLst>
            <a:ext uri="{FF2B5EF4-FFF2-40B4-BE49-F238E27FC236}">
              <a16:creationId xmlns:a16="http://schemas.microsoft.com/office/drawing/2014/main" id="{14FB9595-5B13-48AB-A1CA-16834CC21527}"/>
            </a:ext>
          </a:extLst>
        </xdr:cNvPr>
        <xdr:cNvSpPr txBox="1">
          <a:spLocks noChangeArrowheads="1"/>
        </xdr:cNvSpPr>
      </xdr:nvSpPr>
      <xdr:spPr bwMode="auto">
        <a:xfrm>
          <a:off x="15722834" y="7848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705" name="Text Box 192">
          <a:extLst>
            <a:ext uri="{FF2B5EF4-FFF2-40B4-BE49-F238E27FC236}">
              <a16:creationId xmlns:a16="http://schemas.microsoft.com/office/drawing/2014/main" id="{1F982FD4-96BC-442B-9476-7AF8545D6D80}"/>
            </a:ext>
          </a:extLst>
        </xdr:cNvPr>
        <xdr:cNvSpPr txBox="1">
          <a:spLocks noChangeArrowheads="1"/>
        </xdr:cNvSpPr>
      </xdr:nvSpPr>
      <xdr:spPr bwMode="auto">
        <a:xfrm>
          <a:off x="15722834" y="794563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706" name="Text Box 192">
          <a:extLst>
            <a:ext uri="{FF2B5EF4-FFF2-40B4-BE49-F238E27FC236}">
              <a16:creationId xmlns:a16="http://schemas.microsoft.com/office/drawing/2014/main" id="{C3770144-E2D5-4298-A8A4-9240C7C78D71}"/>
            </a:ext>
          </a:extLst>
        </xdr:cNvPr>
        <xdr:cNvSpPr txBox="1">
          <a:spLocks noChangeArrowheads="1"/>
        </xdr:cNvSpPr>
      </xdr:nvSpPr>
      <xdr:spPr bwMode="auto">
        <a:xfrm>
          <a:off x="15722834" y="804267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707" name="Text Box 192">
          <a:extLst>
            <a:ext uri="{FF2B5EF4-FFF2-40B4-BE49-F238E27FC236}">
              <a16:creationId xmlns:a16="http://schemas.microsoft.com/office/drawing/2014/main" id="{047087CA-FA3C-4187-B9D7-4D172D2F2101}"/>
            </a:ext>
          </a:extLst>
        </xdr:cNvPr>
        <xdr:cNvSpPr txBox="1">
          <a:spLocks noChangeArrowheads="1"/>
        </xdr:cNvSpPr>
      </xdr:nvSpPr>
      <xdr:spPr bwMode="auto">
        <a:xfrm>
          <a:off x="15722834" y="81075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708" name="Text Box 192">
          <a:extLst>
            <a:ext uri="{FF2B5EF4-FFF2-40B4-BE49-F238E27FC236}">
              <a16:creationId xmlns:a16="http://schemas.microsoft.com/office/drawing/2014/main" id="{976411D1-B906-438C-B32F-5C0DE0C0EA2B}"/>
            </a:ext>
          </a:extLst>
        </xdr:cNvPr>
        <xdr:cNvSpPr txBox="1">
          <a:spLocks noChangeArrowheads="1"/>
        </xdr:cNvSpPr>
      </xdr:nvSpPr>
      <xdr:spPr bwMode="auto">
        <a:xfrm>
          <a:off x="15722834" y="8193881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709" name="Text Box 192">
          <a:extLst>
            <a:ext uri="{FF2B5EF4-FFF2-40B4-BE49-F238E27FC236}">
              <a16:creationId xmlns:a16="http://schemas.microsoft.com/office/drawing/2014/main" id="{CDC4BDF1-6F41-4580-A7A7-27D63B977DAF}"/>
            </a:ext>
          </a:extLst>
        </xdr:cNvPr>
        <xdr:cNvSpPr txBox="1">
          <a:spLocks noChangeArrowheads="1"/>
        </xdr:cNvSpPr>
      </xdr:nvSpPr>
      <xdr:spPr bwMode="auto">
        <a:xfrm>
          <a:off x="15722834" y="8312348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710" name="Text Box 192">
          <a:extLst>
            <a:ext uri="{FF2B5EF4-FFF2-40B4-BE49-F238E27FC236}">
              <a16:creationId xmlns:a16="http://schemas.microsoft.com/office/drawing/2014/main" id="{3692D13F-F74B-4700-A3ED-79C016488308}"/>
            </a:ext>
          </a:extLst>
        </xdr:cNvPr>
        <xdr:cNvSpPr txBox="1">
          <a:spLocks noChangeArrowheads="1"/>
        </xdr:cNvSpPr>
      </xdr:nvSpPr>
      <xdr:spPr bwMode="auto">
        <a:xfrm>
          <a:off x="15722834" y="832842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711" name="Text Box 192">
          <a:extLst>
            <a:ext uri="{FF2B5EF4-FFF2-40B4-BE49-F238E27FC236}">
              <a16:creationId xmlns:a16="http://schemas.microsoft.com/office/drawing/2014/main" id="{9F759032-22BD-4658-A674-22917B453D6D}"/>
            </a:ext>
          </a:extLst>
        </xdr:cNvPr>
        <xdr:cNvSpPr txBox="1">
          <a:spLocks noChangeArrowheads="1"/>
        </xdr:cNvSpPr>
      </xdr:nvSpPr>
      <xdr:spPr bwMode="auto">
        <a:xfrm>
          <a:off x="15722834" y="8344495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712" name="Text Box 192">
          <a:extLst>
            <a:ext uri="{FF2B5EF4-FFF2-40B4-BE49-F238E27FC236}">
              <a16:creationId xmlns:a16="http://schemas.microsoft.com/office/drawing/2014/main" id="{A37B11A8-C2F8-4D69-9C7E-CA0B1EEFEAC2}"/>
            </a:ext>
          </a:extLst>
        </xdr:cNvPr>
        <xdr:cNvSpPr txBox="1">
          <a:spLocks noChangeArrowheads="1"/>
        </xdr:cNvSpPr>
      </xdr:nvSpPr>
      <xdr:spPr bwMode="auto">
        <a:xfrm>
          <a:off x="15722834" y="837664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713" name="Text Box 192">
          <a:extLst>
            <a:ext uri="{FF2B5EF4-FFF2-40B4-BE49-F238E27FC236}">
              <a16:creationId xmlns:a16="http://schemas.microsoft.com/office/drawing/2014/main" id="{A8ECEDD2-9B5F-4031-84E4-ABB04B756250}"/>
            </a:ext>
          </a:extLst>
        </xdr:cNvPr>
        <xdr:cNvSpPr txBox="1">
          <a:spLocks noChangeArrowheads="1"/>
        </xdr:cNvSpPr>
      </xdr:nvSpPr>
      <xdr:spPr bwMode="auto">
        <a:xfrm>
          <a:off x="15722834" y="842545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714" name="Text Box 192">
          <a:extLst>
            <a:ext uri="{FF2B5EF4-FFF2-40B4-BE49-F238E27FC236}">
              <a16:creationId xmlns:a16="http://schemas.microsoft.com/office/drawing/2014/main" id="{F4E40B7D-D66F-4034-AE03-3752035C6FB6}"/>
            </a:ext>
          </a:extLst>
        </xdr:cNvPr>
        <xdr:cNvSpPr txBox="1">
          <a:spLocks noChangeArrowheads="1"/>
        </xdr:cNvSpPr>
      </xdr:nvSpPr>
      <xdr:spPr bwMode="auto">
        <a:xfrm>
          <a:off x="15722834" y="8490346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715" name="Text Box 192">
          <a:extLst>
            <a:ext uri="{FF2B5EF4-FFF2-40B4-BE49-F238E27FC236}">
              <a16:creationId xmlns:a16="http://schemas.microsoft.com/office/drawing/2014/main" id="{FAC8D20F-ADED-452E-A631-02A3669CD259}"/>
            </a:ext>
          </a:extLst>
        </xdr:cNvPr>
        <xdr:cNvSpPr txBox="1">
          <a:spLocks noChangeArrowheads="1"/>
        </xdr:cNvSpPr>
      </xdr:nvSpPr>
      <xdr:spPr bwMode="auto">
        <a:xfrm>
          <a:off x="15722834" y="857130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716" name="Text Box 192">
          <a:extLst>
            <a:ext uri="{FF2B5EF4-FFF2-40B4-BE49-F238E27FC236}">
              <a16:creationId xmlns:a16="http://schemas.microsoft.com/office/drawing/2014/main" id="{D0A38AC5-0E1D-4746-8E9F-DC0E7346A531}"/>
            </a:ext>
          </a:extLst>
        </xdr:cNvPr>
        <xdr:cNvSpPr txBox="1">
          <a:spLocks noChangeArrowheads="1"/>
        </xdr:cNvSpPr>
      </xdr:nvSpPr>
      <xdr:spPr bwMode="auto">
        <a:xfrm>
          <a:off x="15722834" y="8587382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717" name="Text Box 192">
          <a:extLst>
            <a:ext uri="{FF2B5EF4-FFF2-40B4-BE49-F238E27FC236}">
              <a16:creationId xmlns:a16="http://schemas.microsoft.com/office/drawing/2014/main" id="{EFF463C8-BC41-409F-8653-1A99F15F292E}"/>
            </a:ext>
          </a:extLst>
        </xdr:cNvPr>
        <xdr:cNvSpPr txBox="1">
          <a:spLocks noChangeArrowheads="1"/>
        </xdr:cNvSpPr>
      </xdr:nvSpPr>
      <xdr:spPr bwMode="auto">
        <a:xfrm>
          <a:off x="15722834" y="8603456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718" name="Text Box 192">
          <a:extLst>
            <a:ext uri="{FF2B5EF4-FFF2-40B4-BE49-F238E27FC236}">
              <a16:creationId xmlns:a16="http://schemas.microsoft.com/office/drawing/2014/main" id="{79EB30B1-D31F-4AAC-B716-8A7483038AF0}"/>
            </a:ext>
          </a:extLst>
        </xdr:cNvPr>
        <xdr:cNvSpPr txBox="1">
          <a:spLocks noChangeArrowheads="1"/>
        </xdr:cNvSpPr>
      </xdr:nvSpPr>
      <xdr:spPr bwMode="auto">
        <a:xfrm>
          <a:off x="15722834" y="8619529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719" name="Text Box 192">
          <a:extLst>
            <a:ext uri="{FF2B5EF4-FFF2-40B4-BE49-F238E27FC236}">
              <a16:creationId xmlns:a16="http://schemas.microsoft.com/office/drawing/2014/main" id="{B3AD1869-DF00-44C5-9FE2-1838C02042DF}"/>
            </a:ext>
          </a:extLst>
        </xdr:cNvPr>
        <xdr:cNvSpPr txBox="1">
          <a:spLocks noChangeArrowheads="1"/>
        </xdr:cNvSpPr>
      </xdr:nvSpPr>
      <xdr:spPr bwMode="auto">
        <a:xfrm>
          <a:off x="15722834" y="8635603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720" name="Text Box 192">
          <a:extLst>
            <a:ext uri="{FF2B5EF4-FFF2-40B4-BE49-F238E27FC236}">
              <a16:creationId xmlns:a16="http://schemas.microsoft.com/office/drawing/2014/main" id="{3FA0AE78-A9D7-4A8D-856C-DE9459AC69BE}"/>
            </a:ext>
          </a:extLst>
        </xdr:cNvPr>
        <xdr:cNvSpPr txBox="1">
          <a:spLocks noChangeArrowheads="1"/>
        </xdr:cNvSpPr>
      </xdr:nvSpPr>
      <xdr:spPr bwMode="auto">
        <a:xfrm>
          <a:off x="15722834" y="8651676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721" name="Text Box 192">
          <a:extLst>
            <a:ext uri="{FF2B5EF4-FFF2-40B4-BE49-F238E27FC236}">
              <a16:creationId xmlns:a16="http://schemas.microsoft.com/office/drawing/2014/main" id="{BCDD9A99-BE4A-4E01-A855-180EEBCEBBAA}"/>
            </a:ext>
          </a:extLst>
        </xdr:cNvPr>
        <xdr:cNvSpPr txBox="1">
          <a:spLocks noChangeArrowheads="1"/>
        </xdr:cNvSpPr>
      </xdr:nvSpPr>
      <xdr:spPr bwMode="auto">
        <a:xfrm>
          <a:off x="15722834" y="866775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722" name="Text Box 192">
          <a:extLst>
            <a:ext uri="{FF2B5EF4-FFF2-40B4-BE49-F238E27FC236}">
              <a16:creationId xmlns:a16="http://schemas.microsoft.com/office/drawing/2014/main" id="{86C0F217-0DAE-473F-96DE-24D8D77FBBB9}"/>
            </a:ext>
          </a:extLst>
        </xdr:cNvPr>
        <xdr:cNvSpPr txBox="1">
          <a:spLocks noChangeArrowheads="1"/>
        </xdr:cNvSpPr>
      </xdr:nvSpPr>
      <xdr:spPr bwMode="auto">
        <a:xfrm>
          <a:off x="15722834" y="86838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723" name="Text Box 192">
          <a:extLst>
            <a:ext uri="{FF2B5EF4-FFF2-40B4-BE49-F238E27FC236}">
              <a16:creationId xmlns:a16="http://schemas.microsoft.com/office/drawing/2014/main" id="{99EE6F19-A0F4-4FF2-B890-6C7895984AD0}"/>
            </a:ext>
          </a:extLst>
        </xdr:cNvPr>
        <xdr:cNvSpPr txBox="1">
          <a:spLocks noChangeArrowheads="1"/>
        </xdr:cNvSpPr>
      </xdr:nvSpPr>
      <xdr:spPr bwMode="auto">
        <a:xfrm>
          <a:off x="15722834" y="8780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724" name="Text Box 192">
          <a:extLst>
            <a:ext uri="{FF2B5EF4-FFF2-40B4-BE49-F238E27FC236}">
              <a16:creationId xmlns:a16="http://schemas.microsoft.com/office/drawing/2014/main" id="{794A0B2F-3951-4CCE-BF3A-955F502EC33A}"/>
            </a:ext>
          </a:extLst>
        </xdr:cNvPr>
        <xdr:cNvSpPr txBox="1">
          <a:spLocks noChangeArrowheads="1"/>
        </xdr:cNvSpPr>
      </xdr:nvSpPr>
      <xdr:spPr bwMode="auto">
        <a:xfrm>
          <a:off x="15722834" y="89154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725" name="Text Box 192">
          <a:extLst>
            <a:ext uri="{FF2B5EF4-FFF2-40B4-BE49-F238E27FC236}">
              <a16:creationId xmlns:a16="http://schemas.microsoft.com/office/drawing/2014/main" id="{59835B88-3F3F-4B5E-B22A-E8AB2223712B}"/>
            </a:ext>
          </a:extLst>
        </xdr:cNvPr>
        <xdr:cNvSpPr txBox="1">
          <a:spLocks noChangeArrowheads="1"/>
        </xdr:cNvSpPr>
      </xdr:nvSpPr>
      <xdr:spPr bwMode="auto">
        <a:xfrm>
          <a:off x="15722834" y="89963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726" name="Text Box 192">
          <a:extLst>
            <a:ext uri="{FF2B5EF4-FFF2-40B4-BE49-F238E27FC236}">
              <a16:creationId xmlns:a16="http://schemas.microsoft.com/office/drawing/2014/main" id="{DA9BE66D-E747-4EE2-83A3-8422A96DE369}"/>
            </a:ext>
          </a:extLst>
        </xdr:cNvPr>
        <xdr:cNvSpPr txBox="1">
          <a:spLocks noChangeArrowheads="1"/>
        </xdr:cNvSpPr>
      </xdr:nvSpPr>
      <xdr:spPr bwMode="auto">
        <a:xfrm>
          <a:off x="15722834" y="910947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727" name="Text Box 192">
          <a:extLst>
            <a:ext uri="{FF2B5EF4-FFF2-40B4-BE49-F238E27FC236}">
              <a16:creationId xmlns:a16="http://schemas.microsoft.com/office/drawing/2014/main" id="{FFE7306E-BCD3-4F89-9A11-42F4509C4A35}"/>
            </a:ext>
          </a:extLst>
        </xdr:cNvPr>
        <xdr:cNvSpPr txBox="1">
          <a:spLocks noChangeArrowheads="1"/>
        </xdr:cNvSpPr>
      </xdr:nvSpPr>
      <xdr:spPr bwMode="auto">
        <a:xfrm>
          <a:off x="15722834" y="9260086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728" name="Text Box 192">
          <a:extLst>
            <a:ext uri="{FF2B5EF4-FFF2-40B4-BE49-F238E27FC236}">
              <a16:creationId xmlns:a16="http://schemas.microsoft.com/office/drawing/2014/main" id="{970292E9-F941-4531-ADBD-8A10C99B7264}"/>
            </a:ext>
          </a:extLst>
        </xdr:cNvPr>
        <xdr:cNvSpPr txBox="1">
          <a:spLocks noChangeArrowheads="1"/>
        </xdr:cNvSpPr>
      </xdr:nvSpPr>
      <xdr:spPr bwMode="auto">
        <a:xfrm>
          <a:off x="15722834" y="92761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729" name="Text Box 192">
          <a:extLst>
            <a:ext uri="{FF2B5EF4-FFF2-40B4-BE49-F238E27FC236}">
              <a16:creationId xmlns:a16="http://schemas.microsoft.com/office/drawing/2014/main" id="{87113002-F61F-4CA6-AD60-29AC79DA7A31}"/>
            </a:ext>
          </a:extLst>
        </xdr:cNvPr>
        <xdr:cNvSpPr txBox="1">
          <a:spLocks noChangeArrowheads="1"/>
        </xdr:cNvSpPr>
      </xdr:nvSpPr>
      <xdr:spPr bwMode="auto">
        <a:xfrm>
          <a:off x="15722834" y="9341048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730" name="Text Box 192">
          <a:extLst>
            <a:ext uri="{FF2B5EF4-FFF2-40B4-BE49-F238E27FC236}">
              <a16:creationId xmlns:a16="http://schemas.microsoft.com/office/drawing/2014/main" id="{F90A9133-4774-4BD9-AE89-39B4C9EAED5E}"/>
            </a:ext>
          </a:extLst>
        </xdr:cNvPr>
        <xdr:cNvSpPr txBox="1">
          <a:spLocks noChangeArrowheads="1"/>
        </xdr:cNvSpPr>
      </xdr:nvSpPr>
      <xdr:spPr bwMode="auto">
        <a:xfrm>
          <a:off x="15722834" y="93898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731" name="Text Box 192">
          <a:extLst>
            <a:ext uri="{FF2B5EF4-FFF2-40B4-BE49-F238E27FC236}">
              <a16:creationId xmlns:a16="http://schemas.microsoft.com/office/drawing/2014/main" id="{FA86C370-E9EA-4685-BE2B-EFF7B7368685}"/>
            </a:ext>
          </a:extLst>
        </xdr:cNvPr>
        <xdr:cNvSpPr txBox="1">
          <a:spLocks noChangeArrowheads="1"/>
        </xdr:cNvSpPr>
      </xdr:nvSpPr>
      <xdr:spPr bwMode="auto">
        <a:xfrm>
          <a:off x="15722834" y="9476184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732" name="Text Box 192">
          <a:extLst>
            <a:ext uri="{FF2B5EF4-FFF2-40B4-BE49-F238E27FC236}">
              <a16:creationId xmlns:a16="http://schemas.microsoft.com/office/drawing/2014/main" id="{EAFBE4DE-E8D9-4134-BB03-F63EEFEA1F8F}"/>
            </a:ext>
          </a:extLst>
        </xdr:cNvPr>
        <xdr:cNvSpPr txBox="1">
          <a:spLocks noChangeArrowheads="1"/>
        </xdr:cNvSpPr>
      </xdr:nvSpPr>
      <xdr:spPr bwMode="auto">
        <a:xfrm>
          <a:off x="15722834" y="958929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733" name="Text Box 192">
          <a:extLst>
            <a:ext uri="{FF2B5EF4-FFF2-40B4-BE49-F238E27FC236}">
              <a16:creationId xmlns:a16="http://schemas.microsoft.com/office/drawing/2014/main" id="{E96220E9-D5C4-4ACD-9D4C-1BF23B7C187C}"/>
            </a:ext>
          </a:extLst>
        </xdr:cNvPr>
        <xdr:cNvSpPr txBox="1">
          <a:spLocks noChangeArrowheads="1"/>
        </xdr:cNvSpPr>
      </xdr:nvSpPr>
      <xdr:spPr bwMode="auto">
        <a:xfrm>
          <a:off x="15722834" y="9739907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16</xdr:col>
      <xdr:colOff>566178</xdr:colOff>
      <xdr:row>305</xdr:row>
      <xdr:rowOff>59531</xdr:rowOff>
    </xdr:from>
    <xdr:ext cx="10372" cy="228955"/>
    <xdr:sp macro="" textlink="">
      <xdr:nvSpPr>
        <xdr:cNvPr id="734" name="Text Box 192">
          <a:extLst>
            <a:ext uri="{FF2B5EF4-FFF2-40B4-BE49-F238E27FC236}">
              <a16:creationId xmlns:a16="http://schemas.microsoft.com/office/drawing/2014/main" id="{71ABECBC-77E8-4B69-A6D9-3B42D3461C34}"/>
            </a:ext>
          </a:extLst>
        </xdr:cNvPr>
        <xdr:cNvSpPr txBox="1">
          <a:spLocks noChangeArrowheads="1"/>
        </xdr:cNvSpPr>
      </xdr:nvSpPr>
      <xdr:spPr bwMode="auto">
        <a:xfrm>
          <a:off x="22568928" y="984230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735" name="Text Box 192">
          <a:extLst>
            <a:ext uri="{FF2B5EF4-FFF2-40B4-BE49-F238E27FC236}">
              <a16:creationId xmlns:a16="http://schemas.microsoft.com/office/drawing/2014/main" id="{97F4E3F2-70ED-4CE5-95B7-6076DA6F0A60}"/>
            </a:ext>
          </a:extLst>
        </xdr:cNvPr>
        <xdr:cNvSpPr txBox="1">
          <a:spLocks noChangeArrowheads="1"/>
        </xdr:cNvSpPr>
      </xdr:nvSpPr>
      <xdr:spPr bwMode="auto">
        <a:xfrm>
          <a:off x="15722834" y="97720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736" name="Text Box 192">
          <a:extLst>
            <a:ext uri="{FF2B5EF4-FFF2-40B4-BE49-F238E27FC236}">
              <a16:creationId xmlns:a16="http://schemas.microsoft.com/office/drawing/2014/main" id="{0C1C11C6-D709-433D-8ADC-7CAC2C33AC86}"/>
            </a:ext>
          </a:extLst>
        </xdr:cNvPr>
        <xdr:cNvSpPr txBox="1">
          <a:spLocks noChangeArrowheads="1"/>
        </xdr:cNvSpPr>
      </xdr:nvSpPr>
      <xdr:spPr bwMode="auto">
        <a:xfrm>
          <a:off x="15722834" y="9788128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737" name="Text Box 192">
          <a:extLst>
            <a:ext uri="{FF2B5EF4-FFF2-40B4-BE49-F238E27FC236}">
              <a16:creationId xmlns:a16="http://schemas.microsoft.com/office/drawing/2014/main" id="{55BF1E70-48CF-41D4-AB7B-99D77F4536EB}"/>
            </a:ext>
          </a:extLst>
        </xdr:cNvPr>
        <xdr:cNvSpPr txBox="1">
          <a:spLocks noChangeArrowheads="1"/>
        </xdr:cNvSpPr>
      </xdr:nvSpPr>
      <xdr:spPr bwMode="auto">
        <a:xfrm>
          <a:off x="15722834" y="980420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738" name="Text Box 192">
          <a:extLst>
            <a:ext uri="{FF2B5EF4-FFF2-40B4-BE49-F238E27FC236}">
              <a16:creationId xmlns:a16="http://schemas.microsoft.com/office/drawing/2014/main" id="{0B15EC75-3910-46CE-8DF5-A601288AF5D4}"/>
            </a:ext>
          </a:extLst>
        </xdr:cNvPr>
        <xdr:cNvSpPr txBox="1">
          <a:spLocks noChangeArrowheads="1"/>
        </xdr:cNvSpPr>
      </xdr:nvSpPr>
      <xdr:spPr bwMode="auto">
        <a:xfrm>
          <a:off x="15722834" y="9820275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739" name="Text Box 192">
          <a:extLst>
            <a:ext uri="{FF2B5EF4-FFF2-40B4-BE49-F238E27FC236}">
              <a16:creationId xmlns:a16="http://schemas.microsoft.com/office/drawing/2014/main" id="{2228B5DF-7A9F-4DF1-931D-99ECBC786C65}"/>
            </a:ext>
          </a:extLst>
        </xdr:cNvPr>
        <xdr:cNvSpPr txBox="1">
          <a:spLocks noChangeArrowheads="1"/>
        </xdr:cNvSpPr>
      </xdr:nvSpPr>
      <xdr:spPr bwMode="auto">
        <a:xfrm>
          <a:off x="15722834" y="9836348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740" name="Text Box 192">
          <a:extLst>
            <a:ext uri="{FF2B5EF4-FFF2-40B4-BE49-F238E27FC236}">
              <a16:creationId xmlns:a16="http://schemas.microsoft.com/office/drawing/2014/main" id="{492490B4-8746-49D1-82CF-8044BD80798B}"/>
            </a:ext>
          </a:extLst>
        </xdr:cNvPr>
        <xdr:cNvSpPr txBox="1">
          <a:spLocks noChangeArrowheads="1"/>
        </xdr:cNvSpPr>
      </xdr:nvSpPr>
      <xdr:spPr bwMode="auto">
        <a:xfrm>
          <a:off x="15722834" y="98524219"/>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xdr:row>
      <xdr:rowOff>0</xdr:rowOff>
    </xdr:from>
    <xdr:ext cx="10372" cy="228955"/>
    <xdr:sp macro="" textlink="">
      <xdr:nvSpPr>
        <xdr:cNvPr id="741" name="Text Box 192">
          <a:extLst>
            <a:ext uri="{FF2B5EF4-FFF2-40B4-BE49-F238E27FC236}">
              <a16:creationId xmlns:a16="http://schemas.microsoft.com/office/drawing/2014/main" id="{FEB72A21-0B2A-47D0-8748-CBADAED1C330}"/>
            </a:ext>
          </a:extLst>
        </xdr:cNvPr>
        <xdr:cNvSpPr txBox="1">
          <a:spLocks noChangeArrowheads="1"/>
        </xdr:cNvSpPr>
      </xdr:nvSpPr>
      <xdr:spPr bwMode="auto">
        <a:xfrm>
          <a:off x="24718006" y="521493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xdr:row>
      <xdr:rowOff>0</xdr:rowOff>
    </xdr:from>
    <xdr:ext cx="10372" cy="228955"/>
    <xdr:sp macro="" textlink="">
      <xdr:nvSpPr>
        <xdr:cNvPr id="742" name="Text Box 192">
          <a:extLst>
            <a:ext uri="{FF2B5EF4-FFF2-40B4-BE49-F238E27FC236}">
              <a16:creationId xmlns:a16="http://schemas.microsoft.com/office/drawing/2014/main" id="{145E236C-9A18-4517-83A8-6258D4535DE3}"/>
            </a:ext>
          </a:extLst>
        </xdr:cNvPr>
        <xdr:cNvSpPr txBox="1">
          <a:spLocks noChangeArrowheads="1"/>
        </xdr:cNvSpPr>
      </xdr:nvSpPr>
      <xdr:spPr bwMode="auto">
        <a:xfrm>
          <a:off x="24718006" y="5381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xdr:row>
      <xdr:rowOff>0</xdr:rowOff>
    </xdr:from>
    <xdr:ext cx="10372" cy="228955"/>
    <xdr:sp macro="" textlink="">
      <xdr:nvSpPr>
        <xdr:cNvPr id="743" name="Text Box 192">
          <a:extLst>
            <a:ext uri="{FF2B5EF4-FFF2-40B4-BE49-F238E27FC236}">
              <a16:creationId xmlns:a16="http://schemas.microsoft.com/office/drawing/2014/main" id="{EA346F30-0FF2-47E1-99B6-7ECD3CCCF3F2}"/>
            </a:ext>
          </a:extLst>
        </xdr:cNvPr>
        <xdr:cNvSpPr txBox="1">
          <a:spLocks noChangeArrowheads="1"/>
        </xdr:cNvSpPr>
      </xdr:nvSpPr>
      <xdr:spPr bwMode="auto">
        <a:xfrm>
          <a:off x="24718006" y="538162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xdr:row>
      <xdr:rowOff>0</xdr:rowOff>
    </xdr:from>
    <xdr:ext cx="10372" cy="228955"/>
    <xdr:sp macro="" textlink="">
      <xdr:nvSpPr>
        <xdr:cNvPr id="744" name="Text Box 192">
          <a:extLst>
            <a:ext uri="{FF2B5EF4-FFF2-40B4-BE49-F238E27FC236}">
              <a16:creationId xmlns:a16="http://schemas.microsoft.com/office/drawing/2014/main" id="{D27D53C9-DAC3-4171-AF80-7E9E78FEC44D}"/>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745" name="Text Box 192">
          <a:extLst>
            <a:ext uri="{FF2B5EF4-FFF2-40B4-BE49-F238E27FC236}">
              <a16:creationId xmlns:a16="http://schemas.microsoft.com/office/drawing/2014/main" id="{0A62962D-8C5D-4B65-8F83-14EB6814B4C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xdr:row>
      <xdr:rowOff>0</xdr:rowOff>
    </xdr:from>
    <xdr:ext cx="10372" cy="228955"/>
    <xdr:sp macro="" textlink="">
      <xdr:nvSpPr>
        <xdr:cNvPr id="746" name="Text Box 192">
          <a:extLst>
            <a:ext uri="{FF2B5EF4-FFF2-40B4-BE49-F238E27FC236}">
              <a16:creationId xmlns:a16="http://schemas.microsoft.com/office/drawing/2014/main" id="{FE78A874-AC88-44D7-898B-129CAEF1E13A}"/>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747" name="Text Box 192">
          <a:extLst>
            <a:ext uri="{FF2B5EF4-FFF2-40B4-BE49-F238E27FC236}">
              <a16:creationId xmlns:a16="http://schemas.microsoft.com/office/drawing/2014/main" id="{9BECCE5B-9751-45DA-95D6-B9DFE6E513B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748" name="Text Box 192">
          <a:extLst>
            <a:ext uri="{FF2B5EF4-FFF2-40B4-BE49-F238E27FC236}">
              <a16:creationId xmlns:a16="http://schemas.microsoft.com/office/drawing/2014/main" id="{D83488D1-E9B5-4949-8C56-87975C9C5C7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749" name="Text Box 192">
          <a:extLst>
            <a:ext uri="{FF2B5EF4-FFF2-40B4-BE49-F238E27FC236}">
              <a16:creationId xmlns:a16="http://schemas.microsoft.com/office/drawing/2014/main" id="{B50CFB8A-B1AE-4423-BF60-2DAEA5F17D89}"/>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750" name="Text Box 192">
          <a:extLst>
            <a:ext uri="{FF2B5EF4-FFF2-40B4-BE49-F238E27FC236}">
              <a16:creationId xmlns:a16="http://schemas.microsoft.com/office/drawing/2014/main" id="{815B585E-266C-4C83-8BE9-F4043A0C1C3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751" name="Text Box 192">
          <a:extLst>
            <a:ext uri="{FF2B5EF4-FFF2-40B4-BE49-F238E27FC236}">
              <a16:creationId xmlns:a16="http://schemas.microsoft.com/office/drawing/2014/main" id="{07B20798-4DCC-4DD0-B325-1132F557749D}"/>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752" name="Text Box 192">
          <a:extLst>
            <a:ext uri="{FF2B5EF4-FFF2-40B4-BE49-F238E27FC236}">
              <a16:creationId xmlns:a16="http://schemas.microsoft.com/office/drawing/2014/main" id="{489E0851-744B-44BD-8ED3-EC04723AAB2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753" name="Text Box 192">
          <a:extLst>
            <a:ext uri="{FF2B5EF4-FFF2-40B4-BE49-F238E27FC236}">
              <a16:creationId xmlns:a16="http://schemas.microsoft.com/office/drawing/2014/main" id="{01C5DA0D-4C68-494C-AECC-92A82CBFD22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754" name="Text Box 192">
          <a:extLst>
            <a:ext uri="{FF2B5EF4-FFF2-40B4-BE49-F238E27FC236}">
              <a16:creationId xmlns:a16="http://schemas.microsoft.com/office/drawing/2014/main" id="{A66779F4-CE91-4E03-B5FB-962245516F4F}"/>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755" name="Text Box 192">
          <a:extLst>
            <a:ext uri="{FF2B5EF4-FFF2-40B4-BE49-F238E27FC236}">
              <a16:creationId xmlns:a16="http://schemas.microsoft.com/office/drawing/2014/main" id="{389DC49E-D691-489F-A88C-54413D10099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756" name="Text Box 192">
          <a:extLst>
            <a:ext uri="{FF2B5EF4-FFF2-40B4-BE49-F238E27FC236}">
              <a16:creationId xmlns:a16="http://schemas.microsoft.com/office/drawing/2014/main" id="{9CCC2997-ACAD-4F4C-950A-ADB0DEA1A7BB}"/>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757" name="Text Box 192">
          <a:extLst>
            <a:ext uri="{FF2B5EF4-FFF2-40B4-BE49-F238E27FC236}">
              <a16:creationId xmlns:a16="http://schemas.microsoft.com/office/drawing/2014/main" id="{4EC53245-96A4-47E1-A0E0-8DC6264B750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758" name="Text Box 192">
          <a:extLst>
            <a:ext uri="{FF2B5EF4-FFF2-40B4-BE49-F238E27FC236}">
              <a16:creationId xmlns:a16="http://schemas.microsoft.com/office/drawing/2014/main" id="{2F3E5622-63E0-450E-A8CA-9FB0E2041AFB}"/>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759" name="Text Box 192">
          <a:extLst>
            <a:ext uri="{FF2B5EF4-FFF2-40B4-BE49-F238E27FC236}">
              <a16:creationId xmlns:a16="http://schemas.microsoft.com/office/drawing/2014/main" id="{92EFF637-9820-44C6-A0EC-01B36161FEB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760" name="Text Box 192">
          <a:extLst>
            <a:ext uri="{FF2B5EF4-FFF2-40B4-BE49-F238E27FC236}">
              <a16:creationId xmlns:a16="http://schemas.microsoft.com/office/drawing/2014/main" id="{0945B9BB-CB3B-4A30-8099-A020AE63215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761" name="Text Box 192">
          <a:extLst>
            <a:ext uri="{FF2B5EF4-FFF2-40B4-BE49-F238E27FC236}">
              <a16:creationId xmlns:a16="http://schemas.microsoft.com/office/drawing/2014/main" id="{88A896EF-813F-4B53-9297-780C1452545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762" name="Text Box 192">
          <a:extLst>
            <a:ext uri="{FF2B5EF4-FFF2-40B4-BE49-F238E27FC236}">
              <a16:creationId xmlns:a16="http://schemas.microsoft.com/office/drawing/2014/main" id="{95A7C87D-6CAA-4F97-B32F-E99F9BC9E4D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763" name="Text Box 192">
          <a:extLst>
            <a:ext uri="{FF2B5EF4-FFF2-40B4-BE49-F238E27FC236}">
              <a16:creationId xmlns:a16="http://schemas.microsoft.com/office/drawing/2014/main" id="{FBD67D6A-FB4F-4208-AC6C-BB9910B79E12}"/>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764" name="Text Box 192">
          <a:extLst>
            <a:ext uri="{FF2B5EF4-FFF2-40B4-BE49-F238E27FC236}">
              <a16:creationId xmlns:a16="http://schemas.microsoft.com/office/drawing/2014/main" id="{134F5445-5AAF-4303-A566-269996DD3A0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765" name="Text Box 192">
          <a:extLst>
            <a:ext uri="{FF2B5EF4-FFF2-40B4-BE49-F238E27FC236}">
              <a16:creationId xmlns:a16="http://schemas.microsoft.com/office/drawing/2014/main" id="{D46941DF-2341-466E-B4C1-55D48F4514C0}"/>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766" name="Text Box 192">
          <a:extLst>
            <a:ext uri="{FF2B5EF4-FFF2-40B4-BE49-F238E27FC236}">
              <a16:creationId xmlns:a16="http://schemas.microsoft.com/office/drawing/2014/main" id="{BD1FF5E9-89EE-4C33-AB1D-722787D6F5D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767" name="Text Box 192">
          <a:extLst>
            <a:ext uri="{FF2B5EF4-FFF2-40B4-BE49-F238E27FC236}">
              <a16:creationId xmlns:a16="http://schemas.microsoft.com/office/drawing/2014/main" id="{1B7C5979-EF01-4D49-B598-2FB24C76E0E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768" name="Text Box 192">
          <a:extLst>
            <a:ext uri="{FF2B5EF4-FFF2-40B4-BE49-F238E27FC236}">
              <a16:creationId xmlns:a16="http://schemas.microsoft.com/office/drawing/2014/main" id="{92201682-2207-4D17-8C6A-9024C376B4C0}"/>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769" name="Text Box 192">
          <a:extLst>
            <a:ext uri="{FF2B5EF4-FFF2-40B4-BE49-F238E27FC236}">
              <a16:creationId xmlns:a16="http://schemas.microsoft.com/office/drawing/2014/main" id="{FE5DD955-EDE5-4AD7-AB7B-C675B1946CA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770" name="Text Box 192">
          <a:extLst>
            <a:ext uri="{FF2B5EF4-FFF2-40B4-BE49-F238E27FC236}">
              <a16:creationId xmlns:a16="http://schemas.microsoft.com/office/drawing/2014/main" id="{19C0AA7A-6720-4492-81ED-2839F1A37C13}"/>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771" name="Text Box 192">
          <a:extLst>
            <a:ext uri="{FF2B5EF4-FFF2-40B4-BE49-F238E27FC236}">
              <a16:creationId xmlns:a16="http://schemas.microsoft.com/office/drawing/2014/main" id="{3D81F02E-A1F1-4CF3-96D3-DC8FDE518F2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772" name="Text Box 192">
          <a:extLst>
            <a:ext uri="{FF2B5EF4-FFF2-40B4-BE49-F238E27FC236}">
              <a16:creationId xmlns:a16="http://schemas.microsoft.com/office/drawing/2014/main" id="{7C04CCBE-EAED-494B-935B-D82CC0D29214}"/>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773" name="Text Box 192">
          <a:extLst>
            <a:ext uri="{FF2B5EF4-FFF2-40B4-BE49-F238E27FC236}">
              <a16:creationId xmlns:a16="http://schemas.microsoft.com/office/drawing/2014/main" id="{E3439D70-1BBC-45AC-8C0F-3D1CDDD31FA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774" name="Text Box 192">
          <a:extLst>
            <a:ext uri="{FF2B5EF4-FFF2-40B4-BE49-F238E27FC236}">
              <a16:creationId xmlns:a16="http://schemas.microsoft.com/office/drawing/2014/main" id="{8102536E-ADC7-42FC-B053-07340BE589D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775" name="Text Box 192">
          <a:extLst>
            <a:ext uri="{FF2B5EF4-FFF2-40B4-BE49-F238E27FC236}">
              <a16:creationId xmlns:a16="http://schemas.microsoft.com/office/drawing/2014/main" id="{44C6F827-587E-41B9-8B8C-FF0A6908942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776" name="Text Box 192">
          <a:extLst>
            <a:ext uri="{FF2B5EF4-FFF2-40B4-BE49-F238E27FC236}">
              <a16:creationId xmlns:a16="http://schemas.microsoft.com/office/drawing/2014/main" id="{41D53F1B-9C81-44BA-B8A9-7962DE7537F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777" name="Text Box 192">
          <a:extLst>
            <a:ext uri="{FF2B5EF4-FFF2-40B4-BE49-F238E27FC236}">
              <a16:creationId xmlns:a16="http://schemas.microsoft.com/office/drawing/2014/main" id="{A572C660-D67F-47AE-947A-3A247D974DCF}"/>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778" name="Text Box 192">
          <a:extLst>
            <a:ext uri="{FF2B5EF4-FFF2-40B4-BE49-F238E27FC236}">
              <a16:creationId xmlns:a16="http://schemas.microsoft.com/office/drawing/2014/main" id="{6939730A-92E8-4AB9-8EA2-2EE9E85B1D4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779" name="Text Box 192">
          <a:extLst>
            <a:ext uri="{FF2B5EF4-FFF2-40B4-BE49-F238E27FC236}">
              <a16:creationId xmlns:a16="http://schemas.microsoft.com/office/drawing/2014/main" id="{13959A9C-D9FF-4A67-86D3-57B17A05CE0A}"/>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780" name="Text Box 192">
          <a:extLst>
            <a:ext uri="{FF2B5EF4-FFF2-40B4-BE49-F238E27FC236}">
              <a16:creationId xmlns:a16="http://schemas.microsoft.com/office/drawing/2014/main" id="{32E6642A-B3C3-43D0-AF14-44F413CA188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781" name="Text Box 192">
          <a:extLst>
            <a:ext uri="{FF2B5EF4-FFF2-40B4-BE49-F238E27FC236}">
              <a16:creationId xmlns:a16="http://schemas.microsoft.com/office/drawing/2014/main" id="{40131483-A460-46FC-B863-AF00C06472E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782" name="Text Box 192">
          <a:extLst>
            <a:ext uri="{FF2B5EF4-FFF2-40B4-BE49-F238E27FC236}">
              <a16:creationId xmlns:a16="http://schemas.microsoft.com/office/drawing/2014/main" id="{570763CA-F0CB-4425-8A68-65C9365EBB5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783" name="Text Box 192">
          <a:extLst>
            <a:ext uri="{FF2B5EF4-FFF2-40B4-BE49-F238E27FC236}">
              <a16:creationId xmlns:a16="http://schemas.microsoft.com/office/drawing/2014/main" id="{459CE34D-51AB-4F1D-B666-6FB054C5A86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784" name="Text Box 192">
          <a:extLst>
            <a:ext uri="{FF2B5EF4-FFF2-40B4-BE49-F238E27FC236}">
              <a16:creationId xmlns:a16="http://schemas.microsoft.com/office/drawing/2014/main" id="{2274236F-AB7D-4912-B75A-646B65850554}"/>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785" name="Text Box 192">
          <a:extLst>
            <a:ext uri="{FF2B5EF4-FFF2-40B4-BE49-F238E27FC236}">
              <a16:creationId xmlns:a16="http://schemas.microsoft.com/office/drawing/2014/main" id="{9173A3E5-B4A2-4B94-AD19-3233F0FB9D6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786" name="Text Box 192">
          <a:extLst>
            <a:ext uri="{FF2B5EF4-FFF2-40B4-BE49-F238E27FC236}">
              <a16:creationId xmlns:a16="http://schemas.microsoft.com/office/drawing/2014/main" id="{D4866A8D-5E93-448B-967B-16566B8C0067}"/>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787" name="Text Box 192">
          <a:extLst>
            <a:ext uri="{FF2B5EF4-FFF2-40B4-BE49-F238E27FC236}">
              <a16:creationId xmlns:a16="http://schemas.microsoft.com/office/drawing/2014/main" id="{24FDC540-5FA2-4492-90AF-8C8DDDEADDA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788" name="Text Box 192">
          <a:extLst>
            <a:ext uri="{FF2B5EF4-FFF2-40B4-BE49-F238E27FC236}">
              <a16:creationId xmlns:a16="http://schemas.microsoft.com/office/drawing/2014/main" id="{2CCCB3F2-E64D-4CDA-8459-796D9ED49380}"/>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789" name="Text Box 192">
          <a:extLst>
            <a:ext uri="{FF2B5EF4-FFF2-40B4-BE49-F238E27FC236}">
              <a16:creationId xmlns:a16="http://schemas.microsoft.com/office/drawing/2014/main" id="{43758A51-E874-4C8E-8B48-ED808CD5E98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790" name="Text Box 192">
          <a:extLst>
            <a:ext uri="{FF2B5EF4-FFF2-40B4-BE49-F238E27FC236}">
              <a16:creationId xmlns:a16="http://schemas.microsoft.com/office/drawing/2014/main" id="{DCD424DA-8AD0-4016-A639-2C9A2122372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xdr:row>
      <xdr:rowOff>0</xdr:rowOff>
    </xdr:from>
    <xdr:ext cx="10372" cy="228955"/>
    <xdr:sp macro="" textlink="">
      <xdr:nvSpPr>
        <xdr:cNvPr id="791" name="Text Box 192">
          <a:extLst>
            <a:ext uri="{FF2B5EF4-FFF2-40B4-BE49-F238E27FC236}">
              <a16:creationId xmlns:a16="http://schemas.microsoft.com/office/drawing/2014/main" id="{5DFD3A43-010A-4A9E-8B49-B7A92A3B7650}"/>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792" name="Text Box 192">
          <a:extLst>
            <a:ext uri="{FF2B5EF4-FFF2-40B4-BE49-F238E27FC236}">
              <a16:creationId xmlns:a16="http://schemas.microsoft.com/office/drawing/2014/main" id="{7578DDF5-8CA6-4E64-A639-6D265709C8E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xdr:row>
      <xdr:rowOff>0</xdr:rowOff>
    </xdr:from>
    <xdr:ext cx="10372" cy="228955"/>
    <xdr:sp macro="" textlink="">
      <xdr:nvSpPr>
        <xdr:cNvPr id="793" name="Text Box 192">
          <a:extLst>
            <a:ext uri="{FF2B5EF4-FFF2-40B4-BE49-F238E27FC236}">
              <a16:creationId xmlns:a16="http://schemas.microsoft.com/office/drawing/2014/main" id="{68451917-34DA-44C7-A190-D088069431D6}"/>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794" name="Text Box 192">
          <a:extLst>
            <a:ext uri="{FF2B5EF4-FFF2-40B4-BE49-F238E27FC236}">
              <a16:creationId xmlns:a16="http://schemas.microsoft.com/office/drawing/2014/main" id="{BEFDA74B-99A2-4CA5-A560-F5F7B75E659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795" name="Text Box 192">
          <a:extLst>
            <a:ext uri="{FF2B5EF4-FFF2-40B4-BE49-F238E27FC236}">
              <a16:creationId xmlns:a16="http://schemas.microsoft.com/office/drawing/2014/main" id="{282F14E4-85F1-490D-8D9F-80AC83BE83A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796" name="Text Box 192">
          <a:extLst>
            <a:ext uri="{FF2B5EF4-FFF2-40B4-BE49-F238E27FC236}">
              <a16:creationId xmlns:a16="http://schemas.microsoft.com/office/drawing/2014/main" id="{58F9B09A-E32C-4338-BA9C-E398C770D76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797" name="Text Box 192">
          <a:extLst>
            <a:ext uri="{FF2B5EF4-FFF2-40B4-BE49-F238E27FC236}">
              <a16:creationId xmlns:a16="http://schemas.microsoft.com/office/drawing/2014/main" id="{CF0DF0DC-FC56-4F0C-9E51-AF9937FD9B4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798" name="Text Box 192">
          <a:extLst>
            <a:ext uri="{FF2B5EF4-FFF2-40B4-BE49-F238E27FC236}">
              <a16:creationId xmlns:a16="http://schemas.microsoft.com/office/drawing/2014/main" id="{71CFBA42-3530-42BF-8A17-E6D2A291BE1B}"/>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799" name="Text Box 192">
          <a:extLst>
            <a:ext uri="{FF2B5EF4-FFF2-40B4-BE49-F238E27FC236}">
              <a16:creationId xmlns:a16="http://schemas.microsoft.com/office/drawing/2014/main" id="{EE5CD05E-503F-42C1-BFB7-E2D3CBE1D4EF}"/>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800" name="Text Box 192">
          <a:extLst>
            <a:ext uri="{FF2B5EF4-FFF2-40B4-BE49-F238E27FC236}">
              <a16:creationId xmlns:a16="http://schemas.microsoft.com/office/drawing/2014/main" id="{E01CC2E8-D96B-4EC2-B94A-406428925BF7}"/>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801" name="Text Box 192">
          <a:extLst>
            <a:ext uri="{FF2B5EF4-FFF2-40B4-BE49-F238E27FC236}">
              <a16:creationId xmlns:a16="http://schemas.microsoft.com/office/drawing/2014/main" id="{9BC2BC22-D236-4690-92FF-C91E218F75B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802" name="Text Box 192">
          <a:extLst>
            <a:ext uri="{FF2B5EF4-FFF2-40B4-BE49-F238E27FC236}">
              <a16:creationId xmlns:a16="http://schemas.microsoft.com/office/drawing/2014/main" id="{EF36CC81-A2E7-41E8-BC4E-63D080A2DE5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803" name="Text Box 192">
          <a:extLst>
            <a:ext uri="{FF2B5EF4-FFF2-40B4-BE49-F238E27FC236}">
              <a16:creationId xmlns:a16="http://schemas.microsoft.com/office/drawing/2014/main" id="{3A0AA5D0-D577-4927-8BDC-325294BF03A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804" name="Text Box 192">
          <a:extLst>
            <a:ext uri="{FF2B5EF4-FFF2-40B4-BE49-F238E27FC236}">
              <a16:creationId xmlns:a16="http://schemas.microsoft.com/office/drawing/2014/main" id="{70EA7BDB-C9E8-4B8A-9110-D3400F50262E}"/>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805" name="Text Box 192">
          <a:extLst>
            <a:ext uri="{FF2B5EF4-FFF2-40B4-BE49-F238E27FC236}">
              <a16:creationId xmlns:a16="http://schemas.microsoft.com/office/drawing/2014/main" id="{EF323ABF-283D-4B61-B374-21954775E679}"/>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806" name="Text Box 192">
          <a:extLst>
            <a:ext uri="{FF2B5EF4-FFF2-40B4-BE49-F238E27FC236}">
              <a16:creationId xmlns:a16="http://schemas.microsoft.com/office/drawing/2014/main" id="{92E92640-4D90-4F9A-80D8-80E2C02CC5E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807" name="Text Box 192">
          <a:extLst>
            <a:ext uri="{FF2B5EF4-FFF2-40B4-BE49-F238E27FC236}">
              <a16:creationId xmlns:a16="http://schemas.microsoft.com/office/drawing/2014/main" id="{BEACEBC2-3198-4BCE-BCD0-C4B7B275E24D}"/>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808" name="Text Box 192">
          <a:extLst>
            <a:ext uri="{FF2B5EF4-FFF2-40B4-BE49-F238E27FC236}">
              <a16:creationId xmlns:a16="http://schemas.microsoft.com/office/drawing/2014/main" id="{8B0AEF99-3DBF-41B9-87B3-6BB8B3CC4EF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809" name="Text Box 192">
          <a:extLst>
            <a:ext uri="{FF2B5EF4-FFF2-40B4-BE49-F238E27FC236}">
              <a16:creationId xmlns:a16="http://schemas.microsoft.com/office/drawing/2014/main" id="{D6391E13-796A-440A-B0F2-6376D97E113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810" name="Text Box 192">
          <a:extLst>
            <a:ext uri="{FF2B5EF4-FFF2-40B4-BE49-F238E27FC236}">
              <a16:creationId xmlns:a16="http://schemas.microsoft.com/office/drawing/2014/main" id="{EA525E39-2112-40CC-A357-4EEBC628EF0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811" name="Text Box 192">
          <a:extLst>
            <a:ext uri="{FF2B5EF4-FFF2-40B4-BE49-F238E27FC236}">
              <a16:creationId xmlns:a16="http://schemas.microsoft.com/office/drawing/2014/main" id="{817D19B4-F157-4DA6-A8C5-6DA57843593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812" name="Text Box 192">
          <a:extLst>
            <a:ext uri="{FF2B5EF4-FFF2-40B4-BE49-F238E27FC236}">
              <a16:creationId xmlns:a16="http://schemas.microsoft.com/office/drawing/2014/main" id="{987EB7CF-9A47-4640-B62B-144B7C7F1E57}"/>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813" name="Text Box 192">
          <a:extLst>
            <a:ext uri="{FF2B5EF4-FFF2-40B4-BE49-F238E27FC236}">
              <a16:creationId xmlns:a16="http://schemas.microsoft.com/office/drawing/2014/main" id="{4D0883C1-3926-475A-BA45-6192E6369D6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814" name="Text Box 192">
          <a:extLst>
            <a:ext uri="{FF2B5EF4-FFF2-40B4-BE49-F238E27FC236}">
              <a16:creationId xmlns:a16="http://schemas.microsoft.com/office/drawing/2014/main" id="{45C2084E-8923-4536-B1AD-599E6C94CD98}"/>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815" name="Text Box 192">
          <a:extLst>
            <a:ext uri="{FF2B5EF4-FFF2-40B4-BE49-F238E27FC236}">
              <a16:creationId xmlns:a16="http://schemas.microsoft.com/office/drawing/2014/main" id="{388B332A-C04C-4027-8614-81EBC803EDD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816" name="Text Box 192">
          <a:extLst>
            <a:ext uri="{FF2B5EF4-FFF2-40B4-BE49-F238E27FC236}">
              <a16:creationId xmlns:a16="http://schemas.microsoft.com/office/drawing/2014/main" id="{79B558E1-482C-4706-8A5A-DE01C5AA8C6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817" name="Text Box 192">
          <a:extLst>
            <a:ext uri="{FF2B5EF4-FFF2-40B4-BE49-F238E27FC236}">
              <a16:creationId xmlns:a16="http://schemas.microsoft.com/office/drawing/2014/main" id="{3A567FD7-114A-4E00-B899-3FCCA15E286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818" name="Text Box 192">
          <a:extLst>
            <a:ext uri="{FF2B5EF4-FFF2-40B4-BE49-F238E27FC236}">
              <a16:creationId xmlns:a16="http://schemas.microsoft.com/office/drawing/2014/main" id="{7B6B5E70-1BA9-4BC8-88D4-4473E1ECBF1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36</xdr:row>
      <xdr:rowOff>0</xdr:rowOff>
    </xdr:from>
    <xdr:ext cx="10372" cy="228955"/>
    <xdr:sp macro="" textlink="">
      <xdr:nvSpPr>
        <xdr:cNvPr id="819" name="Text Box 192">
          <a:extLst>
            <a:ext uri="{FF2B5EF4-FFF2-40B4-BE49-F238E27FC236}">
              <a16:creationId xmlns:a16="http://schemas.microsoft.com/office/drawing/2014/main" id="{FD0C04B1-7C88-45BB-839A-AD238CCE1B18}"/>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820" name="Text Box 192">
          <a:extLst>
            <a:ext uri="{FF2B5EF4-FFF2-40B4-BE49-F238E27FC236}">
              <a16:creationId xmlns:a16="http://schemas.microsoft.com/office/drawing/2014/main" id="{200B0A77-6B89-4F28-8BC7-4B2DC209E8B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36</xdr:row>
      <xdr:rowOff>0</xdr:rowOff>
    </xdr:from>
    <xdr:ext cx="10372" cy="228955"/>
    <xdr:sp macro="" textlink="">
      <xdr:nvSpPr>
        <xdr:cNvPr id="821" name="Text Box 192">
          <a:extLst>
            <a:ext uri="{FF2B5EF4-FFF2-40B4-BE49-F238E27FC236}">
              <a16:creationId xmlns:a16="http://schemas.microsoft.com/office/drawing/2014/main" id="{F8D02C5E-B48D-4AB3-9F19-87D8E36B476E}"/>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822" name="Text Box 192">
          <a:extLst>
            <a:ext uri="{FF2B5EF4-FFF2-40B4-BE49-F238E27FC236}">
              <a16:creationId xmlns:a16="http://schemas.microsoft.com/office/drawing/2014/main" id="{32B3F562-8E75-4DE7-A061-A9CB57310E7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823" name="Text Box 192">
          <a:extLst>
            <a:ext uri="{FF2B5EF4-FFF2-40B4-BE49-F238E27FC236}">
              <a16:creationId xmlns:a16="http://schemas.microsoft.com/office/drawing/2014/main" id="{8EECBADC-115B-43A6-ABBA-E288B0E96C0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824" name="Text Box 192">
          <a:extLst>
            <a:ext uri="{FF2B5EF4-FFF2-40B4-BE49-F238E27FC236}">
              <a16:creationId xmlns:a16="http://schemas.microsoft.com/office/drawing/2014/main" id="{31C12198-605D-45AB-96FD-120B255C60B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825" name="Text Box 192">
          <a:extLst>
            <a:ext uri="{FF2B5EF4-FFF2-40B4-BE49-F238E27FC236}">
              <a16:creationId xmlns:a16="http://schemas.microsoft.com/office/drawing/2014/main" id="{4BD9392B-FFC9-4889-8BC9-13127C9E1B4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826" name="Text Box 192">
          <a:extLst>
            <a:ext uri="{FF2B5EF4-FFF2-40B4-BE49-F238E27FC236}">
              <a16:creationId xmlns:a16="http://schemas.microsoft.com/office/drawing/2014/main" id="{3DFECD7E-1C9F-440F-A70A-3F0A9387F28F}"/>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827" name="Text Box 192">
          <a:extLst>
            <a:ext uri="{FF2B5EF4-FFF2-40B4-BE49-F238E27FC236}">
              <a16:creationId xmlns:a16="http://schemas.microsoft.com/office/drawing/2014/main" id="{090AA6B9-F57D-42D9-886A-97AD29A318A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828" name="Text Box 192">
          <a:extLst>
            <a:ext uri="{FF2B5EF4-FFF2-40B4-BE49-F238E27FC236}">
              <a16:creationId xmlns:a16="http://schemas.microsoft.com/office/drawing/2014/main" id="{2107F00B-2BB9-4F28-9ACF-0F6C9878B1E6}"/>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829" name="Text Box 192">
          <a:extLst>
            <a:ext uri="{FF2B5EF4-FFF2-40B4-BE49-F238E27FC236}">
              <a16:creationId xmlns:a16="http://schemas.microsoft.com/office/drawing/2014/main" id="{39945C60-E5DD-4E5B-8E40-343819FC328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830" name="Text Box 192">
          <a:extLst>
            <a:ext uri="{FF2B5EF4-FFF2-40B4-BE49-F238E27FC236}">
              <a16:creationId xmlns:a16="http://schemas.microsoft.com/office/drawing/2014/main" id="{C01845FC-6180-4E1C-8171-D3EFB6CC7F30}"/>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831" name="Text Box 192">
          <a:extLst>
            <a:ext uri="{FF2B5EF4-FFF2-40B4-BE49-F238E27FC236}">
              <a16:creationId xmlns:a16="http://schemas.microsoft.com/office/drawing/2014/main" id="{B02B6838-7224-49FC-A018-4CA52395628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832" name="Text Box 192">
          <a:extLst>
            <a:ext uri="{FF2B5EF4-FFF2-40B4-BE49-F238E27FC236}">
              <a16:creationId xmlns:a16="http://schemas.microsoft.com/office/drawing/2014/main" id="{B666B508-7FCC-47C5-968A-CF906E293CFE}"/>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833" name="Text Box 192">
          <a:extLst>
            <a:ext uri="{FF2B5EF4-FFF2-40B4-BE49-F238E27FC236}">
              <a16:creationId xmlns:a16="http://schemas.microsoft.com/office/drawing/2014/main" id="{0C2C28C8-9E11-4CBB-A077-339EBADBB76C}"/>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834" name="Text Box 192">
          <a:extLst>
            <a:ext uri="{FF2B5EF4-FFF2-40B4-BE49-F238E27FC236}">
              <a16:creationId xmlns:a16="http://schemas.microsoft.com/office/drawing/2014/main" id="{F942C556-37EE-403E-A832-81153AD9DD6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835" name="Text Box 192">
          <a:extLst>
            <a:ext uri="{FF2B5EF4-FFF2-40B4-BE49-F238E27FC236}">
              <a16:creationId xmlns:a16="http://schemas.microsoft.com/office/drawing/2014/main" id="{6A458903-D748-43E0-A2A7-366E4248060B}"/>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836" name="Text Box 192">
          <a:extLst>
            <a:ext uri="{FF2B5EF4-FFF2-40B4-BE49-F238E27FC236}">
              <a16:creationId xmlns:a16="http://schemas.microsoft.com/office/drawing/2014/main" id="{8EA9EE74-6968-4C6B-AB3E-CA9F6D926DA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837" name="Text Box 192">
          <a:extLst>
            <a:ext uri="{FF2B5EF4-FFF2-40B4-BE49-F238E27FC236}">
              <a16:creationId xmlns:a16="http://schemas.microsoft.com/office/drawing/2014/main" id="{01E5C77F-EDE5-4490-A464-3AE6BD5FF3B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838" name="Text Box 192">
          <a:extLst>
            <a:ext uri="{FF2B5EF4-FFF2-40B4-BE49-F238E27FC236}">
              <a16:creationId xmlns:a16="http://schemas.microsoft.com/office/drawing/2014/main" id="{3527EF6A-1D63-44E6-BB1A-7DB74DA7741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839" name="Text Box 192">
          <a:extLst>
            <a:ext uri="{FF2B5EF4-FFF2-40B4-BE49-F238E27FC236}">
              <a16:creationId xmlns:a16="http://schemas.microsoft.com/office/drawing/2014/main" id="{6700DA24-4B04-45A9-B724-BEC26D02E2FE}"/>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840" name="Text Box 192">
          <a:extLst>
            <a:ext uri="{FF2B5EF4-FFF2-40B4-BE49-F238E27FC236}">
              <a16:creationId xmlns:a16="http://schemas.microsoft.com/office/drawing/2014/main" id="{89D06C7E-57B2-47DD-955D-95D734627C4D}"/>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841" name="Text Box 192">
          <a:extLst>
            <a:ext uri="{FF2B5EF4-FFF2-40B4-BE49-F238E27FC236}">
              <a16:creationId xmlns:a16="http://schemas.microsoft.com/office/drawing/2014/main" id="{CD27476B-A354-429B-AF82-D83F5D0FA86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842" name="Text Box 192">
          <a:extLst>
            <a:ext uri="{FF2B5EF4-FFF2-40B4-BE49-F238E27FC236}">
              <a16:creationId xmlns:a16="http://schemas.microsoft.com/office/drawing/2014/main" id="{9D185842-9086-4189-8D8D-4DD85E5C6E14}"/>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843" name="Text Box 192">
          <a:extLst>
            <a:ext uri="{FF2B5EF4-FFF2-40B4-BE49-F238E27FC236}">
              <a16:creationId xmlns:a16="http://schemas.microsoft.com/office/drawing/2014/main" id="{207FD655-D44C-45F4-98D9-02A1533B75E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844" name="Text Box 192">
          <a:extLst>
            <a:ext uri="{FF2B5EF4-FFF2-40B4-BE49-F238E27FC236}">
              <a16:creationId xmlns:a16="http://schemas.microsoft.com/office/drawing/2014/main" id="{4CFAD847-C6C9-42DD-B347-F9662CF9BBF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845" name="Text Box 192">
          <a:extLst>
            <a:ext uri="{FF2B5EF4-FFF2-40B4-BE49-F238E27FC236}">
              <a16:creationId xmlns:a16="http://schemas.microsoft.com/office/drawing/2014/main" id="{412DEB25-7B65-494B-B99C-A99F845E02C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846" name="Text Box 192">
          <a:extLst>
            <a:ext uri="{FF2B5EF4-FFF2-40B4-BE49-F238E27FC236}">
              <a16:creationId xmlns:a16="http://schemas.microsoft.com/office/drawing/2014/main" id="{0B8D9AFF-7635-4B17-8F5C-7E640A6CE0D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847" name="Text Box 192">
          <a:extLst>
            <a:ext uri="{FF2B5EF4-FFF2-40B4-BE49-F238E27FC236}">
              <a16:creationId xmlns:a16="http://schemas.microsoft.com/office/drawing/2014/main" id="{6EA520E4-6C3B-4C34-831F-B8ED6921FA29}"/>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848" name="Text Box 192">
          <a:extLst>
            <a:ext uri="{FF2B5EF4-FFF2-40B4-BE49-F238E27FC236}">
              <a16:creationId xmlns:a16="http://schemas.microsoft.com/office/drawing/2014/main" id="{6A957F75-3A60-493B-BDE9-728DEED0DE3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849" name="Text Box 192">
          <a:extLst>
            <a:ext uri="{FF2B5EF4-FFF2-40B4-BE49-F238E27FC236}">
              <a16:creationId xmlns:a16="http://schemas.microsoft.com/office/drawing/2014/main" id="{C03FC9FA-54A6-424A-A93B-FCB9E3378DBE}"/>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850" name="Text Box 192">
          <a:extLst>
            <a:ext uri="{FF2B5EF4-FFF2-40B4-BE49-F238E27FC236}">
              <a16:creationId xmlns:a16="http://schemas.microsoft.com/office/drawing/2014/main" id="{0A90BE12-BACF-44B3-864D-F90F0C2EF89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851" name="Text Box 192">
          <a:extLst>
            <a:ext uri="{FF2B5EF4-FFF2-40B4-BE49-F238E27FC236}">
              <a16:creationId xmlns:a16="http://schemas.microsoft.com/office/drawing/2014/main" id="{2613C36C-A2E0-41E1-B78D-E0D36D22D47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852" name="Text Box 192">
          <a:extLst>
            <a:ext uri="{FF2B5EF4-FFF2-40B4-BE49-F238E27FC236}">
              <a16:creationId xmlns:a16="http://schemas.microsoft.com/office/drawing/2014/main" id="{9DCFED2F-5FA2-4D6A-BD1A-0F3A7C52233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853" name="Text Box 192">
          <a:extLst>
            <a:ext uri="{FF2B5EF4-FFF2-40B4-BE49-F238E27FC236}">
              <a16:creationId xmlns:a16="http://schemas.microsoft.com/office/drawing/2014/main" id="{DFA28DE8-428A-4D54-BB1B-657F2CB62A0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854" name="Text Box 192">
          <a:extLst>
            <a:ext uri="{FF2B5EF4-FFF2-40B4-BE49-F238E27FC236}">
              <a16:creationId xmlns:a16="http://schemas.microsoft.com/office/drawing/2014/main" id="{7F7528AF-7958-4A84-BB8E-79641A8EC9E6}"/>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855" name="Text Box 192">
          <a:extLst>
            <a:ext uri="{FF2B5EF4-FFF2-40B4-BE49-F238E27FC236}">
              <a16:creationId xmlns:a16="http://schemas.microsoft.com/office/drawing/2014/main" id="{E98EDE55-393E-4486-99EB-1BBA5AC6CA5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856" name="Text Box 192">
          <a:extLst>
            <a:ext uri="{FF2B5EF4-FFF2-40B4-BE49-F238E27FC236}">
              <a16:creationId xmlns:a16="http://schemas.microsoft.com/office/drawing/2014/main" id="{521B6765-6140-4142-9B5B-628BBC423894}"/>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857" name="Text Box 192">
          <a:extLst>
            <a:ext uri="{FF2B5EF4-FFF2-40B4-BE49-F238E27FC236}">
              <a16:creationId xmlns:a16="http://schemas.microsoft.com/office/drawing/2014/main" id="{6089D9C5-0A27-43E2-9838-C045E659D69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858" name="Text Box 192">
          <a:extLst>
            <a:ext uri="{FF2B5EF4-FFF2-40B4-BE49-F238E27FC236}">
              <a16:creationId xmlns:a16="http://schemas.microsoft.com/office/drawing/2014/main" id="{16A09584-0DEA-4523-AC67-BC3FB2D63370}"/>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859" name="Text Box 192">
          <a:extLst>
            <a:ext uri="{FF2B5EF4-FFF2-40B4-BE49-F238E27FC236}">
              <a16:creationId xmlns:a16="http://schemas.microsoft.com/office/drawing/2014/main" id="{3AA5557B-C123-49A2-B72C-E8B255FC063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860" name="Text Box 192">
          <a:extLst>
            <a:ext uri="{FF2B5EF4-FFF2-40B4-BE49-F238E27FC236}">
              <a16:creationId xmlns:a16="http://schemas.microsoft.com/office/drawing/2014/main" id="{BDE70C53-3659-4F2C-941F-5356F773941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44</xdr:row>
      <xdr:rowOff>0</xdr:rowOff>
    </xdr:from>
    <xdr:ext cx="10372" cy="228955"/>
    <xdr:sp macro="" textlink="">
      <xdr:nvSpPr>
        <xdr:cNvPr id="861" name="Text Box 192">
          <a:extLst>
            <a:ext uri="{FF2B5EF4-FFF2-40B4-BE49-F238E27FC236}">
              <a16:creationId xmlns:a16="http://schemas.microsoft.com/office/drawing/2014/main" id="{6F548F22-E6B5-4826-BC97-A57D83336B48}"/>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862" name="Text Box 192">
          <a:extLst>
            <a:ext uri="{FF2B5EF4-FFF2-40B4-BE49-F238E27FC236}">
              <a16:creationId xmlns:a16="http://schemas.microsoft.com/office/drawing/2014/main" id="{D4E648F9-A3BE-4453-A0BE-FEE8BC72CBC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44</xdr:row>
      <xdr:rowOff>0</xdr:rowOff>
    </xdr:from>
    <xdr:ext cx="10372" cy="228955"/>
    <xdr:sp macro="" textlink="">
      <xdr:nvSpPr>
        <xdr:cNvPr id="863" name="Text Box 192">
          <a:extLst>
            <a:ext uri="{FF2B5EF4-FFF2-40B4-BE49-F238E27FC236}">
              <a16:creationId xmlns:a16="http://schemas.microsoft.com/office/drawing/2014/main" id="{10DAB450-BF66-46B6-9CD9-F45C47516416}"/>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864" name="Text Box 192">
          <a:extLst>
            <a:ext uri="{FF2B5EF4-FFF2-40B4-BE49-F238E27FC236}">
              <a16:creationId xmlns:a16="http://schemas.microsoft.com/office/drawing/2014/main" id="{8199720A-648D-41A1-9FAA-E7540BDFE9FE}"/>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865" name="Text Box 192">
          <a:extLst>
            <a:ext uri="{FF2B5EF4-FFF2-40B4-BE49-F238E27FC236}">
              <a16:creationId xmlns:a16="http://schemas.microsoft.com/office/drawing/2014/main" id="{EA3B5023-3B29-4CB1-912F-5DB470BD8F6F}"/>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866" name="Text Box 192">
          <a:extLst>
            <a:ext uri="{FF2B5EF4-FFF2-40B4-BE49-F238E27FC236}">
              <a16:creationId xmlns:a16="http://schemas.microsoft.com/office/drawing/2014/main" id="{FCA0CD46-82A2-4F06-A7EC-1943098EA19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867" name="Text Box 192">
          <a:extLst>
            <a:ext uri="{FF2B5EF4-FFF2-40B4-BE49-F238E27FC236}">
              <a16:creationId xmlns:a16="http://schemas.microsoft.com/office/drawing/2014/main" id="{CD86C8C1-5AB2-4EB3-8303-786980F3EC8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868" name="Text Box 192">
          <a:extLst>
            <a:ext uri="{FF2B5EF4-FFF2-40B4-BE49-F238E27FC236}">
              <a16:creationId xmlns:a16="http://schemas.microsoft.com/office/drawing/2014/main" id="{00E93BD6-4052-407D-879C-70395F059C18}"/>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869" name="Text Box 192">
          <a:extLst>
            <a:ext uri="{FF2B5EF4-FFF2-40B4-BE49-F238E27FC236}">
              <a16:creationId xmlns:a16="http://schemas.microsoft.com/office/drawing/2014/main" id="{5C108839-6534-4743-8177-D6A390E3A4E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870" name="Text Box 192">
          <a:extLst>
            <a:ext uri="{FF2B5EF4-FFF2-40B4-BE49-F238E27FC236}">
              <a16:creationId xmlns:a16="http://schemas.microsoft.com/office/drawing/2014/main" id="{741A0A8E-3A6E-4F69-AC27-7EAB15EB70F9}"/>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871" name="Text Box 192">
          <a:extLst>
            <a:ext uri="{FF2B5EF4-FFF2-40B4-BE49-F238E27FC236}">
              <a16:creationId xmlns:a16="http://schemas.microsoft.com/office/drawing/2014/main" id="{9F8AB82C-E21F-4C55-AD2D-D0C92B6E9C4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872" name="Text Box 192">
          <a:extLst>
            <a:ext uri="{FF2B5EF4-FFF2-40B4-BE49-F238E27FC236}">
              <a16:creationId xmlns:a16="http://schemas.microsoft.com/office/drawing/2014/main" id="{0F3EBA98-B8A7-4855-9DC7-FBA3418AF21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873" name="Text Box 192">
          <a:extLst>
            <a:ext uri="{FF2B5EF4-FFF2-40B4-BE49-F238E27FC236}">
              <a16:creationId xmlns:a16="http://schemas.microsoft.com/office/drawing/2014/main" id="{D97FBDF9-35FF-4E3D-A08E-B562F319093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874" name="Text Box 192">
          <a:extLst>
            <a:ext uri="{FF2B5EF4-FFF2-40B4-BE49-F238E27FC236}">
              <a16:creationId xmlns:a16="http://schemas.microsoft.com/office/drawing/2014/main" id="{7AF1928B-4451-4A69-B876-A85824C3E5B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875" name="Text Box 192">
          <a:extLst>
            <a:ext uri="{FF2B5EF4-FFF2-40B4-BE49-F238E27FC236}">
              <a16:creationId xmlns:a16="http://schemas.microsoft.com/office/drawing/2014/main" id="{91BF6B27-EDF8-4833-806F-085B7BDBBFB8}"/>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876" name="Text Box 192">
          <a:extLst>
            <a:ext uri="{FF2B5EF4-FFF2-40B4-BE49-F238E27FC236}">
              <a16:creationId xmlns:a16="http://schemas.microsoft.com/office/drawing/2014/main" id="{EF187B68-D4FC-49C6-BC3D-AA78B85A6820}"/>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877" name="Text Box 192">
          <a:extLst>
            <a:ext uri="{FF2B5EF4-FFF2-40B4-BE49-F238E27FC236}">
              <a16:creationId xmlns:a16="http://schemas.microsoft.com/office/drawing/2014/main" id="{C1A1B07E-3A71-44B0-961E-6047F88C2571}"/>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878" name="Text Box 192">
          <a:extLst>
            <a:ext uri="{FF2B5EF4-FFF2-40B4-BE49-F238E27FC236}">
              <a16:creationId xmlns:a16="http://schemas.microsoft.com/office/drawing/2014/main" id="{E2ED0C01-C298-4C69-B44D-9657CD2CA69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879" name="Text Box 192">
          <a:extLst>
            <a:ext uri="{FF2B5EF4-FFF2-40B4-BE49-F238E27FC236}">
              <a16:creationId xmlns:a16="http://schemas.microsoft.com/office/drawing/2014/main" id="{473E75E2-1D6D-4848-BDA6-E9BB141C4C2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880" name="Text Box 192">
          <a:extLst>
            <a:ext uri="{FF2B5EF4-FFF2-40B4-BE49-F238E27FC236}">
              <a16:creationId xmlns:a16="http://schemas.microsoft.com/office/drawing/2014/main" id="{53D723B3-A1CE-4CB5-8A33-C0D7D05E6C8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881" name="Text Box 192">
          <a:extLst>
            <a:ext uri="{FF2B5EF4-FFF2-40B4-BE49-F238E27FC236}">
              <a16:creationId xmlns:a16="http://schemas.microsoft.com/office/drawing/2014/main" id="{3912A814-D2C8-4489-949A-1C1DCCB227D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882" name="Text Box 192">
          <a:extLst>
            <a:ext uri="{FF2B5EF4-FFF2-40B4-BE49-F238E27FC236}">
              <a16:creationId xmlns:a16="http://schemas.microsoft.com/office/drawing/2014/main" id="{F961A236-35BC-401C-8A8B-17DD6E9DE4A7}"/>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883" name="Text Box 192">
          <a:extLst>
            <a:ext uri="{FF2B5EF4-FFF2-40B4-BE49-F238E27FC236}">
              <a16:creationId xmlns:a16="http://schemas.microsoft.com/office/drawing/2014/main" id="{46A3DF7F-AF85-4828-A83C-5B4780844E8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884" name="Text Box 192">
          <a:extLst>
            <a:ext uri="{FF2B5EF4-FFF2-40B4-BE49-F238E27FC236}">
              <a16:creationId xmlns:a16="http://schemas.microsoft.com/office/drawing/2014/main" id="{952E4396-BCD4-4332-96D8-D6E6C4417E0B}"/>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885" name="Text Box 192">
          <a:extLst>
            <a:ext uri="{FF2B5EF4-FFF2-40B4-BE49-F238E27FC236}">
              <a16:creationId xmlns:a16="http://schemas.microsoft.com/office/drawing/2014/main" id="{366AD066-F2CF-4F21-9691-832ABF320CB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886" name="Text Box 192">
          <a:extLst>
            <a:ext uri="{FF2B5EF4-FFF2-40B4-BE49-F238E27FC236}">
              <a16:creationId xmlns:a16="http://schemas.microsoft.com/office/drawing/2014/main" id="{C6387FFE-C699-4E2C-A27D-0C406EC36DF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887" name="Text Box 192">
          <a:extLst>
            <a:ext uri="{FF2B5EF4-FFF2-40B4-BE49-F238E27FC236}">
              <a16:creationId xmlns:a16="http://schemas.microsoft.com/office/drawing/2014/main" id="{C246F4AA-E3F2-4304-80AA-7CF0949F21B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888" name="Text Box 192">
          <a:extLst>
            <a:ext uri="{FF2B5EF4-FFF2-40B4-BE49-F238E27FC236}">
              <a16:creationId xmlns:a16="http://schemas.microsoft.com/office/drawing/2014/main" id="{F09890B9-DACE-4C96-ABA1-AE47CEEB9EE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889" name="Text Box 192">
          <a:extLst>
            <a:ext uri="{FF2B5EF4-FFF2-40B4-BE49-F238E27FC236}">
              <a16:creationId xmlns:a16="http://schemas.microsoft.com/office/drawing/2014/main" id="{11BBF106-FBC1-417A-B770-D8F862687F03}"/>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890" name="Text Box 192">
          <a:extLst>
            <a:ext uri="{FF2B5EF4-FFF2-40B4-BE49-F238E27FC236}">
              <a16:creationId xmlns:a16="http://schemas.microsoft.com/office/drawing/2014/main" id="{CD871CA2-9343-4916-B16B-67E98D2DBE7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891" name="Text Box 192">
          <a:extLst>
            <a:ext uri="{FF2B5EF4-FFF2-40B4-BE49-F238E27FC236}">
              <a16:creationId xmlns:a16="http://schemas.microsoft.com/office/drawing/2014/main" id="{5E64ACC0-3DFE-4554-B36A-7CB776A47610}"/>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892" name="Text Box 192">
          <a:extLst>
            <a:ext uri="{FF2B5EF4-FFF2-40B4-BE49-F238E27FC236}">
              <a16:creationId xmlns:a16="http://schemas.microsoft.com/office/drawing/2014/main" id="{84B044F5-8411-473A-A041-1B75A46956D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893" name="Text Box 192">
          <a:extLst>
            <a:ext uri="{FF2B5EF4-FFF2-40B4-BE49-F238E27FC236}">
              <a16:creationId xmlns:a16="http://schemas.microsoft.com/office/drawing/2014/main" id="{76BA5335-F742-4417-8E08-A5A74DD0F0E0}"/>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894" name="Text Box 192">
          <a:extLst>
            <a:ext uri="{FF2B5EF4-FFF2-40B4-BE49-F238E27FC236}">
              <a16:creationId xmlns:a16="http://schemas.microsoft.com/office/drawing/2014/main" id="{8532E704-5093-4046-891D-210DA7A6875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895" name="Text Box 192">
          <a:extLst>
            <a:ext uri="{FF2B5EF4-FFF2-40B4-BE49-F238E27FC236}">
              <a16:creationId xmlns:a16="http://schemas.microsoft.com/office/drawing/2014/main" id="{BCF963AC-0035-4D12-85A7-5AC245F8A52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896" name="Text Box 192">
          <a:extLst>
            <a:ext uri="{FF2B5EF4-FFF2-40B4-BE49-F238E27FC236}">
              <a16:creationId xmlns:a16="http://schemas.microsoft.com/office/drawing/2014/main" id="{04AB9013-5EE0-49E8-B169-DECB9C1241E6}"/>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897" name="Text Box 192">
          <a:extLst>
            <a:ext uri="{FF2B5EF4-FFF2-40B4-BE49-F238E27FC236}">
              <a16:creationId xmlns:a16="http://schemas.microsoft.com/office/drawing/2014/main" id="{C59BBB6C-4270-4DAD-8814-717976C17FA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898" name="Text Box 192">
          <a:extLst>
            <a:ext uri="{FF2B5EF4-FFF2-40B4-BE49-F238E27FC236}">
              <a16:creationId xmlns:a16="http://schemas.microsoft.com/office/drawing/2014/main" id="{E42221B8-A179-45C8-978C-66C5B73CD471}"/>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899" name="Text Box 192">
          <a:extLst>
            <a:ext uri="{FF2B5EF4-FFF2-40B4-BE49-F238E27FC236}">
              <a16:creationId xmlns:a16="http://schemas.microsoft.com/office/drawing/2014/main" id="{DBC5E379-6AE0-44B0-9F7C-20861212CDC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900" name="Text Box 192">
          <a:extLst>
            <a:ext uri="{FF2B5EF4-FFF2-40B4-BE49-F238E27FC236}">
              <a16:creationId xmlns:a16="http://schemas.microsoft.com/office/drawing/2014/main" id="{D4A45F2A-1150-4FD7-B0E4-1BE7BF7E691F}"/>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901" name="Text Box 192">
          <a:extLst>
            <a:ext uri="{FF2B5EF4-FFF2-40B4-BE49-F238E27FC236}">
              <a16:creationId xmlns:a16="http://schemas.microsoft.com/office/drawing/2014/main" id="{0CFF265C-2021-4E95-BF96-1FABAA40F9A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902" name="Text Box 192">
          <a:extLst>
            <a:ext uri="{FF2B5EF4-FFF2-40B4-BE49-F238E27FC236}">
              <a16:creationId xmlns:a16="http://schemas.microsoft.com/office/drawing/2014/main" id="{422134EC-35B9-4949-B98B-4AB9708D202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903" name="Text Box 192">
          <a:extLst>
            <a:ext uri="{FF2B5EF4-FFF2-40B4-BE49-F238E27FC236}">
              <a16:creationId xmlns:a16="http://schemas.microsoft.com/office/drawing/2014/main" id="{681A9C94-6F38-46A1-AC5F-EF2325493E90}"/>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904" name="Text Box 192">
          <a:extLst>
            <a:ext uri="{FF2B5EF4-FFF2-40B4-BE49-F238E27FC236}">
              <a16:creationId xmlns:a16="http://schemas.microsoft.com/office/drawing/2014/main" id="{B1EDA5B9-53B1-4FE2-83F0-B1352E3D4C8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905" name="Text Box 192">
          <a:extLst>
            <a:ext uri="{FF2B5EF4-FFF2-40B4-BE49-F238E27FC236}">
              <a16:creationId xmlns:a16="http://schemas.microsoft.com/office/drawing/2014/main" id="{DB1E59FD-4750-44D4-BEFB-8C15B9820EC3}"/>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906" name="Text Box 192">
          <a:extLst>
            <a:ext uri="{FF2B5EF4-FFF2-40B4-BE49-F238E27FC236}">
              <a16:creationId xmlns:a16="http://schemas.microsoft.com/office/drawing/2014/main" id="{1C87C4EC-D028-4205-9C77-04216045135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907" name="Text Box 192">
          <a:extLst>
            <a:ext uri="{FF2B5EF4-FFF2-40B4-BE49-F238E27FC236}">
              <a16:creationId xmlns:a16="http://schemas.microsoft.com/office/drawing/2014/main" id="{BF56D2AB-55D2-4107-A3D9-E12276CCB6BE}"/>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908" name="Text Box 192">
          <a:extLst>
            <a:ext uri="{FF2B5EF4-FFF2-40B4-BE49-F238E27FC236}">
              <a16:creationId xmlns:a16="http://schemas.microsoft.com/office/drawing/2014/main" id="{28A18B5F-B778-4FA4-A9BC-BC448F88326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909" name="Text Box 192">
          <a:extLst>
            <a:ext uri="{FF2B5EF4-FFF2-40B4-BE49-F238E27FC236}">
              <a16:creationId xmlns:a16="http://schemas.microsoft.com/office/drawing/2014/main" id="{1D1521D9-A6C5-4E33-9CEC-622C77300CD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910" name="Text Box 192">
          <a:extLst>
            <a:ext uri="{FF2B5EF4-FFF2-40B4-BE49-F238E27FC236}">
              <a16:creationId xmlns:a16="http://schemas.microsoft.com/office/drawing/2014/main" id="{66A22F53-5BE7-4834-8592-A0BCD4F2AB52}"/>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911" name="Text Box 192">
          <a:extLst>
            <a:ext uri="{FF2B5EF4-FFF2-40B4-BE49-F238E27FC236}">
              <a16:creationId xmlns:a16="http://schemas.microsoft.com/office/drawing/2014/main" id="{33BEBED6-DD86-49BD-B0B7-8E48D10D607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912" name="Text Box 192">
          <a:extLst>
            <a:ext uri="{FF2B5EF4-FFF2-40B4-BE49-F238E27FC236}">
              <a16:creationId xmlns:a16="http://schemas.microsoft.com/office/drawing/2014/main" id="{A0E23E3B-5592-4F88-B0A5-8F196E56D406}"/>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913" name="Text Box 192">
          <a:extLst>
            <a:ext uri="{FF2B5EF4-FFF2-40B4-BE49-F238E27FC236}">
              <a16:creationId xmlns:a16="http://schemas.microsoft.com/office/drawing/2014/main" id="{DABC0299-595D-481F-87AB-A0E3DF14400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914" name="Text Box 192">
          <a:extLst>
            <a:ext uri="{FF2B5EF4-FFF2-40B4-BE49-F238E27FC236}">
              <a16:creationId xmlns:a16="http://schemas.microsoft.com/office/drawing/2014/main" id="{C9C84E26-A4AA-40E3-91F4-8D1DE144A58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915" name="Text Box 192">
          <a:extLst>
            <a:ext uri="{FF2B5EF4-FFF2-40B4-BE49-F238E27FC236}">
              <a16:creationId xmlns:a16="http://schemas.microsoft.com/office/drawing/2014/main" id="{13A55DB7-031C-4A8D-9616-465BCDE8B17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916" name="Text Box 192">
          <a:extLst>
            <a:ext uri="{FF2B5EF4-FFF2-40B4-BE49-F238E27FC236}">
              <a16:creationId xmlns:a16="http://schemas.microsoft.com/office/drawing/2014/main" id="{4EC2E200-FC1A-4E13-9D4F-2E51A97780D0}"/>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917" name="Text Box 192">
          <a:extLst>
            <a:ext uri="{FF2B5EF4-FFF2-40B4-BE49-F238E27FC236}">
              <a16:creationId xmlns:a16="http://schemas.microsoft.com/office/drawing/2014/main" id="{AB1D71BE-A89D-48F0-8481-7BFB4B006268}"/>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918" name="Text Box 192">
          <a:extLst>
            <a:ext uri="{FF2B5EF4-FFF2-40B4-BE49-F238E27FC236}">
              <a16:creationId xmlns:a16="http://schemas.microsoft.com/office/drawing/2014/main" id="{A6483FBB-E0D8-43DF-B884-177E8A4DD22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919" name="Text Box 192">
          <a:extLst>
            <a:ext uri="{FF2B5EF4-FFF2-40B4-BE49-F238E27FC236}">
              <a16:creationId xmlns:a16="http://schemas.microsoft.com/office/drawing/2014/main" id="{D2517868-042B-4450-AA6E-A994F2853B09}"/>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920" name="Text Box 192">
          <a:extLst>
            <a:ext uri="{FF2B5EF4-FFF2-40B4-BE49-F238E27FC236}">
              <a16:creationId xmlns:a16="http://schemas.microsoft.com/office/drawing/2014/main" id="{011D73C9-33F4-45D8-A160-28B4764B432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921" name="Text Box 192">
          <a:extLst>
            <a:ext uri="{FF2B5EF4-FFF2-40B4-BE49-F238E27FC236}">
              <a16:creationId xmlns:a16="http://schemas.microsoft.com/office/drawing/2014/main" id="{009A171E-92F5-44CE-9967-4A71237BFA7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922" name="Text Box 192">
          <a:extLst>
            <a:ext uri="{FF2B5EF4-FFF2-40B4-BE49-F238E27FC236}">
              <a16:creationId xmlns:a16="http://schemas.microsoft.com/office/drawing/2014/main" id="{4232E2F0-478B-40B2-A149-98C665FFE32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923" name="Text Box 192">
          <a:extLst>
            <a:ext uri="{FF2B5EF4-FFF2-40B4-BE49-F238E27FC236}">
              <a16:creationId xmlns:a16="http://schemas.microsoft.com/office/drawing/2014/main" id="{690134B6-1A83-4E7B-B679-EB72A1684EE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55</xdr:row>
      <xdr:rowOff>0</xdr:rowOff>
    </xdr:from>
    <xdr:ext cx="10372" cy="228955"/>
    <xdr:sp macro="" textlink="">
      <xdr:nvSpPr>
        <xdr:cNvPr id="924" name="Text Box 192">
          <a:extLst>
            <a:ext uri="{FF2B5EF4-FFF2-40B4-BE49-F238E27FC236}">
              <a16:creationId xmlns:a16="http://schemas.microsoft.com/office/drawing/2014/main" id="{0439FE52-C41C-4F67-9589-43C0E5A9748F}"/>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925" name="Text Box 192">
          <a:extLst>
            <a:ext uri="{FF2B5EF4-FFF2-40B4-BE49-F238E27FC236}">
              <a16:creationId xmlns:a16="http://schemas.microsoft.com/office/drawing/2014/main" id="{FF556518-B45D-48A3-B93A-4B61E6934FF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55</xdr:row>
      <xdr:rowOff>0</xdr:rowOff>
    </xdr:from>
    <xdr:ext cx="10372" cy="228955"/>
    <xdr:sp macro="" textlink="">
      <xdr:nvSpPr>
        <xdr:cNvPr id="926" name="Text Box 192">
          <a:extLst>
            <a:ext uri="{FF2B5EF4-FFF2-40B4-BE49-F238E27FC236}">
              <a16:creationId xmlns:a16="http://schemas.microsoft.com/office/drawing/2014/main" id="{F8A1A021-5838-4377-B625-5833659BAE44}"/>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927" name="Text Box 192">
          <a:extLst>
            <a:ext uri="{FF2B5EF4-FFF2-40B4-BE49-F238E27FC236}">
              <a16:creationId xmlns:a16="http://schemas.microsoft.com/office/drawing/2014/main" id="{E7F249D4-0071-4480-99A0-8BBC63A48B3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928" name="Text Box 192">
          <a:extLst>
            <a:ext uri="{FF2B5EF4-FFF2-40B4-BE49-F238E27FC236}">
              <a16:creationId xmlns:a16="http://schemas.microsoft.com/office/drawing/2014/main" id="{5719FFE7-06B4-4E75-9914-D39CA25DC72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929" name="Text Box 192">
          <a:extLst>
            <a:ext uri="{FF2B5EF4-FFF2-40B4-BE49-F238E27FC236}">
              <a16:creationId xmlns:a16="http://schemas.microsoft.com/office/drawing/2014/main" id="{85362A56-1691-4D12-A228-7C19E23E569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930" name="Text Box 192">
          <a:extLst>
            <a:ext uri="{FF2B5EF4-FFF2-40B4-BE49-F238E27FC236}">
              <a16:creationId xmlns:a16="http://schemas.microsoft.com/office/drawing/2014/main" id="{430622A9-8AC7-4E1F-94CE-052019359C7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59</xdr:row>
      <xdr:rowOff>0</xdr:rowOff>
    </xdr:from>
    <xdr:ext cx="10372" cy="228955"/>
    <xdr:sp macro="" textlink="">
      <xdr:nvSpPr>
        <xdr:cNvPr id="931" name="Text Box 192">
          <a:extLst>
            <a:ext uri="{FF2B5EF4-FFF2-40B4-BE49-F238E27FC236}">
              <a16:creationId xmlns:a16="http://schemas.microsoft.com/office/drawing/2014/main" id="{4591ED89-8277-4123-9BCF-2E858A1ED979}"/>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932" name="Text Box 192">
          <a:extLst>
            <a:ext uri="{FF2B5EF4-FFF2-40B4-BE49-F238E27FC236}">
              <a16:creationId xmlns:a16="http://schemas.microsoft.com/office/drawing/2014/main" id="{36F6E3C8-84CF-478A-9767-C9F50273467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59</xdr:row>
      <xdr:rowOff>0</xdr:rowOff>
    </xdr:from>
    <xdr:ext cx="10372" cy="228955"/>
    <xdr:sp macro="" textlink="">
      <xdr:nvSpPr>
        <xdr:cNvPr id="933" name="Text Box 192">
          <a:extLst>
            <a:ext uri="{FF2B5EF4-FFF2-40B4-BE49-F238E27FC236}">
              <a16:creationId xmlns:a16="http://schemas.microsoft.com/office/drawing/2014/main" id="{9E808FE8-F51B-4EBA-9B2A-B2224BF5AD19}"/>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934" name="Text Box 192">
          <a:extLst>
            <a:ext uri="{FF2B5EF4-FFF2-40B4-BE49-F238E27FC236}">
              <a16:creationId xmlns:a16="http://schemas.microsoft.com/office/drawing/2014/main" id="{CFEB2FDF-9988-419E-BFCC-735DE205050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935" name="Text Box 192">
          <a:extLst>
            <a:ext uri="{FF2B5EF4-FFF2-40B4-BE49-F238E27FC236}">
              <a16:creationId xmlns:a16="http://schemas.microsoft.com/office/drawing/2014/main" id="{B0881AF9-B403-44C2-8A37-6EFA3C36EB1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936" name="Text Box 192">
          <a:extLst>
            <a:ext uri="{FF2B5EF4-FFF2-40B4-BE49-F238E27FC236}">
              <a16:creationId xmlns:a16="http://schemas.microsoft.com/office/drawing/2014/main" id="{224F04A0-DC8C-4BD5-B833-30A70F43CAC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937" name="Text Box 192">
          <a:extLst>
            <a:ext uri="{FF2B5EF4-FFF2-40B4-BE49-F238E27FC236}">
              <a16:creationId xmlns:a16="http://schemas.microsoft.com/office/drawing/2014/main" id="{45810525-09B5-4976-9FE2-BAD61FCB99A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938" name="Text Box 192">
          <a:extLst>
            <a:ext uri="{FF2B5EF4-FFF2-40B4-BE49-F238E27FC236}">
              <a16:creationId xmlns:a16="http://schemas.microsoft.com/office/drawing/2014/main" id="{129D4604-E2BB-40D8-980A-1312FDBEE17A}"/>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939" name="Text Box 192">
          <a:extLst>
            <a:ext uri="{FF2B5EF4-FFF2-40B4-BE49-F238E27FC236}">
              <a16:creationId xmlns:a16="http://schemas.microsoft.com/office/drawing/2014/main" id="{040800AD-D107-46CD-B4AB-E796014AF23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940" name="Text Box 192">
          <a:extLst>
            <a:ext uri="{FF2B5EF4-FFF2-40B4-BE49-F238E27FC236}">
              <a16:creationId xmlns:a16="http://schemas.microsoft.com/office/drawing/2014/main" id="{C7394EF4-723F-4757-8B97-DBE29E8669E2}"/>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941" name="Text Box 192">
          <a:extLst>
            <a:ext uri="{FF2B5EF4-FFF2-40B4-BE49-F238E27FC236}">
              <a16:creationId xmlns:a16="http://schemas.microsoft.com/office/drawing/2014/main" id="{DF5DE70B-6DC2-4BDD-B001-1DA60638FB1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942" name="Text Box 192">
          <a:extLst>
            <a:ext uri="{FF2B5EF4-FFF2-40B4-BE49-F238E27FC236}">
              <a16:creationId xmlns:a16="http://schemas.microsoft.com/office/drawing/2014/main" id="{AF3C3ACF-CCE3-4857-AD33-D79E233284D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943" name="Text Box 192">
          <a:extLst>
            <a:ext uri="{FF2B5EF4-FFF2-40B4-BE49-F238E27FC236}">
              <a16:creationId xmlns:a16="http://schemas.microsoft.com/office/drawing/2014/main" id="{4532AB5D-B100-4CFF-90B4-DDF9549415D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944" name="Text Box 192">
          <a:extLst>
            <a:ext uri="{FF2B5EF4-FFF2-40B4-BE49-F238E27FC236}">
              <a16:creationId xmlns:a16="http://schemas.microsoft.com/office/drawing/2014/main" id="{5A4064B1-C675-48D3-BA78-767FC0ACA5A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945" name="Text Box 192">
          <a:extLst>
            <a:ext uri="{FF2B5EF4-FFF2-40B4-BE49-F238E27FC236}">
              <a16:creationId xmlns:a16="http://schemas.microsoft.com/office/drawing/2014/main" id="{AA5909E5-F470-41DC-AEAF-2B5539B40DB9}"/>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946" name="Text Box 192">
          <a:extLst>
            <a:ext uri="{FF2B5EF4-FFF2-40B4-BE49-F238E27FC236}">
              <a16:creationId xmlns:a16="http://schemas.microsoft.com/office/drawing/2014/main" id="{89110B64-0038-4AE7-8260-64EC2B7A505F}"/>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947" name="Text Box 192">
          <a:extLst>
            <a:ext uri="{FF2B5EF4-FFF2-40B4-BE49-F238E27FC236}">
              <a16:creationId xmlns:a16="http://schemas.microsoft.com/office/drawing/2014/main" id="{F70DC20B-830C-485D-9FBA-F255E9A2D5EE}"/>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948" name="Text Box 192">
          <a:extLst>
            <a:ext uri="{FF2B5EF4-FFF2-40B4-BE49-F238E27FC236}">
              <a16:creationId xmlns:a16="http://schemas.microsoft.com/office/drawing/2014/main" id="{E66D9CD6-D256-4525-9B68-C60DFB3316A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949" name="Text Box 192">
          <a:extLst>
            <a:ext uri="{FF2B5EF4-FFF2-40B4-BE49-F238E27FC236}">
              <a16:creationId xmlns:a16="http://schemas.microsoft.com/office/drawing/2014/main" id="{0F8B2083-00C4-4AC6-AA89-727960C0FF4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950" name="Text Box 192">
          <a:extLst>
            <a:ext uri="{FF2B5EF4-FFF2-40B4-BE49-F238E27FC236}">
              <a16:creationId xmlns:a16="http://schemas.microsoft.com/office/drawing/2014/main" id="{9D195C82-294D-4F9F-97C5-EEC17BECF9F0}"/>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951" name="Text Box 192">
          <a:extLst>
            <a:ext uri="{FF2B5EF4-FFF2-40B4-BE49-F238E27FC236}">
              <a16:creationId xmlns:a16="http://schemas.microsoft.com/office/drawing/2014/main" id="{91EB171A-ED51-402F-8E63-4534197EE7C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952" name="Text Box 192">
          <a:extLst>
            <a:ext uri="{FF2B5EF4-FFF2-40B4-BE49-F238E27FC236}">
              <a16:creationId xmlns:a16="http://schemas.microsoft.com/office/drawing/2014/main" id="{F27ABBC9-FEA2-4243-A546-5703AA38F38D}"/>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953" name="Text Box 192">
          <a:extLst>
            <a:ext uri="{FF2B5EF4-FFF2-40B4-BE49-F238E27FC236}">
              <a16:creationId xmlns:a16="http://schemas.microsoft.com/office/drawing/2014/main" id="{92B8A633-B91E-4DE2-89F5-3AD24BFFF13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954" name="Text Box 192">
          <a:extLst>
            <a:ext uri="{FF2B5EF4-FFF2-40B4-BE49-F238E27FC236}">
              <a16:creationId xmlns:a16="http://schemas.microsoft.com/office/drawing/2014/main" id="{89A4B32F-5ED1-4028-9E8A-3928313146AE}"/>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955" name="Text Box 192">
          <a:extLst>
            <a:ext uri="{FF2B5EF4-FFF2-40B4-BE49-F238E27FC236}">
              <a16:creationId xmlns:a16="http://schemas.microsoft.com/office/drawing/2014/main" id="{ACCBE8E6-2BF3-4C73-A4B5-3249DFC2AB3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956" name="Text Box 192">
          <a:extLst>
            <a:ext uri="{FF2B5EF4-FFF2-40B4-BE49-F238E27FC236}">
              <a16:creationId xmlns:a16="http://schemas.microsoft.com/office/drawing/2014/main" id="{F5B29AFB-C5AF-4D1C-94B7-134DDD20B92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957" name="Text Box 192">
          <a:extLst>
            <a:ext uri="{FF2B5EF4-FFF2-40B4-BE49-F238E27FC236}">
              <a16:creationId xmlns:a16="http://schemas.microsoft.com/office/drawing/2014/main" id="{69065F22-079F-42D7-BCBA-37E98CDAEB3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958" name="Text Box 192">
          <a:extLst>
            <a:ext uri="{FF2B5EF4-FFF2-40B4-BE49-F238E27FC236}">
              <a16:creationId xmlns:a16="http://schemas.microsoft.com/office/drawing/2014/main" id="{CDF2D43F-5455-4714-9E04-486BF99FD35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959" name="Text Box 192">
          <a:extLst>
            <a:ext uri="{FF2B5EF4-FFF2-40B4-BE49-F238E27FC236}">
              <a16:creationId xmlns:a16="http://schemas.microsoft.com/office/drawing/2014/main" id="{C34FFD2B-4EBF-4451-9C9A-2306C314C728}"/>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960" name="Text Box 192">
          <a:extLst>
            <a:ext uri="{FF2B5EF4-FFF2-40B4-BE49-F238E27FC236}">
              <a16:creationId xmlns:a16="http://schemas.microsoft.com/office/drawing/2014/main" id="{7A3B0F22-C1C9-4B0A-A235-857307B47FC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961" name="Text Box 192">
          <a:extLst>
            <a:ext uri="{FF2B5EF4-FFF2-40B4-BE49-F238E27FC236}">
              <a16:creationId xmlns:a16="http://schemas.microsoft.com/office/drawing/2014/main" id="{7CDB01CE-CBC2-495F-B28F-05FF2508B959}"/>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962" name="Text Box 192">
          <a:extLst>
            <a:ext uri="{FF2B5EF4-FFF2-40B4-BE49-F238E27FC236}">
              <a16:creationId xmlns:a16="http://schemas.microsoft.com/office/drawing/2014/main" id="{FC5882D4-98EC-4F49-83A9-4C562453BB9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963" name="Text Box 192">
          <a:extLst>
            <a:ext uri="{FF2B5EF4-FFF2-40B4-BE49-F238E27FC236}">
              <a16:creationId xmlns:a16="http://schemas.microsoft.com/office/drawing/2014/main" id="{8DA0BB3F-C781-45DA-ADEA-382B78F99E1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964" name="Text Box 192">
          <a:extLst>
            <a:ext uri="{FF2B5EF4-FFF2-40B4-BE49-F238E27FC236}">
              <a16:creationId xmlns:a16="http://schemas.microsoft.com/office/drawing/2014/main" id="{1B558740-79FD-4FC6-96AA-DEE55563256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965" name="Text Box 192">
          <a:extLst>
            <a:ext uri="{FF2B5EF4-FFF2-40B4-BE49-F238E27FC236}">
              <a16:creationId xmlns:a16="http://schemas.microsoft.com/office/drawing/2014/main" id="{ADD054AA-6082-452F-8A0F-EB3DD6F6430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67</xdr:row>
      <xdr:rowOff>0</xdr:rowOff>
    </xdr:from>
    <xdr:ext cx="10372" cy="228955"/>
    <xdr:sp macro="" textlink="">
      <xdr:nvSpPr>
        <xdr:cNvPr id="966" name="Text Box 192">
          <a:extLst>
            <a:ext uri="{FF2B5EF4-FFF2-40B4-BE49-F238E27FC236}">
              <a16:creationId xmlns:a16="http://schemas.microsoft.com/office/drawing/2014/main" id="{9E41E5C1-A5E2-461F-93A6-3387DEE2116F}"/>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967" name="Text Box 192">
          <a:extLst>
            <a:ext uri="{FF2B5EF4-FFF2-40B4-BE49-F238E27FC236}">
              <a16:creationId xmlns:a16="http://schemas.microsoft.com/office/drawing/2014/main" id="{F90EF13A-C6CF-4878-A4D0-69E2199B87A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67</xdr:row>
      <xdr:rowOff>0</xdr:rowOff>
    </xdr:from>
    <xdr:ext cx="10372" cy="228955"/>
    <xdr:sp macro="" textlink="">
      <xdr:nvSpPr>
        <xdr:cNvPr id="968" name="Text Box 192">
          <a:extLst>
            <a:ext uri="{FF2B5EF4-FFF2-40B4-BE49-F238E27FC236}">
              <a16:creationId xmlns:a16="http://schemas.microsoft.com/office/drawing/2014/main" id="{D9723655-9477-44F4-B1BE-EE5E18E67E71}"/>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969" name="Text Box 192">
          <a:extLst>
            <a:ext uri="{FF2B5EF4-FFF2-40B4-BE49-F238E27FC236}">
              <a16:creationId xmlns:a16="http://schemas.microsoft.com/office/drawing/2014/main" id="{DCDEAEDA-2953-4AFA-93C7-746F03B6D95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970" name="Text Box 192">
          <a:extLst>
            <a:ext uri="{FF2B5EF4-FFF2-40B4-BE49-F238E27FC236}">
              <a16:creationId xmlns:a16="http://schemas.microsoft.com/office/drawing/2014/main" id="{82DCBC9C-851D-4DE2-AD7B-9FC74D0CFDB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971" name="Text Box 192">
          <a:extLst>
            <a:ext uri="{FF2B5EF4-FFF2-40B4-BE49-F238E27FC236}">
              <a16:creationId xmlns:a16="http://schemas.microsoft.com/office/drawing/2014/main" id="{DFE0EA30-9DBF-45D1-8743-4F2BB1CBCCD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972" name="Text Box 192">
          <a:extLst>
            <a:ext uri="{FF2B5EF4-FFF2-40B4-BE49-F238E27FC236}">
              <a16:creationId xmlns:a16="http://schemas.microsoft.com/office/drawing/2014/main" id="{2316DB8E-E9BC-43C9-A03D-8897C38FF31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973" name="Text Box 192">
          <a:extLst>
            <a:ext uri="{FF2B5EF4-FFF2-40B4-BE49-F238E27FC236}">
              <a16:creationId xmlns:a16="http://schemas.microsoft.com/office/drawing/2014/main" id="{331429B9-C306-47E1-8D12-965C0B2EBA12}"/>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974" name="Text Box 192">
          <a:extLst>
            <a:ext uri="{FF2B5EF4-FFF2-40B4-BE49-F238E27FC236}">
              <a16:creationId xmlns:a16="http://schemas.microsoft.com/office/drawing/2014/main" id="{45C4940F-EB00-4D82-905F-A1D0FE122FB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975" name="Text Box 192">
          <a:extLst>
            <a:ext uri="{FF2B5EF4-FFF2-40B4-BE49-F238E27FC236}">
              <a16:creationId xmlns:a16="http://schemas.microsoft.com/office/drawing/2014/main" id="{EE50F0E0-D896-429D-8AA3-04EF359F05DC}"/>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976" name="Text Box 192">
          <a:extLst>
            <a:ext uri="{FF2B5EF4-FFF2-40B4-BE49-F238E27FC236}">
              <a16:creationId xmlns:a16="http://schemas.microsoft.com/office/drawing/2014/main" id="{D62EEF54-EDE8-455A-B2A4-C392601C40F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977" name="Text Box 192">
          <a:extLst>
            <a:ext uri="{FF2B5EF4-FFF2-40B4-BE49-F238E27FC236}">
              <a16:creationId xmlns:a16="http://schemas.microsoft.com/office/drawing/2014/main" id="{0753C400-AF05-40BC-8DF8-BE583D6C58A3}"/>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978" name="Text Box 192">
          <a:extLst>
            <a:ext uri="{FF2B5EF4-FFF2-40B4-BE49-F238E27FC236}">
              <a16:creationId xmlns:a16="http://schemas.microsoft.com/office/drawing/2014/main" id="{48D48CF0-0BFC-44D6-8471-EE5EDFE1804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979" name="Text Box 192">
          <a:extLst>
            <a:ext uri="{FF2B5EF4-FFF2-40B4-BE49-F238E27FC236}">
              <a16:creationId xmlns:a16="http://schemas.microsoft.com/office/drawing/2014/main" id="{29700B77-02B9-4046-9A99-E9AE24B1D46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980" name="Text Box 192">
          <a:extLst>
            <a:ext uri="{FF2B5EF4-FFF2-40B4-BE49-F238E27FC236}">
              <a16:creationId xmlns:a16="http://schemas.microsoft.com/office/drawing/2014/main" id="{0FBEBDDD-02F1-4B8A-A527-C46BC38AC226}"/>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981" name="Text Box 192">
          <a:extLst>
            <a:ext uri="{FF2B5EF4-FFF2-40B4-BE49-F238E27FC236}">
              <a16:creationId xmlns:a16="http://schemas.microsoft.com/office/drawing/2014/main" id="{5EBB8722-CF08-465A-9783-BE90E99D2DEA}"/>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982" name="Text Box 192">
          <a:extLst>
            <a:ext uri="{FF2B5EF4-FFF2-40B4-BE49-F238E27FC236}">
              <a16:creationId xmlns:a16="http://schemas.microsoft.com/office/drawing/2014/main" id="{FF478082-787B-4AFB-B100-4D6C7B9EB6FE}"/>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983" name="Text Box 192">
          <a:extLst>
            <a:ext uri="{FF2B5EF4-FFF2-40B4-BE49-F238E27FC236}">
              <a16:creationId xmlns:a16="http://schemas.microsoft.com/office/drawing/2014/main" id="{247EFC51-0FD8-42CE-83A5-5A9FD857775F}"/>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984" name="Text Box 192">
          <a:extLst>
            <a:ext uri="{FF2B5EF4-FFF2-40B4-BE49-F238E27FC236}">
              <a16:creationId xmlns:a16="http://schemas.microsoft.com/office/drawing/2014/main" id="{2998F63F-1D7A-4550-865B-6BBFAB7EF9B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985" name="Text Box 192">
          <a:extLst>
            <a:ext uri="{FF2B5EF4-FFF2-40B4-BE49-F238E27FC236}">
              <a16:creationId xmlns:a16="http://schemas.microsoft.com/office/drawing/2014/main" id="{4FD538B0-B569-42FD-89D3-D6F8A0AD7DB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986" name="Text Box 192">
          <a:extLst>
            <a:ext uri="{FF2B5EF4-FFF2-40B4-BE49-F238E27FC236}">
              <a16:creationId xmlns:a16="http://schemas.microsoft.com/office/drawing/2014/main" id="{5E2D185C-E89E-4F9D-853D-1566656037E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987" name="Text Box 192">
          <a:extLst>
            <a:ext uri="{FF2B5EF4-FFF2-40B4-BE49-F238E27FC236}">
              <a16:creationId xmlns:a16="http://schemas.microsoft.com/office/drawing/2014/main" id="{E663D6F4-9067-49FF-BB26-8BBDC5F51A2F}"/>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988" name="Text Box 192">
          <a:extLst>
            <a:ext uri="{FF2B5EF4-FFF2-40B4-BE49-F238E27FC236}">
              <a16:creationId xmlns:a16="http://schemas.microsoft.com/office/drawing/2014/main" id="{5CD6BD86-C2B4-4249-B040-32E11D05BDE0}"/>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989" name="Text Box 192">
          <a:extLst>
            <a:ext uri="{FF2B5EF4-FFF2-40B4-BE49-F238E27FC236}">
              <a16:creationId xmlns:a16="http://schemas.microsoft.com/office/drawing/2014/main" id="{05EAADD8-0C53-417A-B5AC-BBDCA0235A60}"/>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990" name="Text Box 192">
          <a:extLst>
            <a:ext uri="{FF2B5EF4-FFF2-40B4-BE49-F238E27FC236}">
              <a16:creationId xmlns:a16="http://schemas.microsoft.com/office/drawing/2014/main" id="{A942A0AB-F8EA-4CD0-B23B-52DF9F648E1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991" name="Text Box 192">
          <a:extLst>
            <a:ext uri="{FF2B5EF4-FFF2-40B4-BE49-F238E27FC236}">
              <a16:creationId xmlns:a16="http://schemas.microsoft.com/office/drawing/2014/main" id="{2756B92F-198D-43D5-AA3D-C08C6D6B215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992" name="Text Box 192">
          <a:extLst>
            <a:ext uri="{FF2B5EF4-FFF2-40B4-BE49-F238E27FC236}">
              <a16:creationId xmlns:a16="http://schemas.microsoft.com/office/drawing/2014/main" id="{F53B942C-8525-40FB-8B42-4C55E260A7F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993" name="Text Box 192">
          <a:extLst>
            <a:ext uri="{FF2B5EF4-FFF2-40B4-BE49-F238E27FC236}">
              <a16:creationId xmlns:a16="http://schemas.microsoft.com/office/drawing/2014/main" id="{90B1B2D4-6BB7-482C-B2F3-F1531A4127B8}"/>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73</xdr:row>
      <xdr:rowOff>0</xdr:rowOff>
    </xdr:from>
    <xdr:ext cx="10372" cy="228955"/>
    <xdr:sp macro="" textlink="">
      <xdr:nvSpPr>
        <xdr:cNvPr id="994" name="Text Box 192">
          <a:extLst>
            <a:ext uri="{FF2B5EF4-FFF2-40B4-BE49-F238E27FC236}">
              <a16:creationId xmlns:a16="http://schemas.microsoft.com/office/drawing/2014/main" id="{E6D74540-8074-4048-A03E-4B10F544A428}"/>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995" name="Text Box 192">
          <a:extLst>
            <a:ext uri="{FF2B5EF4-FFF2-40B4-BE49-F238E27FC236}">
              <a16:creationId xmlns:a16="http://schemas.microsoft.com/office/drawing/2014/main" id="{245CA656-79DC-465E-AE0A-63E83CD9698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73</xdr:row>
      <xdr:rowOff>0</xdr:rowOff>
    </xdr:from>
    <xdr:ext cx="10372" cy="228955"/>
    <xdr:sp macro="" textlink="">
      <xdr:nvSpPr>
        <xdr:cNvPr id="996" name="Text Box 192">
          <a:extLst>
            <a:ext uri="{FF2B5EF4-FFF2-40B4-BE49-F238E27FC236}">
              <a16:creationId xmlns:a16="http://schemas.microsoft.com/office/drawing/2014/main" id="{7AE56916-C0A2-47EE-81DD-81EF18D7053C}"/>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997" name="Text Box 192">
          <a:extLst>
            <a:ext uri="{FF2B5EF4-FFF2-40B4-BE49-F238E27FC236}">
              <a16:creationId xmlns:a16="http://schemas.microsoft.com/office/drawing/2014/main" id="{7D84822B-6D80-4B7E-B73A-4C04AFEAC5E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998" name="Text Box 192">
          <a:extLst>
            <a:ext uri="{FF2B5EF4-FFF2-40B4-BE49-F238E27FC236}">
              <a16:creationId xmlns:a16="http://schemas.microsoft.com/office/drawing/2014/main" id="{589C9170-C555-4193-960B-292C2FB4065F}"/>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999" name="Text Box 192">
          <a:extLst>
            <a:ext uri="{FF2B5EF4-FFF2-40B4-BE49-F238E27FC236}">
              <a16:creationId xmlns:a16="http://schemas.microsoft.com/office/drawing/2014/main" id="{064CAC3D-19C7-4E31-B395-875A5608A6D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1000" name="Text Box 192">
          <a:extLst>
            <a:ext uri="{FF2B5EF4-FFF2-40B4-BE49-F238E27FC236}">
              <a16:creationId xmlns:a16="http://schemas.microsoft.com/office/drawing/2014/main" id="{0F0A5597-B204-4D06-924C-5393ADFEF8FF}"/>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76</xdr:row>
      <xdr:rowOff>0</xdr:rowOff>
    </xdr:from>
    <xdr:ext cx="10372" cy="228955"/>
    <xdr:sp macro="" textlink="">
      <xdr:nvSpPr>
        <xdr:cNvPr id="1001" name="Text Box 192">
          <a:extLst>
            <a:ext uri="{FF2B5EF4-FFF2-40B4-BE49-F238E27FC236}">
              <a16:creationId xmlns:a16="http://schemas.microsoft.com/office/drawing/2014/main" id="{8FE625A9-9770-481D-81BE-DC45E3E75D6A}"/>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1002" name="Text Box 192">
          <a:extLst>
            <a:ext uri="{FF2B5EF4-FFF2-40B4-BE49-F238E27FC236}">
              <a16:creationId xmlns:a16="http://schemas.microsoft.com/office/drawing/2014/main" id="{97C207FF-79A1-4838-8F86-A91357ADF7D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76</xdr:row>
      <xdr:rowOff>0</xdr:rowOff>
    </xdr:from>
    <xdr:ext cx="10372" cy="228955"/>
    <xdr:sp macro="" textlink="">
      <xdr:nvSpPr>
        <xdr:cNvPr id="1003" name="Text Box 192">
          <a:extLst>
            <a:ext uri="{FF2B5EF4-FFF2-40B4-BE49-F238E27FC236}">
              <a16:creationId xmlns:a16="http://schemas.microsoft.com/office/drawing/2014/main" id="{14E0AE8A-EE5D-4679-BD41-F8BDC347FFB5}"/>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1004" name="Text Box 192">
          <a:extLst>
            <a:ext uri="{FF2B5EF4-FFF2-40B4-BE49-F238E27FC236}">
              <a16:creationId xmlns:a16="http://schemas.microsoft.com/office/drawing/2014/main" id="{52059119-4E1E-4E5D-876A-C9F4B802960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1005" name="Text Box 192">
          <a:extLst>
            <a:ext uri="{FF2B5EF4-FFF2-40B4-BE49-F238E27FC236}">
              <a16:creationId xmlns:a16="http://schemas.microsoft.com/office/drawing/2014/main" id="{286D639D-E94B-4362-8AE9-531E60146DCF}"/>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1006" name="Text Box 192">
          <a:extLst>
            <a:ext uri="{FF2B5EF4-FFF2-40B4-BE49-F238E27FC236}">
              <a16:creationId xmlns:a16="http://schemas.microsoft.com/office/drawing/2014/main" id="{5C6E286C-0DFC-45F4-8FFC-4F73F12BE4A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1007" name="Text Box 192">
          <a:extLst>
            <a:ext uri="{FF2B5EF4-FFF2-40B4-BE49-F238E27FC236}">
              <a16:creationId xmlns:a16="http://schemas.microsoft.com/office/drawing/2014/main" id="{76B566E0-08B0-4311-B0F1-3C4C5F37FC0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1008" name="Text Box 192">
          <a:extLst>
            <a:ext uri="{FF2B5EF4-FFF2-40B4-BE49-F238E27FC236}">
              <a16:creationId xmlns:a16="http://schemas.microsoft.com/office/drawing/2014/main" id="{9FFEAC3E-1877-403F-BB2E-517FE069F628}"/>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1009" name="Text Box 192">
          <a:extLst>
            <a:ext uri="{FF2B5EF4-FFF2-40B4-BE49-F238E27FC236}">
              <a16:creationId xmlns:a16="http://schemas.microsoft.com/office/drawing/2014/main" id="{A725045C-96CB-4AF0-8954-847EE393F714}"/>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1010" name="Text Box 192">
          <a:extLst>
            <a:ext uri="{FF2B5EF4-FFF2-40B4-BE49-F238E27FC236}">
              <a16:creationId xmlns:a16="http://schemas.microsoft.com/office/drawing/2014/main" id="{060256D7-46DC-44C4-8A06-457D7F068F27}"/>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1011" name="Text Box 192">
          <a:extLst>
            <a:ext uri="{FF2B5EF4-FFF2-40B4-BE49-F238E27FC236}">
              <a16:creationId xmlns:a16="http://schemas.microsoft.com/office/drawing/2014/main" id="{0B647368-09B3-4223-B726-C07F74AFDE0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1012" name="Text Box 192">
          <a:extLst>
            <a:ext uri="{FF2B5EF4-FFF2-40B4-BE49-F238E27FC236}">
              <a16:creationId xmlns:a16="http://schemas.microsoft.com/office/drawing/2014/main" id="{748D3312-B1D9-4F50-8C32-AF2DADF3B05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1013" name="Text Box 192">
          <a:extLst>
            <a:ext uri="{FF2B5EF4-FFF2-40B4-BE49-F238E27FC236}">
              <a16:creationId xmlns:a16="http://schemas.microsoft.com/office/drawing/2014/main" id="{AEC1B263-47EB-4D12-AEE9-AFE2D6F81182}"/>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1014" name="Text Box 192">
          <a:extLst>
            <a:ext uri="{FF2B5EF4-FFF2-40B4-BE49-F238E27FC236}">
              <a16:creationId xmlns:a16="http://schemas.microsoft.com/office/drawing/2014/main" id="{44EF0901-31BF-460F-9853-F82E14BA0539}"/>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80</xdr:row>
      <xdr:rowOff>0</xdr:rowOff>
    </xdr:from>
    <xdr:ext cx="10372" cy="228955"/>
    <xdr:sp macro="" textlink="">
      <xdr:nvSpPr>
        <xdr:cNvPr id="1015" name="Text Box 192">
          <a:extLst>
            <a:ext uri="{FF2B5EF4-FFF2-40B4-BE49-F238E27FC236}">
              <a16:creationId xmlns:a16="http://schemas.microsoft.com/office/drawing/2014/main" id="{B73F557B-F65E-482F-87C0-9D3DE7A92B17}"/>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1016" name="Text Box 192">
          <a:extLst>
            <a:ext uri="{FF2B5EF4-FFF2-40B4-BE49-F238E27FC236}">
              <a16:creationId xmlns:a16="http://schemas.microsoft.com/office/drawing/2014/main" id="{99E22149-52BB-42F5-9BCD-B2A6DFCEF47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80</xdr:row>
      <xdr:rowOff>0</xdr:rowOff>
    </xdr:from>
    <xdr:ext cx="10372" cy="228955"/>
    <xdr:sp macro="" textlink="">
      <xdr:nvSpPr>
        <xdr:cNvPr id="1017" name="Text Box 192">
          <a:extLst>
            <a:ext uri="{FF2B5EF4-FFF2-40B4-BE49-F238E27FC236}">
              <a16:creationId xmlns:a16="http://schemas.microsoft.com/office/drawing/2014/main" id="{730900F6-1433-4F18-B719-810E00C75CA1}"/>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1018" name="Text Box 192">
          <a:extLst>
            <a:ext uri="{FF2B5EF4-FFF2-40B4-BE49-F238E27FC236}">
              <a16:creationId xmlns:a16="http://schemas.microsoft.com/office/drawing/2014/main" id="{E6525C96-2A9D-49AF-B75C-734E8EF21DFC}"/>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1019" name="Text Box 192">
          <a:extLst>
            <a:ext uri="{FF2B5EF4-FFF2-40B4-BE49-F238E27FC236}">
              <a16:creationId xmlns:a16="http://schemas.microsoft.com/office/drawing/2014/main" id="{22F0CA87-AF53-4D72-B40D-5F6368AC6897}"/>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1020" name="Text Box 192">
          <a:extLst>
            <a:ext uri="{FF2B5EF4-FFF2-40B4-BE49-F238E27FC236}">
              <a16:creationId xmlns:a16="http://schemas.microsoft.com/office/drawing/2014/main" id="{04E9A815-66A9-41E7-AC3E-9F9347FBEAB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1021" name="Text Box 192">
          <a:extLst>
            <a:ext uri="{FF2B5EF4-FFF2-40B4-BE49-F238E27FC236}">
              <a16:creationId xmlns:a16="http://schemas.microsoft.com/office/drawing/2014/main" id="{3DC2D1BB-526C-405E-97B3-DB29052F9A6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1022" name="Text Box 192">
          <a:extLst>
            <a:ext uri="{FF2B5EF4-FFF2-40B4-BE49-F238E27FC236}">
              <a16:creationId xmlns:a16="http://schemas.microsoft.com/office/drawing/2014/main" id="{D81EE5DD-B46B-4631-9826-AE339B76523C}"/>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1023" name="Text Box 192">
          <a:extLst>
            <a:ext uri="{FF2B5EF4-FFF2-40B4-BE49-F238E27FC236}">
              <a16:creationId xmlns:a16="http://schemas.microsoft.com/office/drawing/2014/main" id="{87D0CD47-88F3-47F4-8226-CC5B89E0C9B5}"/>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1024" name="Text Box 192">
          <a:extLst>
            <a:ext uri="{FF2B5EF4-FFF2-40B4-BE49-F238E27FC236}">
              <a16:creationId xmlns:a16="http://schemas.microsoft.com/office/drawing/2014/main" id="{40C4BD93-E03C-491A-89B6-22FD738C16E4}"/>
            </a:ext>
          </a:extLst>
        </xdr:cNvPr>
        <xdr:cNvSpPr txBox="1">
          <a:spLocks noChangeArrowheads="1"/>
        </xdr:cNvSpPr>
      </xdr:nvSpPr>
      <xdr:spPr bwMode="auto">
        <a:xfrm>
          <a:off x="24718006"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1025" name="Text Box 192">
          <a:extLst>
            <a:ext uri="{FF2B5EF4-FFF2-40B4-BE49-F238E27FC236}">
              <a16:creationId xmlns:a16="http://schemas.microsoft.com/office/drawing/2014/main" id="{52A5E0C0-0867-4660-9FD5-86980124C4B1}"/>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1026" name="Text Box 192">
          <a:extLst>
            <a:ext uri="{FF2B5EF4-FFF2-40B4-BE49-F238E27FC236}">
              <a16:creationId xmlns:a16="http://schemas.microsoft.com/office/drawing/2014/main" id="{6C9E20FD-06D3-46BD-A4AE-4A32A26E2E7B}"/>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1027" name="Text Box 192">
          <a:extLst>
            <a:ext uri="{FF2B5EF4-FFF2-40B4-BE49-F238E27FC236}">
              <a16:creationId xmlns:a16="http://schemas.microsoft.com/office/drawing/2014/main" id="{973AFF46-46F3-4820-A06D-DCC252ED96B6}"/>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1028" name="Text Box 192">
          <a:extLst>
            <a:ext uri="{FF2B5EF4-FFF2-40B4-BE49-F238E27FC236}">
              <a16:creationId xmlns:a16="http://schemas.microsoft.com/office/drawing/2014/main" id="{9CF0CC80-BED7-46F4-96D3-10C39CD5B74D}"/>
            </a:ext>
          </a:extLst>
        </xdr:cNvPr>
        <xdr:cNvSpPr txBox="1">
          <a:spLocks noChangeArrowheads="1"/>
        </xdr:cNvSpPr>
      </xdr:nvSpPr>
      <xdr:spPr bwMode="auto">
        <a:xfrm>
          <a:off x="24718006"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1029" name="Text Box 192">
          <a:extLst>
            <a:ext uri="{FF2B5EF4-FFF2-40B4-BE49-F238E27FC236}">
              <a16:creationId xmlns:a16="http://schemas.microsoft.com/office/drawing/2014/main" id="{582B5128-B745-4DD2-A715-87857C44AE8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1030" name="Text Box 192">
          <a:extLst>
            <a:ext uri="{FF2B5EF4-FFF2-40B4-BE49-F238E27FC236}">
              <a16:creationId xmlns:a16="http://schemas.microsoft.com/office/drawing/2014/main" id="{700F7E66-DE60-4003-AEDD-7F09F6493F7D}"/>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1031" name="Text Box 192">
          <a:extLst>
            <a:ext uri="{FF2B5EF4-FFF2-40B4-BE49-F238E27FC236}">
              <a16:creationId xmlns:a16="http://schemas.microsoft.com/office/drawing/2014/main" id="{638115F1-6656-4FC8-B0B7-0CB862D80BAE}"/>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1032" name="Text Box 192">
          <a:extLst>
            <a:ext uri="{FF2B5EF4-FFF2-40B4-BE49-F238E27FC236}">
              <a16:creationId xmlns:a16="http://schemas.microsoft.com/office/drawing/2014/main" id="{2CA4C3E2-3A73-4ED1-BC60-BCB25BB41A3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1033" name="Text Box 192">
          <a:extLst>
            <a:ext uri="{FF2B5EF4-FFF2-40B4-BE49-F238E27FC236}">
              <a16:creationId xmlns:a16="http://schemas.microsoft.com/office/drawing/2014/main" id="{629CFBE0-BBF9-4C23-8B83-D8D29EF6C53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1034" name="Text Box 192">
          <a:extLst>
            <a:ext uri="{FF2B5EF4-FFF2-40B4-BE49-F238E27FC236}">
              <a16:creationId xmlns:a16="http://schemas.microsoft.com/office/drawing/2014/main" id="{DA806D1B-8978-47C5-BAE8-69B6CFB6B76C}"/>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1035" name="Text Box 192">
          <a:extLst>
            <a:ext uri="{FF2B5EF4-FFF2-40B4-BE49-F238E27FC236}">
              <a16:creationId xmlns:a16="http://schemas.microsoft.com/office/drawing/2014/main" id="{1FFC83B2-95DD-4407-BEE3-68FFDF2994A8}"/>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1036" name="Text Box 192">
          <a:extLst>
            <a:ext uri="{FF2B5EF4-FFF2-40B4-BE49-F238E27FC236}">
              <a16:creationId xmlns:a16="http://schemas.microsoft.com/office/drawing/2014/main" id="{8F994840-B3EC-4B56-8F00-753E0266725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1037" name="Text Box 192">
          <a:extLst>
            <a:ext uri="{FF2B5EF4-FFF2-40B4-BE49-F238E27FC236}">
              <a16:creationId xmlns:a16="http://schemas.microsoft.com/office/drawing/2014/main" id="{A3599F08-3CDB-4D13-9085-9EDFB737A887}"/>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1038" name="Text Box 192">
          <a:extLst>
            <a:ext uri="{FF2B5EF4-FFF2-40B4-BE49-F238E27FC236}">
              <a16:creationId xmlns:a16="http://schemas.microsoft.com/office/drawing/2014/main" id="{33486BFC-4054-47E4-BFF5-3B8E7DBF03C6}"/>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1039" name="Text Box 192">
          <a:extLst>
            <a:ext uri="{FF2B5EF4-FFF2-40B4-BE49-F238E27FC236}">
              <a16:creationId xmlns:a16="http://schemas.microsoft.com/office/drawing/2014/main" id="{EC173F52-0090-4BC7-A2D2-FC66AD04B8F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1040" name="Text Box 192">
          <a:extLst>
            <a:ext uri="{FF2B5EF4-FFF2-40B4-BE49-F238E27FC236}">
              <a16:creationId xmlns:a16="http://schemas.microsoft.com/office/drawing/2014/main" id="{909FD3DC-15F3-436F-B12A-C781F5D6B0AD}"/>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1041" name="Text Box 192">
          <a:extLst>
            <a:ext uri="{FF2B5EF4-FFF2-40B4-BE49-F238E27FC236}">
              <a16:creationId xmlns:a16="http://schemas.microsoft.com/office/drawing/2014/main" id="{F50EA796-9B02-4F83-A7B7-5EDFE026F488}"/>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1042" name="Text Box 192">
          <a:extLst>
            <a:ext uri="{FF2B5EF4-FFF2-40B4-BE49-F238E27FC236}">
              <a16:creationId xmlns:a16="http://schemas.microsoft.com/office/drawing/2014/main" id="{458E8F66-E48F-4C0A-BBF7-C4F658212B0D}"/>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1043" name="Text Box 192">
          <a:extLst>
            <a:ext uri="{FF2B5EF4-FFF2-40B4-BE49-F238E27FC236}">
              <a16:creationId xmlns:a16="http://schemas.microsoft.com/office/drawing/2014/main" id="{66F52242-E9BB-4D81-B4A1-77E522770AF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1044" name="Text Box 192">
          <a:extLst>
            <a:ext uri="{FF2B5EF4-FFF2-40B4-BE49-F238E27FC236}">
              <a16:creationId xmlns:a16="http://schemas.microsoft.com/office/drawing/2014/main" id="{A09C3644-40D8-46D2-BCE9-01002AC14F3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1045" name="Text Box 192">
          <a:extLst>
            <a:ext uri="{FF2B5EF4-FFF2-40B4-BE49-F238E27FC236}">
              <a16:creationId xmlns:a16="http://schemas.microsoft.com/office/drawing/2014/main" id="{35047FAA-1932-4872-8231-2F2365598FD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1046" name="Text Box 192">
          <a:extLst>
            <a:ext uri="{FF2B5EF4-FFF2-40B4-BE49-F238E27FC236}">
              <a16:creationId xmlns:a16="http://schemas.microsoft.com/office/drawing/2014/main" id="{A9832E9F-5E49-46AE-AD80-6D590B4BF5AF}"/>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1047" name="Text Box 192">
          <a:extLst>
            <a:ext uri="{FF2B5EF4-FFF2-40B4-BE49-F238E27FC236}">
              <a16:creationId xmlns:a16="http://schemas.microsoft.com/office/drawing/2014/main" id="{6A41A1DF-3C60-4A75-88D0-7D76E71C697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1048" name="Text Box 192">
          <a:extLst>
            <a:ext uri="{FF2B5EF4-FFF2-40B4-BE49-F238E27FC236}">
              <a16:creationId xmlns:a16="http://schemas.microsoft.com/office/drawing/2014/main" id="{CF31A16B-5148-4A98-9855-74D76A86ADBC}"/>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1049" name="Text Box 192">
          <a:extLst>
            <a:ext uri="{FF2B5EF4-FFF2-40B4-BE49-F238E27FC236}">
              <a16:creationId xmlns:a16="http://schemas.microsoft.com/office/drawing/2014/main" id="{03B19CE7-84A6-48E0-BA74-F9EDECD7ABA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1050" name="Text Box 192">
          <a:extLst>
            <a:ext uri="{FF2B5EF4-FFF2-40B4-BE49-F238E27FC236}">
              <a16:creationId xmlns:a16="http://schemas.microsoft.com/office/drawing/2014/main" id="{28DE92E4-01FD-4113-9C69-B67FFC779745}"/>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1051" name="Text Box 192">
          <a:extLst>
            <a:ext uri="{FF2B5EF4-FFF2-40B4-BE49-F238E27FC236}">
              <a16:creationId xmlns:a16="http://schemas.microsoft.com/office/drawing/2014/main" id="{38FAEACC-1CB7-4B73-936F-2B946435377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1052" name="Text Box 192">
          <a:extLst>
            <a:ext uri="{FF2B5EF4-FFF2-40B4-BE49-F238E27FC236}">
              <a16:creationId xmlns:a16="http://schemas.microsoft.com/office/drawing/2014/main" id="{B961057A-ACE1-4660-84AE-57EBCC29325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1053" name="Text Box 192">
          <a:extLst>
            <a:ext uri="{FF2B5EF4-FFF2-40B4-BE49-F238E27FC236}">
              <a16:creationId xmlns:a16="http://schemas.microsoft.com/office/drawing/2014/main" id="{99FBAB30-1E92-4EA1-A4A1-57AE5BEAE50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1054" name="Text Box 192">
          <a:extLst>
            <a:ext uri="{FF2B5EF4-FFF2-40B4-BE49-F238E27FC236}">
              <a16:creationId xmlns:a16="http://schemas.microsoft.com/office/drawing/2014/main" id="{1A459E97-105B-4E9C-B975-063B07F6A31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1055" name="Text Box 192">
          <a:extLst>
            <a:ext uri="{FF2B5EF4-FFF2-40B4-BE49-F238E27FC236}">
              <a16:creationId xmlns:a16="http://schemas.microsoft.com/office/drawing/2014/main" id="{86C52BFF-408D-4E21-BB4C-15259886273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1056" name="Text Box 192">
          <a:extLst>
            <a:ext uri="{FF2B5EF4-FFF2-40B4-BE49-F238E27FC236}">
              <a16:creationId xmlns:a16="http://schemas.microsoft.com/office/drawing/2014/main" id="{1E911179-6439-4783-A5E7-58134007413E}"/>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1057" name="Text Box 192">
          <a:extLst>
            <a:ext uri="{FF2B5EF4-FFF2-40B4-BE49-F238E27FC236}">
              <a16:creationId xmlns:a16="http://schemas.microsoft.com/office/drawing/2014/main" id="{70D5703F-C81C-4DEC-B395-9ABD7E14A909}"/>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1058" name="Text Box 192">
          <a:extLst>
            <a:ext uri="{FF2B5EF4-FFF2-40B4-BE49-F238E27FC236}">
              <a16:creationId xmlns:a16="http://schemas.microsoft.com/office/drawing/2014/main" id="{29AA4DC6-B777-4E20-8F8E-E653948ACBF8}"/>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1059" name="Text Box 192">
          <a:extLst>
            <a:ext uri="{FF2B5EF4-FFF2-40B4-BE49-F238E27FC236}">
              <a16:creationId xmlns:a16="http://schemas.microsoft.com/office/drawing/2014/main" id="{FC07E1B8-759C-449F-A065-9609D0145919}"/>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1060" name="Text Box 192">
          <a:extLst>
            <a:ext uri="{FF2B5EF4-FFF2-40B4-BE49-F238E27FC236}">
              <a16:creationId xmlns:a16="http://schemas.microsoft.com/office/drawing/2014/main" id="{00F4D399-1E79-4811-BA80-01650FFA910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1061" name="Text Box 192">
          <a:extLst>
            <a:ext uri="{FF2B5EF4-FFF2-40B4-BE49-F238E27FC236}">
              <a16:creationId xmlns:a16="http://schemas.microsoft.com/office/drawing/2014/main" id="{356C2A84-0163-47B9-A1ED-7C9764BE1B2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1062" name="Text Box 192">
          <a:extLst>
            <a:ext uri="{FF2B5EF4-FFF2-40B4-BE49-F238E27FC236}">
              <a16:creationId xmlns:a16="http://schemas.microsoft.com/office/drawing/2014/main" id="{C523EFE5-8010-45B0-819B-E7C59E7673E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1063" name="Text Box 192">
          <a:extLst>
            <a:ext uri="{FF2B5EF4-FFF2-40B4-BE49-F238E27FC236}">
              <a16:creationId xmlns:a16="http://schemas.microsoft.com/office/drawing/2014/main" id="{19672823-0B69-4212-892F-D3B8DD585B4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1064" name="Text Box 192">
          <a:extLst>
            <a:ext uri="{FF2B5EF4-FFF2-40B4-BE49-F238E27FC236}">
              <a16:creationId xmlns:a16="http://schemas.microsoft.com/office/drawing/2014/main" id="{6E250026-9385-4DC0-8173-120A0DFFABD7}"/>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1065" name="Text Box 192">
          <a:extLst>
            <a:ext uri="{FF2B5EF4-FFF2-40B4-BE49-F238E27FC236}">
              <a16:creationId xmlns:a16="http://schemas.microsoft.com/office/drawing/2014/main" id="{D671135B-4D9F-4F11-A9F4-405BA36871B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1066" name="Text Box 192">
          <a:extLst>
            <a:ext uri="{FF2B5EF4-FFF2-40B4-BE49-F238E27FC236}">
              <a16:creationId xmlns:a16="http://schemas.microsoft.com/office/drawing/2014/main" id="{FBB3B0A2-0B2D-404D-90DE-AD1B83E242E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1067" name="Text Box 192">
          <a:extLst>
            <a:ext uri="{FF2B5EF4-FFF2-40B4-BE49-F238E27FC236}">
              <a16:creationId xmlns:a16="http://schemas.microsoft.com/office/drawing/2014/main" id="{42416AC4-0EA6-4B0A-947A-9E251E4F977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1068" name="Text Box 192">
          <a:extLst>
            <a:ext uri="{FF2B5EF4-FFF2-40B4-BE49-F238E27FC236}">
              <a16:creationId xmlns:a16="http://schemas.microsoft.com/office/drawing/2014/main" id="{E265801C-E1F9-4B91-82A0-10539CCADD2F}"/>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1069" name="Text Box 192">
          <a:extLst>
            <a:ext uri="{FF2B5EF4-FFF2-40B4-BE49-F238E27FC236}">
              <a16:creationId xmlns:a16="http://schemas.microsoft.com/office/drawing/2014/main" id="{32628760-FABD-4D54-AB57-5CA60476F0D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1070" name="Text Box 192">
          <a:extLst>
            <a:ext uri="{FF2B5EF4-FFF2-40B4-BE49-F238E27FC236}">
              <a16:creationId xmlns:a16="http://schemas.microsoft.com/office/drawing/2014/main" id="{7F0C7505-00ED-4AD0-8F5F-8E1C7311E823}"/>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1071" name="Text Box 192">
          <a:extLst>
            <a:ext uri="{FF2B5EF4-FFF2-40B4-BE49-F238E27FC236}">
              <a16:creationId xmlns:a16="http://schemas.microsoft.com/office/drawing/2014/main" id="{513AD16A-23B5-43FF-91A2-906012B45A0D}"/>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1072" name="Text Box 192">
          <a:extLst>
            <a:ext uri="{FF2B5EF4-FFF2-40B4-BE49-F238E27FC236}">
              <a16:creationId xmlns:a16="http://schemas.microsoft.com/office/drawing/2014/main" id="{73788312-559D-4C18-B954-1ACA952E4C3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1073" name="Text Box 192">
          <a:extLst>
            <a:ext uri="{FF2B5EF4-FFF2-40B4-BE49-F238E27FC236}">
              <a16:creationId xmlns:a16="http://schemas.microsoft.com/office/drawing/2014/main" id="{1F2DC16D-8C2B-4778-BB19-25141E05562E}"/>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1074" name="Text Box 192">
          <a:extLst>
            <a:ext uri="{FF2B5EF4-FFF2-40B4-BE49-F238E27FC236}">
              <a16:creationId xmlns:a16="http://schemas.microsoft.com/office/drawing/2014/main" id="{DC451787-8564-4377-9943-E073CEDB5445}"/>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1075" name="Text Box 192">
          <a:extLst>
            <a:ext uri="{FF2B5EF4-FFF2-40B4-BE49-F238E27FC236}">
              <a16:creationId xmlns:a16="http://schemas.microsoft.com/office/drawing/2014/main" id="{CF3BCC82-A0B6-4147-BF6F-42966FC4DC37}"/>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1076" name="Text Box 192">
          <a:extLst>
            <a:ext uri="{FF2B5EF4-FFF2-40B4-BE49-F238E27FC236}">
              <a16:creationId xmlns:a16="http://schemas.microsoft.com/office/drawing/2014/main" id="{2E15A062-B697-4354-8351-B0EAE2B5B3D7}"/>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1077" name="Text Box 192">
          <a:extLst>
            <a:ext uri="{FF2B5EF4-FFF2-40B4-BE49-F238E27FC236}">
              <a16:creationId xmlns:a16="http://schemas.microsoft.com/office/drawing/2014/main" id="{514AA25E-29E1-4AC8-A2B1-223D8B5A5B59}"/>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1078" name="Text Box 192">
          <a:extLst>
            <a:ext uri="{FF2B5EF4-FFF2-40B4-BE49-F238E27FC236}">
              <a16:creationId xmlns:a16="http://schemas.microsoft.com/office/drawing/2014/main" id="{2E2DC9DF-3B4D-4ED9-8414-5848EFF061B3}"/>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1079" name="Text Box 192">
          <a:extLst>
            <a:ext uri="{FF2B5EF4-FFF2-40B4-BE49-F238E27FC236}">
              <a16:creationId xmlns:a16="http://schemas.microsoft.com/office/drawing/2014/main" id="{4C082AB3-B5E8-4BA4-AC2A-C517007FAF8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1080" name="Text Box 192">
          <a:extLst>
            <a:ext uri="{FF2B5EF4-FFF2-40B4-BE49-F238E27FC236}">
              <a16:creationId xmlns:a16="http://schemas.microsoft.com/office/drawing/2014/main" id="{1945023E-E142-4976-8F2F-9A2020CDD10D}"/>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1081" name="Text Box 192">
          <a:extLst>
            <a:ext uri="{FF2B5EF4-FFF2-40B4-BE49-F238E27FC236}">
              <a16:creationId xmlns:a16="http://schemas.microsoft.com/office/drawing/2014/main" id="{AD8F8E12-5776-4D98-9E67-F51DBB88E07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1082" name="Text Box 192">
          <a:extLst>
            <a:ext uri="{FF2B5EF4-FFF2-40B4-BE49-F238E27FC236}">
              <a16:creationId xmlns:a16="http://schemas.microsoft.com/office/drawing/2014/main" id="{0B167885-768F-4B7E-A778-E8F661BEAF66}"/>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1083" name="Text Box 192">
          <a:extLst>
            <a:ext uri="{FF2B5EF4-FFF2-40B4-BE49-F238E27FC236}">
              <a16:creationId xmlns:a16="http://schemas.microsoft.com/office/drawing/2014/main" id="{3727C45E-1040-4853-9805-2FF926B1C04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1084" name="Text Box 192">
          <a:extLst>
            <a:ext uri="{FF2B5EF4-FFF2-40B4-BE49-F238E27FC236}">
              <a16:creationId xmlns:a16="http://schemas.microsoft.com/office/drawing/2014/main" id="{C2C42F36-9246-47E0-B525-3066B609FFFE}"/>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1085" name="Text Box 192">
          <a:extLst>
            <a:ext uri="{FF2B5EF4-FFF2-40B4-BE49-F238E27FC236}">
              <a16:creationId xmlns:a16="http://schemas.microsoft.com/office/drawing/2014/main" id="{5C5E98A1-97DE-46D6-A2A5-3AC425947FBC}"/>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1086" name="Text Box 192">
          <a:extLst>
            <a:ext uri="{FF2B5EF4-FFF2-40B4-BE49-F238E27FC236}">
              <a16:creationId xmlns:a16="http://schemas.microsoft.com/office/drawing/2014/main" id="{5EC9D67D-8B32-4426-BC92-4FA3D180AE2D}"/>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1087" name="Text Box 192">
          <a:extLst>
            <a:ext uri="{FF2B5EF4-FFF2-40B4-BE49-F238E27FC236}">
              <a16:creationId xmlns:a16="http://schemas.microsoft.com/office/drawing/2014/main" id="{FC4F47C1-1B44-4B1E-A043-2AFF35535897}"/>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1088" name="Text Box 192">
          <a:extLst>
            <a:ext uri="{FF2B5EF4-FFF2-40B4-BE49-F238E27FC236}">
              <a16:creationId xmlns:a16="http://schemas.microsoft.com/office/drawing/2014/main" id="{3609667C-B473-4CE6-9540-9E48F2AFF0E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1089" name="Text Box 192">
          <a:extLst>
            <a:ext uri="{FF2B5EF4-FFF2-40B4-BE49-F238E27FC236}">
              <a16:creationId xmlns:a16="http://schemas.microsoft.com/office/drawing/2014/main" id="{8BB62A33-0407-45B9-8592-C0FC3F8C0DE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1090" name="Text Box 192">
          <a:extLst>
            <a:ext uri="{FF2B5EF4-FFF2-40B4-BE49-F238E27FC236}">
              <a16:creationId xmlns:a16="http://schemas.microsoft.com/office/drawing/2014/main" id="{330615F4-2099-4F28-98BF-A87373DEE743}"/>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1091" name="Text Box 192">
          <a:extLst>
            <a:ext uri="{FF2B5EF4-FFF2-40B4-BE49-F238E27FC236}">
              <a16:creationId xmlns:a16="http://schemas.microsoft.com/office/drawing/2014/main" id="{F573E6CA-5E0A-453F-BC3A-76FEF7CFB5E8}"/>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1092" name="Text Box 192">
          <a:extLst>
            <a:ext uri="{FF2B5EF4-FFF2-40B4-BE49-F238E27FC236}">
              <a16:creationId xmlns:a16="http://schemas.microsoft.com/office/drawing/2014/main" id="{DFBEF8A3-EA68-410C-B1D9-A266B8C4B30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1093" name="Text Box 192">
          <a:extLst>
            <a:ext uri="{FF2B5EF4-FFF2-40B4-BE49-F238E27FC236}">
              <a16:creationId xmlns:a16="http://schemas.microsoft.com/office/drawing/2014/main" id="{617046B3-165F-4440-BF9E-96D88045FC4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1094" name="Text Box 192">
          <a:extLst>
            <a:ext uri="{FF2B5EF4-FFF2-40B4-BE49-F238E27FC236}">
              <a16:creationId xmlns:a16="http://schemas.microsoft.com/office/drawing/2014/main" id="{4087F389-E45D-4EFC-AAE7-CCDE85B45DA6}"/>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1095" name="Text Box 192">
          <a:extLst>
            <a:ext uri="{FF2B5EF4-FFF2-40B4-BE49-F238E27FC236}">
              <a16:creationId xmlns:a16="http://schemas.microsoft.com/office/drawing/2014/main" id="{4F5D0B68-2F3B-456D-B4B7-DC22E854FD5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1096" name="Text Box 192">
          <a:extLst>
            <a:ext uri="{FF2B5EF4-FFF2-40B4-BE49-F238E27FC236}">
              <a16:creationId xmlns:a16="http://schemas.microsoft.com/office/drawing/2014/main" id="{4368885B-FAEE-4336-BD84-37BA07A19EEC}"/>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1097" name="Text Box 192">
          <a:extLst>
            <a:ext uri="{FF2B5EF4-FFF2-40B4-BE49-F238E27FC236}">
              <a16:creationId xmlns:a16="http://schemas.microsoft.com/office/drawing/2014/main" id="{A4BCB501-46B6-4431-9907-A8D2CABDA50C}"/>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1098" name="Text Box 192">
          <a:extLst>
            <a:ext uri="{FF2B5EF4-FFF2-40B4-BE49-F238E27FC236}">
              <a16:creationId xmlns:a16="http://schemas.microsoft.com/office/drawing/2014/main" id="{70CF80F7-539E-44F9-AA2F-F6910AE8264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1099" name="Text Box 192">
          <a:extLst>
            <a:ext uri="{FF2B5EF4-FFF2-40B4-BE49-F238E27FC236}">
              <a16:creationId xmlns:a16="http://schemas.microsoft.com/office/drawing/2014/main" id="{33E7896E-7E39-4AC5-94D2-BE17474C2E5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1100" name="Text Box 192">
          <a:extLst>
            <a:ext uri="{FF2B5EF4-FFF2-40B4-BE49-F238E27FC236}">
              <a16:creationId xmlns:a16="http://schemas.microsoft.com/office/drawing/2014/main" id="{2CC101D6-4672-460F-A24B-87DF107F2596}"/>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1101" name="Text Box 192">
          <a:extLst>
            <a:ext uri="{FF2B5EF4-FFF2-40B4-BE49-F238E27FC236}">
              <a16:creationId xmlns:a16="http://schemas.microsoft.com/office/drawing/2014/main" id="{E3C9E0C2-5124-46E7-8696-6826E6058240}"/>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1102" name="Text Box 192">
          <a:extLst>
            <a:ext uri="{FF2B5EF4-FFF2-40B4-BE49-F238E27FC236}">
              <a16:creationId xmlns:a16="http://schemas.microsoft.com/office/drawing/2014/main" id="{7E845352-5D2D-441F-988B-139BF69385F0}"/>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1103" name="Text Box 192">
          <a:extLst>
            <a:ext uri="{FF2B5EF4-FFF2-40B4-BE49-F238E27FC236}">
              <a16:creationId xmlns:a16="http://schemas.microsoft.com/office/drawing/2014/main" id="{54CB881E-1CC7-43F9-B23B-65AE230D0476}"/>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1104" name="Text Box 192">
          <a:extLst>
            <a:ext uri="{FF2B5EF4-FFF2-40B4-BE49-F238E27FC236}">
              <a16:creationId xmlns:a16="http://schemas.microsoft.com/office/drawing/2014/main" id="{96F1EF01-ED87-4235-9851-4020CC9E6B7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1105" name="Text Box 192">
          <a:extLst>
            <a:ext uri="{FF2B5EF4-FFF2-40B4-BE49-F238E27FC236}">
              <a16:creationId xmlns:a16="http://schemas.microsoft.com/office/drawing/2014/main" id="{A39EDEC4-E389-4D8B-A750-F9BD4570844E}"/>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1106" name="Text Box 192">
          <a:extLst>
            <a:ext uri="{FF2B5EF4-FFF2-40B4-BE49-F238E27FC236}">
              <a16:creationId xmlns:a16="http://schemas.microsoft.com/office/drawing/2014/main" id="{E851BA94-DAC2-4B84-A592-F6743277714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1107" name="Text Box 192">
          <a:extLst>
            <a:ext uri="{FF2B5EF4-FFF2-40B4-BE49-F238E27FC236}">
              <a16:creationId xmlns:a16="http://schemas.microsoft.com/office/drawing/2014/main" id="{6120013F-1E2A-4DEA-A220-A8BD3B247E4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1108" name="Text Box 192">
          <a:extLst>
            <a:ext uri="{FF2B5EF4-FFF2-40B4-BE49-F238E27FC236}">
              <a16:creationId xmlns:a16="http://schemas.microsoft.com/office/drawing/2014/main" id="{75FB7D88-DD76-4C39-B220-943C601B6A87}"/>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1109" name="Text Box 192">
          <a:extLst>
            <a:ext uri="{FF2B5EF4-FFF2-40B4-BE49-F238E27FC236}">
              <a16:creationId xmlns:a16="http://schemas.microsoft.com/office/drawing/2014/main" id="{31458B86-BFBF-4179-A0A3-610882DF1893}"/>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1110" name="Text Box 192">
          <a:extLst>
            <a:ext uri="{FF2B5EF4-FFF2-40B4-BE49-F238E27FC236}">
              <a16:creationId xmlns:a16="http://schemas.microsoft.com/office/drawing/2014/main" id="{3EA24323-F062-4C67-B0F6-0D0C9449692E}"/>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1111" name="Text Box 192">
          <a:extLst>
            <a:ext uri="{FF2B5EF4-FFF2-40B4-BE49-F238E27FC236}">
              <a16:creationId xmlns:a16="http://schemas.microsoft.com/office/drawing/2014/main" id="{96AA5379-0BB1-49CC-B23E-25DFEAB517B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1112" name="Text Box 192">
          <a:extLst>
            <a:ext uri="{FF2B5EF4-FFF2-40B4-BE49-F238E27FC236}">
              <a16:creationId xmlns:a16="http://schemas.microsoft.com/office/drawing/2014/main" id="{464D9A21-5524-4926-B533-5D2A9A7DDEC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1113" name="Text Box 192">
          <a:extLst>
            <a:ext uri="{FF2B5EF4-FFF2-40B4-BE49-F238E27FC236}">
              <a16:creationId xmlns:a16="http://schemas.microsoft.com/office/drawing/2014/main" id="{1202F32D-2BCF-49A7-AEE3-8120192A93F7}"/>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1114" name="Text Box 192">
          <a:extLst>
            <a:ext uri="{FF2B5EF4-FFF2-40B4-BE49-F238E27FC236}">
              <a16:creationId xmlns:a16="http://schemas.microsoft.com/office/drawing/2014/main" id="{A34D2AB1-95C5-404C-8E0A-B18E39469D4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1115" name="Text Box 192">
          <a:extLst>
            <a:ext uri="{FF2B5EF4-FFF2-40B4-BE49-F238E27FC236}">
              <a16:creationId xmlns:a16="http://schemas.microsoft.com/office/drawing/2014/main" id="{E44EAE80-0E1D-474B-B343-82DF4724417E}"/>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1116" name="Text Box 192">
          <a:extLst>
            <a:ext uri="{FF2B5EF4-FFF2-40B4-BE49-F238E27FC236}">
              <a16:creationId xmlns:a16="http://schemas.microsoft.com/office/drawing/2014/main" id="{41EE555C-4947-457B-9C1F-EC94791C6C7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1117" name="Text Box 192">
          <a:extLst>
            <a:ext uri="{FF2B5EF4-FFF2-40B4-BE49-F238E27FC236}">
              <a16:creationId xmlns:a16="http://schemas.microsoft.com/office/drawing/2014/main" id="{A0AB1E02-927D-43F9-B89F-038ED803816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1118" name="Text Box 192">
          <a:extLst>
            <a:ext uri="{FF2B5EF4-FFF2-40B4-BE49-F238E27FC236}">
              <a16:creationId xmlns:a16="http://schemas.microsoft.com/office/drawing/2014/main" id="{A97BB5B1-F586-4185-AA33-A54D9F9AD38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1119" name="Text Box 192">
          <a:extLst>
            <a:ext uri="{FF2B5EF4-FFF2-40B4-BE49-F238E27FC236}">
              <a16:creationId xmlns:a16="http://schemas.microsoft.com/office/drawing/2014/main" id="{BACFC68E-E63C-4D9B-91D4-7942CF120025}"/>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1120" name="Text Box 192">
          <a:extLst>
            <a:ext uri="{FF2B5EF4-FFF2-40B4-BE49-F238E27FC236}">
              <a16:creationId xmlns:a16="http://schemas.microsoft.com/office/drawing/2014/main" id="{B96054EB-0527-41BB-8AC7-1545EA124400}"/>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1121" name="Text Box 192">
          <a:extLst>
            <a:ext uri="{FF2B5EF4-FFF2-40B4-BE49-F238E27FC236}">
              <a16:creationId xmlns:a16="http://schemas.microsoft.com/office/drawing/2014/main" id="{F7355086-4A4D-4345-91D7-C0112FB57EF8}"/>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1122" name="Text Box 192">
          <a:extLst>
            <a:ext uri="{FF2B5EF4-FFF2-40B4-BE49-F238E27FC236}">
              <a16:creationId xmlns:a16="http://schemas.microsoft.com/office/drawing/2014/main" id="{A53F5862-1A97-422C-B6A1-6636E7C03BBF}"/>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1123" name="Text Box 192">
          <a:extLst>
            <a:ext uri="{FF2B5EF4-FFF2-40B4-BE49-F238E27FC236}">
              <a16:creationId xmlns:a16="http://schemas.microsoft.com/office/drawing/2014/main" id="{7C9DBDC9-E080-4917-BDA6-FE70D223EC2E}"/>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1124" name="Text Box 192">
          <a:extLst>
            <a:ext uri="{FF2B5EF4-FFF2-40B4-BE49-F238E27FC236}">
              <a16:creationId xmlns:a16="http://schemas.microsoft.com/office/drawing/2014/main" id="{5E761681-3C73-46E1-BF40-F18F0B4C679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1125" name="Text Box 192">
          <a:extLst>
            <a:ext uri="{FF2B5EF4-FFF2-40B4-BE49-F238E27FC236}">
              <a16:creationId xmlns:a16="http://schemas.microsoft.com/office/drawing/2014/main" id="{FF6A20B8-5094-4E61-AC1D-837073D49D25}"/>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1126" name="Text Box 192">
          <a:extLst>
            <a:ext uri="{FF2B5EF4-FFF2-40B4-BE49-F238E27FC236}">
              <a16:creationId xmlns:a16="http://schemas.microsoft.com/office/drawing/2014/main" id="{29284B44-320A-4DBE-AFD7-3A29DF60D5F9}"/>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1127" name="Text Box 192">
          <a:extLst>
            <a:ext uri="{FF2B5EF4-FFF2-40B4-BE49-F238E27FC236}">
              <a16:creationId xmlns:a16="http://schemas.microsoft.com/office/drawing/2014/main" id="{23F7CDE6-69D9-4D39-828D-17417FCA70ED}"/>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1128" name="Text Box 192">
          <a:extLst>
            <a:ext uri="{FF2B5EF4-FFF2-40B4-BE49-F238E27FC236}">
              <a16:creationId xmlns:a16="http://schemas.microsoft.com/office/drawing/2014/main" id="{31B3D402-36E2-4343-A3E2-736AFFDA5C1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1129" name="Text Box 192">
          <a:extLst>
            <a:ext uri="{FF2B5EF4-FFF2-40B4-BE49-F238E27FC236}">
              <a16:creationId xmlns:a16="http://schemas.microsoft.com/office/drawing/2014/main" id="{CF447881-9456-473B-8DB5-C63D2F7DD13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1130" name="Text Box 192">
          <a:extLst>
            <a:ext uri="{FF2B5EF4-FFF2-40B4-BE49-F238E27FC236}">
              <a16:creationId xmlns:a16="http://schemas.microsoft.com/office/drawing/2014/main" id="{72874955-DC7D-4350-9EC1-0F6B26B7DC8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1131" name="Text Box 192">
          <a:extLst>
            <a:ext uri="{FF2B5EF4-FFF2-40B4-BE49-F238E27FC236}">
              <a16:creationId xmlns:a16="http://schemas.microsoft.com/office/drawing/2014/main" id="{FBC7F4E5-A919-4622-BF65-107CFC46EDD5}"/>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1132" name="Text Box 192">
          <a:extLst>
            <a:ext uri="{FF2B5EF4-FFF2-40B4-BE49-F238E27FC236}">
              <a16:creationId xmlns:a16="http://schemas.microsoft.com/office/drawing/2014/main" id="{40E31D53-AB9A-42AB-9FAD-0497865E95B5}"/>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1133" name="Text Box 192">
          <a:extLst>
            <a:ext uri="{FF2B5EF4-FFF2-40B4-BE49-F238E27FC236}">
              <a16:creationId xmlns:a16="http://schemas.microsoft.com/office/drawing/2014/main" id="{E31E7CEA-B055-4F62-A4A3-1CB28E3BBEA0}"/>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1134" name="Text Box 192">
          <a:extLst>
            <a:ext uri="{FF2B5EF4-FFF2-40B4-BE49-F238E27FC236}">
              <a16:creationId xmlns:a16="http://schemas.microsoft.com/office/drawing/2014/main" id="{E512F838-6D04-407D-BD39-3BB8A6A3780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1135" name="Text Box 192">
          <a:extLst>
            <a:ext uri="{FF2B5EF4-FFF2-40B4-BE49-F238E27FC236}">
              <a16:creationId xmlns:a16="http://schemas.microsoft.com/office/drawing/2014/main" id="{724F5B0F-6871-4884-92C4-018CCD246CD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1136" name="Text Box 192">
          <a:extLst>
            <a:ext uri="{FF2B5EF4-FFF2-40B4-BE49-F238E27FC236}">
              <a16:creationId xmlns:a16="http://schemas.microsoft.com/office/drawing/2014/main" id="{DF33DC9A-6766-4269-97F6-184F02D04355}"/>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1137" name="Text Box 192">
          <a:extLst>
            <a:ext uri="{FF2B5EF4-FFF2-40B4-BE49-F238E27FC236}">
              <a16:creationId xmlns:a16="http://schemas.microsoft.com/office/drawing/2014/main" id="{BA2F3166-B9D7-49C2-9448-0EF1EFDBDB55}"/>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1138" name="Text Box 192">
          <a:extLst>
            <a:ext uri="{FF2B5EF4-FFF2-40B4-BE49-F238E27FC236}">
              <a16:creationId xmlns:a16="http://schemas.microsoft.com/office/drawing/2014/main" id="{8DADC8A8-B430-4422-B165-39D1221AE52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1139" name="Text Box 192">
          <a:extLst>
            <a:ext uri="{FF2B5EF4-FFF2-40B4-BE49-F238E27FC236}">
              <a16:creationId xmlns:a16="http://schemas.microsoft.com/office/drawing/2014/main" id="{7EBA97D5-04D2-4308-B8A9-1D0E56B05322}"/>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1140" name="Text Box 192">
          <a:extLst>
            <a:ext uri="{FF2B5EF4-FFF2-40B4-BE49-F238E27FC236}">
              <a16:creationId xmlns:a16="http://schemas.microsoft.com/office/drawing/2014/main" id="{F56629A5-3410-46A6-AD36-1D024F3609B8}"/>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1141" name="Text Box 192">
          <a:extLst>
            <a:ext uri="{FF2B5EF4-FFF2-40B4-BE49-F238E27FC236}">
              <a16:creationId xmlns:a16="http://schemas.microsoft.com/office/drawing/2014/main" id="{B5C28227-1121-4FC8-B877-2738093B969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1142" name="Text Box 192">
          <a:extLst>
            <a:ext uri="{FF2B5EF4-FFF2-40B4-BE49-F238E27FC236}">
              <a16:creationId xmlns:a16="http://schemas.microsoft.com/office/drawing/2014/main" id="{9649B7B4-60BD-4ABA-92F1-9CEAA052857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1143" name="Text Box 192">
          <a:extLst>
            <a:ext uri="{FF2B5EF4-FFF2-40B4-BE49-F238E27FC236}">
              <a16:creationId xmlns:a16="http://schemas.microsoft.com/office/drawing/2014/main" id="{93783EA0-7549-478E-9BD4-3E68DAF0728D}"/>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1144" name="Text Box 192">
          <a:extLst>
            <a:ext uri="{FF2B5EF4-FFF2-40B4-BE49-F238E27FC236}">
              <a16:creationId xmlns:a16="http://schemas.microsoft.com/office/drawing/2014/main" id="{CE7EE0F7-82C5-4283-8652-BF303677241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1145" name="Text Box 192">
          <a:extLst>
            <a:ext uri="{FF2B5EF4-FFF2-40B4-BE49-F238E27FC236}">
              <a16:creationId xmlns:a16="http://schemas.microsoft.com/office/drawing/2014/main" id="{987B5596-6E48-4B89-B860-7CBFC8F1CB47}"/>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1146" name="Text Box 192">
          <a:extLst>
            <a:ext uri="{FF2B5EF4-FFF2-40B4-BE49-F238E27FC236}">
              <a16:creationId xmlns:a16="http://schemas.microsoft.com/office/drawing/2014/main" id="{9A5803E6-C706-4EBE-8C73-791D8CFA6916}"/>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1147" name="Text Box 192">
          <a:extLst>
            <a:ext uri="{FF2B5EF4-FFF2-40B4-BE49-F238E27FC236}">
              <a16:creationId xmlns:a16="http://schemas.microsoft.com/office/drawing/2014/main" id="{1D35F785-D46B-4433-A764-C1B709082EF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1148" name="Text Box 192">
          <a:extLst>
            <a:ext uri="{FF2B5EF4-FFF2-40B4-BE49-F238E27FC236}">
              <a16:creationId xmlns:a16="http://schemas.microsoft.com/office/drawing/2014/main" id="{5E99773B-B84D-4C99-A25D-C0A72878B375}"/>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1149" name="Text Box 192">
          <a:extLst>
            <a:ext uri="{FF2B5EF4-FFF2-40B4-BE49-F238E27FC236}">
              <a16:creationId xmlns:a16="http://schemas.microsoft.com/office/drawing/2014/main" id="{EAEE4848-4EA5-40BC-BD67-81E75D0B48D3}"/>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1150" name="Text Box 192">
          <a:extLst>
            <a:ext uri="{FF2B5EF4-FFF2-40B4-BE49-F238E27FC236}">
              <a16:creationId xmlns:a16="http://schemas.microsoft.com/office/drawing/2014/main" id="{F4FB2360-4E9A-47F8-85A9-75BE801BDC90}"/>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1151" name="Text Box 192">
          <a:extLst>
            <a:ext uri="{FF2B5EF4-FFF2-40B4-BE49-F238E27FC236}">
              <a16:creationId xmlns:a16="http://schemas.microsoft.com/office/drawing/2014/main" id="{541CAA45-0628-4546-9F1E-DD05446A724F}"/>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1152" name="Text Box 192">
          <a:extLst>
            <a:ext uri="{FF2B5EF4-FFF2-40B4-BE49-F238E27FC236}">
              <a16:creationId xmlns:a16="http://schemas.microsoft.com/office/drawing/2014/main" id="{C5B21912-EECA-49F5-A04F-9DEA033A3C1C}"/>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1153" name="Text Box 192">
          <a:extLst>
            <a:ext uri="{FF2B5EF4-FFF2-40B4-BE49-F238E27FC236}">
              <a16:creationId xmlns:a16="http://schemas.microsoft.com/office/drawing/2014/main" id="{38FBE3A5-F03F-4A1F-BE4E-A54D69F6960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1154" name="Text Box 192">
          <a:extLst>
            <a:ext uri="{FF2B5EF4-FFF2-40B4-BE49-F238E27FC236}">
              <a16:creationId xmlns:a16="http://schemas.microsoft.com/office/drawing/2014/main" id="{56578D17-EE56-4F47-8127-6D7662759CBE}"/>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1155" name="Text Box 192">
          <a:extLst>
            <a:ext uri="{FF2B5EF4-FFF2-40B4-BE49-F238E27FC236}">
              <a16:creationId xmlns:a16="http://schemas.microsoft.com/office/drawing/2014/main" id="{257BAC4E-D26D-4593-B586-BA7766D9168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1156" name="Text Box 192">
          <a:extLst>
            <a:ext uri="{FF2B5EF4-FFF2-40B4-BE49-F238E27FC236}">
              <a16:creationId xmlns:a16="http://schemas.microsoft.com/office/drawing/2014/main" id="{788CFE9E-651F-4191-BE3D-64DD1083497D}"/>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1157" name="Text Box 192">
          <a:extLst>
            <a:ext uri="{FF2B5EF4-FFF2-40B4-BE49-F238E27FC236}">
              <a16:creationId xmlns:a16="http://schemas.microsoft.com/office/drawing/2014/main" id="{13B88017-4B06-4DC4-B76B-A5865ACB70EC}"/>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1158" name="Text Box 192">
          <a:extLst>
            <a:ext uri="{FF2B5EF4-FFF2-40B4-BE49-F238E27FC236}">
              <a16:creationId xmlns:a16="http://schemas.microsoft.com/office/drawing/2014/main" id="{87A3D345-D2A7-4557-B005-C25C729C2F6F}"/>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1159" name="Text Box 192">
          <a:extLst>
            <a:ext uri="{FF2B5EF4-FFF2-40B4-BE49-F238E27FC236}">
              <a16:creationId xmlns:a16="http://schemas.microsoft.com/office/drawing/2014/main" id="{7E7B89C5-13AB-4982-A06D-030968AB182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1160" name="Text Box 192">
          <a:extLst>
            <a:ext uri="{FF2B5EF4-FFF2-40B4-BE49-F238E27FC236}">
              <a16:creationId xmlns:a16="http://schemas.microsoft.com/office/drawing/2014/main" id="{CB45C1C4-DFA5-49CE-B245-9168F4854AB3}"/>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1161" name="Text Box 192">
          <a:extLst>
            <a:ext uri="{FF2B5EF4-FFF2-40B4-BE49-F238E27FC236}">
              <a16:creationId xmlns:a16="http://schemas.microsoft.com/office/drawing/2014/main" id="{5FC9B056-97DE-4EE5-9F24-37DE6A14B943}"/>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1162" name="Text Box 192">
          <a:extLst>
            <a:ext uri="{FF2B5EF4-FFF2-40B4-BE49-F238E27FC236}">
              <a16:creationId xmlns:a16="http://schemas.microsoft.com/office/drawing/2014/main" id="{65483EAC-FB67-4FE7-9ADF-9DD1B68D60FF}"/>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1163" name="Text Box 192">
          <a:extLst>
            <a:ext uri="{FF2B5EF4-FFF2-40B4-BE49-F238E27FC236}">
              <a16:creationId xmlns:a16="http://schemas.microsoft.com/office/drawing/2014/main" id="{4CB0EA30-9CD5-4544-B757-0D23B3DFD8F3}"/>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1164" name="Text Box 192">
          <a:extLst>
            <a:ext uri="{FF2B5EF4-FFF2-40B4-BE49-F238E27FC236}">
              <a16:creationId xmlns:a16="http://schemas.microsoft.com/office/drawing/2014/main" id="{A5302527-A530-44E5-8C1B-0624C701DCB3}"/>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1165" name="Text Box 192">
          <a:extLst>
            <a:ext uri="{FF2B5EF4-FFF2-40B4-BE49-F238E27FC236}">
              <a16:creationId xmlns:a16="http://schemas.microsoft.com/office/drawing/2014/main" id="{C1D548CB-6AE7-4A8B-A236-C08250C89740}"/>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1166" name="Text Box 192">
          <a:extLst>
            <a:ext uri="{FF2B5EF4-FFF2-40B4-BE49-F238E27FC236}">
              <a16:creationId xmlns:a16="http://schemas.microsoft.com/office/drawing/2014/main" id="{4E0FFD38-6076-490C-A6C8-53B24B930FB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1167" name="Text Box 192">
          <a:extLst>
            <a:ext uri="{FF2B5EF4-FFF2-40B4-BE49-F238E27FC236}">
              <a16:creationId xmlns:a16="http://schemas.microsoft.com/office/drawing/2014/main" id="{6DE84314-7C66-4251-86DC-E1EAC2AC2DDA}"/>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1168" name="Text Box 192">
          <a:extLst>
            <a:ext uri="{FF2B5EF4-FFF2-40B4-BE49-F238E27FC236}">
              <a16:creationId xmlns:a16="http://schemas.microsoft.com/office/drawing/2014/main" id="{388C8628-7B9D-4CF0-96DE-73FA7CBD061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1169" name="Text Box 192">
          <a:extLst>
            <a:ext uri="{FF2B5EF4-FFF2-40B4-BE49-F238E27FC236}">
              <a16:creationId xmlns:a16="http://schemas.microsoft.com/office/drawing/2014/main" id="{11ED1357-0A1E-4F4F-A240-DD9D2E2BCE75}"/>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1170" name="Text Box 192">
          <a:extLst>
            <a:ext uri="{FF2B5EF4-FFF2-40B4-BE49-F238E27FC236}">
              <a16:creationId xmlns:a16="http://schemas.microsoft.com/office/drawing/2014/main" id="{8E2B7CA2-54B7-48B6-8A6C-9AF1EBCF2B77}"/>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1171" name="Text Box 192">
          <a:extLst>
            <a:ext uri="{FF2B5EF4-FFF2-40B4-BE49-F238E27FC236}">
              <a16:creationId xmlns:a16="http://schemas.microsoft.com/office/drawing/2014/main" id="{21CE22B4-04B3-426B-A175-714C80EBCB59}"/>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1172" name="Text Box 192">
          <a:extLst>
            <a:ext uri="{FF2B5EF4-FFF2-40B4-BE49-F238E27FC236}">
              <a16:creationId xmlns:a16="http://schemas.microsoft.com/office/drawing/2014/main" id="{C4F70068-2A21-41A7-A24B-F9CC4468A756}"/>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1173" name="Text Box 192">
          <a:extLst>
            <a:ext uri="{FF2B5EF4-FFF2-40B4-BE49-F238E27FC236}">
              <a16:creationId xmlns:a16="http://schemas.microsoft.com/office/drawing/2014/main" id="{1BFF1ED6-E902-44DD-86C9-822701882E77}"/>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1174" name="Text Box 192">
          <a:extLst>
            <a:ext uri="{FF2B5EF4-FFF2-40B4-BE49-F238E27FC236}">
              <a16:creationId xmlns:a16="http://schemas.microsoft.com/office/drawing/2014/main" id="{71263BB6-F659-46AD-9A90-B02B2FBF3791}"/>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1175" name="Text Box 192">
          <a:extLst>
            <a:ext uri="{FF2B5EF4-FFF2-40B4-BE49-F238E27FC236}">
              <a16:creationId xmlns:a16="http://schemas.microsoft.com/office/drawing/2014/main" id="{DB6A8B65-246E-408E-BACD-22520E00DCAB}"/>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1176" name="Text Box 192">
          <a:extLst>
            <a:ext uri="{FF2B5EF4-FFF2-40B4-BE49-F238E27FC236}">
              <a16:creationId xmlns:a16="http://schemas.microsoft.com/office/drawing/2014/main" id="{D66AB004-FB78-4819-80DD-E8FFDCB803AD}"/>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1177" name="Text Box 192">
          <a:extLst>
            <a:ext uri="{FF2B5EF4-FFF2-40B4-BE49-F238E27FC236}">
              <a16:creationId xmlns:a16="http://schemas.microsoft.com/office/drawing/2014/main" id="{58AA0369-9B3D-4E3D-B9DB-8DF126C9E133}"/>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1178" name="Text Box 192">
          <a:extLst>
            <a:ext uri="{FF2B5EF4-FFF2-40B4-BE49-F238E27FC236}">
              <a16:creationId xmlns:a16="http://schemas.microsoft.com/office/drawing/2014/main" id="{52427FEF-6722-4142-BFF6-565BBCE52F14}"/>
            </a:ext>
          </a:extLst>
        </xdr:cNvPr>
        <xdr:cNvSpPr txBox="1">
          <a:spLocks noChangeArrowheads="1"/>
        </xdr:cNvSpPr>
      </xdr:nvSpPr>
      <xdr:spPr bwMode="auto">
        <a:xfrm>
          <a:off x="24718006" y="1807964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1179" name="Text Box 192">
          <a:extLst>
            <a:ext uri="{FF2B5EF4-FFF2-40B4-BE49-F238E27FC236}">
              <a16:creationId xmlns:a16="http://schemas.microsoft.com/office/drawing/2014/main" id="{588B9288-A8D3-4783-A893-F5C8877AF30E}"/>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1180" name="Text Box 192">
          <a:extLst>
            <a:ext uri="{FF2B5EF4-FFF2-40B4-BE49-F238E27FC236}">
              <a16:creationId xmlns:a16="http://schemas.microsoft.com/office/drawing/2014/main" id="{F7BA806B-D40C-4446-8EBF-322FA12DA3F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1181" name="Text Box 192">
          <a:extLst>
            <a:ext uri="{FF2B5EF4-FFF2-40B4-BE49-F238E27FC236}">
              <a16:creationId xmlns:a16="http://schemas.microsoft.com/office/drawing/2014/main" id="{CE0B7BDA-9702-4394-95A7-ADB438632B3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1182" name="Text Box 192">
          <a:extLst>
            <a:ext uri="{FF2B5EF4-FFF2-40B4-BE49-F238E27FC236}">
              <a16:creationId xmlns:a16="http://schemas.microsoft.com/office/drawing/2014/main" id="{E7072D0B-DB2D-45EB-8C31-DD1B269919CE}"/>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1183" name="Text Box 192">
          <a:extLst>
            <a:ext uri="{FF2B5EF4-FFF2-40B4-BE49-F238E27FC236}">
              <a16:creationId xmlns:a16="http://schemas.microsoft.com/office/drawing/2014/main" id="{35206C6B-B05A-4E4D-BD14-BA0BCDFCF903}"/>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1184" name="Text Box 192">
          <a:extLst>
            <a:ext uri="{FF2B5EF4-FFF2-40B4-BE49-F238E27FC236}">
              <a16:creationId xmlns:a16="http://schemas.microsoft.com/office/drawing/2014/main" id="{0FFD423D-160A-4825-9B0F-D5A7CA3BE69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1185" name="Text Box 192">
          <a:extLst>
            <a:ext uri="{FF2B5EF4-FFF2-40B4-BE49-F238E27FC236}">
              <a16:creationId xmlns:a16="http://schemas.microsoft.com/office/drawing/2014/main" id="{B541DF8C-A61A-413C-85CA-E922B137AEA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1186" name="Text Box 192">
          <a:extLst>
            <a:ext uri="{FF2B5EF4-FFF2-40B4-BE49-F238E27FC236}">
              <a16:creationId xmlns:a16="http://schemas.microsoft.com/office/drawing/2014/main" id="{7A7D8595-D857-4DBA-AFD9-9B363622633E}"/>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1187" name="Text Box 192">
          <a:extLst>
            <a:ext uri="{FF2B5EF4-FFF2-40B4-BE49-F238E27FC236}">
              <a16:creationId xmlns:a16="http://schemas.microsoft.com/office/drawing/2014/main" id="{91C573C0-5542-4A66-BA71-1EC01C9BA32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1188" name="Text Box 192">
          <a:extLst>
            <a:ext uri="{FF2B5EF4-FFF2-40B4-BE49-F238E27FC236}">
              <a16:creationId xmlns:a16="http://schemas.microsoft.com/office/drawing/2014/main" id="{72AFF8EA-B79D-46E5-9648-B73131FDD29D}"/>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1189" name="Text Box 192">
          <a:extLst>
            <a:ext uri="{FF2B5EF4-FFF2-40B4-BE49-F238E27FC236}">
              <a16:creationId xmlns:a16="http://schemas.microsoft.com/office/drawing/2014/main" id="{099C6D01-C072-453A-B09E-65F3CD5664B3}"/>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1190" name="Text Box 192">
          <a:extLst>
            <a:ext uri="{FF2B5EF4-FFF2-40B4-BE49-F238E27FC236}">
              <a16:creationId xmlns:a16="http://schemas.microsoft.com/office/drawing/2014/main" id="{D7C897C0-D3AC-457E-B78A-7E94EEE2FA2E}"/>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1191" name="Text Box 192">
          <a:extLst>
            <a:ext uri="{FF2B5EF4-FFF2-40B4-BE49-F238E27FC236}">
              <a16:creationId xmlns:a16="http://schemas.microsoft.com/office/drawing/2014/main" id="{19B80932-DAA6-4A59-A787-471B523DDBD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1192" name="Text Box 192">
          <a:extLst>
            <a:ext uri="{FF2B5EF4-FFF2-40B4-BE49-F238E27FC236}">
              <a16:creationId xmlns:a16="http://schemas.microsoft.com/office/drawing/2014/main" id="{2DC78A49-5CD0-456A-8A6A-36F992A012B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1193" name="Text Box 192">
          <a:extLst>
            <a:ext uri="{FF2B5EF4-FFF2-40B4-BE49-F238E27FC236}">
              <a16:creationId xmlns:a16="http://schemas.microsoft.com/office/drawing/2014/main" id="{5603F5E8-A05D-40A0-80A2-B45449BD3E70}"/>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1194" name="Text Box 192">
          <a:extLst>
            <a:ext uri="{FF2B5EF4-FFF2-40B4-BE49-F238E27FC236}">
              <a16:creationId xmlns:a16="http://schemas.microsoft.com/office/drawing/2014/main" id="{BDF0CE3E-2049-4C51-908D-CF266713C81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1195" name="Text Box 192">
          <a:extLst>
            <a:ext uri="{FF2B5EF4-FFF2-40B4-BE49-F238E27FC236}">
              <a16:creationId xmlns:a16="http://schemas.microsoft.com/office/drawing/2014/main" id="{430AF844-5830-4F4A-8F74-6B9F077CDFF9}"/>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1196" name="Text Box 192">
          <a:extLst>
            <a:ext uri="{FF2B5EF4-FFF2-40B4-BE49-F238E27FC236}">
              <a16:creationId xmlns:a16="http://schemas.microsoft.com/office/drawing/2014/main" id="{05AC68D7-4AAA-4DDC-B1AF-360FCD11329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1197" name="Text Box 192">
          <a:extLst>
            <a:ext uri="{FF2B5EF4-FFF2-40B4-BE49-F238E27FC236}">
              <a16:creationId xmlns:a16="http://schemas.microsoft.com/office/drawing/2014/main" id="{A3D2617B-F4B6-4B2A-AC54-844E325CBD3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1198" name="Text Box 192">
          <a:extLst>
            <a:ext uri="{FF2B5EF4-FFF2-40B4-BE49-F238E27FC236}">
              <a16:creationId xmlns:a16="http://schemas.microsoft.com/office/drawing/2014/main" id="{7D2F688D-D45E-4C37-B03C-97113CA03C0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1199" name="Text Box 192">
          <a:extLst>
            <a:ext uri="{FF2B5EF4-FFF2-40B4-BE49-F238E27FC236}">
              <a16:creationId xmlns:a16="http://schemas.microsoft.com/office/drawing/2014/main" id="{48147AB1-19D2-4129-A8FA-333C1D2A239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1200" name="Text Box 192">
          <a:extLst>
            <a:ext uri="{FF2B5EF4-FFF2-40B4-BE49-F238E27FC236}">
              <a16:creationId xmlns:a16="http://schemas.microsoft.com/office/drawing/2014/main" id="{1806D50B-D05F-47EE-8096-BC91483BFA1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1201" name="Text Box 192">
          <a:extLst>
            <a:ext uri="{FF2B5EF4-FFF2-40B4-BE49-F238E27FC236}">
              <a16:creationId xmlns:a16="http://schemas.microsoft.com/office/drawing/2014/main" id="{34D1665E-F380-4B38-8EC7-8E836163108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1202" name="Text Box 192">
          <a:extLst>
            <a:ext uri="{FF2B5EF4-FFF2-40B4-BE49-F238E27FC236}">
              <a16:creationId xmlns:a16="http://schemas.microsoft.com/office/drawing/2014/main" id="{55059ECB-C31F-435C-9E28-534235236B6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1203" name="Text Box 192">
          <a:extLst>
            <a:ext uri="{FF2B5EF4-FFF2-40B4-BE49-F238E27FC236}">
              <a16:creationId xmlns:a16="http://schemas.microsoft.com/office/drawing/2014/main" id="{5E18FE1B-3AD2-4CF7-84C3-8C71C33B1A0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1204" name="Text Box 192">
          <a:extLst>
            <a:ext uri="{FF2B5EF4-FFF2-40B4-BE49-F238E27FC236}">
              <a16:creationId xmlns:a16="http://schemas.microsoft.com/office/drawing/2014/main" id="{FAF1EA66-3CF4-461F-BB55-AE4AC2DEB7C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1205" name="Text Box 192">
          <a:extLst>
            <a:ext uri="{FF2B5EF4-FFF2-40B4-BE49-F238E27FC236}">
              <a16:creationId xmlns:a16="http://schemas.microsoft.com/office/drawing/2014/main" id="{B2ED3415-5756-49BE-8068-952313D57FF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1206" name="Text Box 192">
          <a:extLst>
            <a:ext uri="{FF2B5EF4-FFF2-40B4-BE49-F238E27FC236}">
              <a16:creationId xmlns:a16="http://schemas.microsoft.com/office/drawing/2014/main" id="{E8107840-6A36-43D1-A6DA-39CA47F3F5E1}"/>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1207" name="Text Box 192">
          <a:extLst>
            <a:ext uri="{FF2B5EF4-FFF2-40B4-BE49-F238E27FC236}">
              <a16:creationId xmlns:a16="http://schemas.microsoft.com/office/drawing/2014/main" id="{8C5E328C-296C-4DE4-8001-2538D7D8F5A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1208" name="Text Box 192">
          <a:extLst>
            <a:ext uri="{FF2B5EF4-FFF2-40B4-BE49-F238E27FC236}">
              <a16:creationId xmlns:a16="http://schemas.microsoft.com/office/drawing/2014/main" id="{FD67D841-554C-4D69-991E-A183D3A9489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1209" name="Text Box 192">
          <a:extLst>
            <a:ext uri="{FF2B5EF4-FFF2-40B4-BE49-F238E27FC236}">
              <a16:creationId xmlns:a16="http://schemas.microsoft.com/office/drawing/2014/main" id="{F50AD0CC-7B42-4823-8801-36926E0E768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1210" name="Text Box 192">
          <a:extLst>
            <a:ext uri="{FF2B5EF4-FFF2-40B4-BE49-F238E27FC236}">
              <a16:creationId xmlns:a16="http://schemas.microsoft.com/office/drawing/2014/main" id="{B66E8A49-BFCB-49AC-9AB1-D908288F31E0}"/>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1211" name="Text Box 192">
          <a:extLst>
            <a:ext uri="{FF2B5EF4-FFF2-40B4-BE49-F238E27FC236}">
              <a16:creationId xmlns:a16="http://schemas.microsoft.com/office/drawing/2014/main" id="{48F09FBE-39B5-43E4-BE48-0F3ECC08744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1212" name="Text Box 192">
          <a:extLst>
            <a:ext uri="{FF2B5EF4-FFF2-40B4-BE49-F238E27FC236}">
              <a16:creationId xmlns:a16="http://schemas.microsoft.com/office/drawing/2014/main" id="{2DC63C0C-AD72-4785-95C2-EB9DCFD3DC4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1213" name="Text Box 192">
          <a:extLst>
            <a:ext uri="{FF2B5EF4-FFF2-40B4-BE49-F238E27FC236}">
              <a16:creationId xmlns:a16="http://schemas.microsoft.com/office/drawing/2014/main" id="{AB5B077E-19A6-43A8-85C6-20B460F33B0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1214" name="Text Box 192">
          <a:extLst>
            <a:ext uri="{FF2B5EF4-FFF2-40B4-BE49-F238E27FC236}">
              <a16:creationId xmlns:a16="http://schemas.microsoft.com/office/drawing/2014/main" id="{151CD3E7-D7EE-46D7-B89A-1660315308A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1215" name="Text Box 192">
          <a:extLst>
            <a:ext uri="{FF2B5EF4-FFF2-40B4-BE49-F238E27FC236}">
              <a16:creationId xmlns:a16="http://schemas.microsoft.com/office/drawing/2014/main" id="{851CA0CA-2660-4FCB-9EA1-CE34A9195D2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1216" name="Text Box 192">
          <a:extLst>
            <a:ext uri="{FF2B5EF4-FFF2-40B4-BE49-F238E27FC236}">
              <a16:creationId xmlns:a16="http://schemas.microsoft.com/office/drawing/2014/main" id="{89AB6BBC-F50B-4AC5-9CDA-29EF8BCBB1F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1217" name="Text Box 192">
          <a:extLst>
            <a:ext uri="{FF2B5EF4-FFF2-40B4-BE49-F238E27FC236}">
              <a16:creationId xmlns:a16="http://schemas.microsoft.com/office/drawing/2014/main" id="{BDC5B4D2-3FCF-4446-8EBA-B5BF296DDDE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1218" name="Text Box 192">
          <a:extLst>
            <a:ext uri="{FF2B5EF4-FFF2-40B4-BE49-F238E27FC236}">
              <a16:creationId xmlns:a16="http://schemas.microsoft.com/office/drawing/2014/main" id="{7E90C610-FF63-4302-9EB5-151A25EEFE6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1219" name="Text Box 192">
          <a:extLst>
            <a:ext uri="{FF2B5EF4-FFF2-40B4-BE49-F238E27FC236}">
              <a16:creationId xmlns:a16="http://schemas.microsoft.com/office/drawing/2014/main" id="{4B89BCFC-A6E7-46CA-A50C-295C4BB83EF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1220" name="Text Box 192">
          <a:extLst>
            <a:ext uri="{FF2B5EF4-FFF2-40B4-BE49-F238E27FC236}">
              <a16:creationId xmlns:a16="http://schemas.microsoft.com/office/drawing/2014/main" id="{1476783A-923F-465A-BC17-393C6CCA67B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1221" name="Text Box 192">
          <a:extLst>
            <a:ext uri="{FF2B5EF4-FFF2-40B4-BE49-F238E27FC236}">
              <a16:creationId xmlns:a16="http://schemas.microsoft.com/office/drawing/2014/main" id="{2667A581-D7D9-414B-B227-89B9A0F0F58D}"/>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1222" name="Text Box 192">
          <a:extLst>
            <a:ext uri="{FF2B5EF4-FFF2-40B4-BE49-F238E27FC236}">
              <a16:creationId xmlns:a16="http://schemas.microsoft.com/office/drawing/2014/main" id="{981FC39A-D0FF-4813-8BC2-315C6CD6FE5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1223" name="Text Box 192">
          <a:extLst>
            <a:ext uri="{FF2B5EF4-FFF2-40B4-BE49-F238E27FC236}">
              <a16:creationId xmlns:a16="http://schemas.microsoft.com/office/drawing/2014/main" id="{71CEBE87-1766-4F85-97C3-469C2111910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1224" name="Text Box 192">
          <a:extLst>
            <a:ext uri="{FF2B5EF4-FFF2-40B4-BE49-F238E27FC236}">
              <a16:creationId xmlns:a16="http://schemas.microsoft.com/office/drawing/2014/main" id="{945CD36F-6013-44AB-B7DB-037A9E2E01F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1225" name="Text Box 192">
          <a:extLst>
            <a:ext uri="{FF2B5EF4-FFF2-40B4-BE49-F238E27FC236}">
              <a16:creationId xmlns:a16="http://schemas.microsoft.com/office/drawing/2014/main" id="{8B35215B-914D-4445-89B7-ECFDC35F9E6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1226" name="Text Box 192">
          <a:extLst>
            <a:ext uri="{FF2B5EF4-FFF2-40B4-BE49-F238E27FC236}">
              <a16:creationId xmlns:a16="http://schemas.microsoft.com/office/drawing/2014/main" id="{846CB721-FE84-4803-A142-01DC5A47D36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1227" name="Text Box 192">
          <a:extLst>
            <a:ext uri="{FF2B5EF4-FFF2-40B4-BE49-F238E27FC236}">
              <a16:creationId xmlns:a16="http://schemas.microsoft.com/office/drawing/2014/main" id="{65C6C221-C65A-4873-A821-EEB76FB41B8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1228" name="Text Box 192">
          <a:extLst>
            <a:ext uri="{FF2B5EF4-FFF2-40B4-BE49-F238E27FC236}">
              <a16:creationId xmlns:a16="http://schemas.microsoft.com/office/drawing/2014/main" id="{D32E5C50-27FB-4AD3-B15F-9AB30E43574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1229" name="Text Box 192">
          <a:extLst>
            <a:ext uri="{FF2B5EF4-FFF2-40B4-BE49-F238E27FC236}">
              <a16:creationId xmlns:a16="http://schemas.microsoft.com/office/drawing/2014/main" id="{EF72F612-ACF6-4A89-9AC2-7A117590937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1230" name="Text Box 192">
          <a:extLst>
            <a:ext uri="{FF2B5EF4-FFF2-40B4-BE49-F238E27FC236}">
              <a16:creationId xmlns:a16="http://schemas.microsoft.com/office/drawing/2014/main" id="{018DFB77-853B-451B-98F2-97AC97E3348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1231" name="Text Box 192">
          <a:extLst>
            <a:ext uri="{FF2B5EF4-FFF2-40B4-BE49-F238E27FC236}">
              <a16:creationId xmlns:a16="http://schemas.microsoft.com/office/drawing/2014/main" id="{BF754D0B-1165-491F-98F0-BDCB5BC612E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1232" name="Text Box 192">
          <a:extLst>
            <a:ext uri="{FF2B5EF4-FFF2-40B4-BE49-F238E27FC236}">
              <a16:creationId xmlns:a16="http://schemas.microsoft.com/office/drawing/2014/main" id="{8F8198A0-EF23-4021-9BC5-9E509778248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1233" name="Text Box 192">
          <a:extLst>
            <a:ext uri="{FF2B5EF4-FFF2-40B4-BE49-F238E27FC236}">
              <a16:creationId xmlns:a16="http://schemas.microsoft.com/office/drawing/2014/main" id="{B2F4B26C-043B-4E6B-A3CC-D38B94665D3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1234" name="Text Box 192">
          <a:extLst>
            <a:ext uri="{FF2B5EF4-FFF2-40B4-BE49-F238E27FC236}">
              <a16:creationId xmlns:a16="http://schemas.microsoft.com/office/drawing/2014/main" id="{5A3F34A3-0144-4E2B-9732-CB520C89A85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1235" name="Text Box 192">
          <a:extLst>
            <a:ext uri="{FF2B5EF4-FFF2-40B4-BE49-F238E27FC236}">
              <a16:creationId xmlns:a16="http://schemas.microsoft.com/office/drawing/2014/main" id="{3AA6BAC5-0F31-48FD-B056-9D7175899F5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1236" name="Text Box 192">
          <a:extLst>
            <a:ext uri="{FF2B5EF4-FFF2-40B4-BE49-F238E27FC236}">
              <a16:creationId xmlns:a16="http://schemas.microsoft.com/office/drawing/2014/main" id="{9ABA75D3-E336-4E81-874D-1FAFAFA51DF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1237" name="Text Box 192">
          <a:extLst>
            <a:ext uri="{FF2B5EF4-FFF2-40B4-BE49-F238E27FC236}">
              <a16:creationId xmlns:a16="http://schemas.microsoft.com/office/drawing/2014/main" id="{21A591B5-F8F7-414F-9592-3B81329323C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1238" name="Text Box 192">
          <a:extLst>
            <a:ext uri="{FF2B5EF4-FFF2-40B4-BE49-F238E27FC236}">
              <a16:creationId xmlns:a16="http://schemas.microsoft.com/office/drawing/2014/main" id="{0479439B-23B9-4314-9AE3-969D9F5F4B1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1239" name="Text Box 192">
          <a:extLst>
            <a:ext uri="{FF2B5EF4-FFF2-40B4-BE49-F238E27FC236}">
              <a16:creationId xmlns:a16="http://schemas.microsoft.com/office/drawing/2014/main" id="{D6684DB4-A9F1-4232-B865-43BB1A5DE03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1240" name="Text Box 192">
          <a:extLst>
            <a:ext uri="{FF2B5EF4-FFF2-40B4-BE49-F238E27FC236}">
              <a16:creationId xmlns:a16="http://schemas.microsoft.com/office/drawing/2014/main" id="{FE05B96F-12DA-4C65-AAFE-DF4E9DB9322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1241" name="Text Box 192">
          <a:extLst>
            <a:ext uri="{FF2B5EF4-FFF2-40B4-BE49-F238E27FC236}">
              <a16:creationId xmlns:a16="http://schemas.microsoft.com/office/drawing/2014/main" id="{6825E062-85C8-4E4C-921F-C99BAA233CA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1242" name="Text Box 192">
          <a:extLst>
            <a:ext uri="{FF2B5EF4-FFF2-40B4-BE49-F238E27FC236}">
              <a16:creationId xmlns:a16="http://schemas.microsoft.com/office/drawing/2014/main" id="{F329046B-FA23-462B-9C8F-A8E6091B16C9}"/>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1243" name="Text Box 192">
          <a:extLst>
            <a:ext uri="{FF2B5EF4-FFF2-40B4-BE49-F238E27FC236}">
              <a16:creationId xmlns:a16="http://schemas.microsoft.com/office/drawing/2014/main" id="{CDF419E9-012E-4236-8297-6B37186BA8F0}"/>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1244" name="Text Box 192">
          <a:extLst>
            <a:ext uri="{FF2B5EF4-FFF2-40B4-BE49-F238E27FC236}">
              <a16:creationId xmlns:a16="http://schemas.microsoft.com/office/drawing/2014/main" id="{F27CFF8D-DA41-4B4A-AAB6-43D4183F65F1}"/>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1245" name="Text Box 192">
          <a:extLst>
            <a:ext uri="{FF2B5EF4-FFF2-40B4-BE49-F238E27FC236}">
              <a16:creationId xmlns:a16="http://schemas.microsoft.com/office/drawing/2014/main" id="{1C6B2161-B56E-4F2B-A2F7-0553616D586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1246" name="Text Box 192">
          <a:extLst>
            <a:ext uri="{FF2B5EF4-FFF2-40B4-BE49-F238E27FC236}">
              <a16:creationId xmlns:a16="http://schemas.microsoft.com/office/drawing/2014/main" id="{BC881BC4-BC52-4D86-A065-E93A30458474}"/>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1247" name="Text Box 192">
          <a:extLst>
            <a:ext uri="{FF2B5EF4-FFF2-40B4-BE49-F238E27FC236}">
              <a16:creationId xmlns:a16="http://schemas.microsoft.com/office/drawing/2014/main" id="{415DDFEA-28CE-4130-8251-056CBAEF106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1248" name="Text Box 192">
          <a:extLst>
            <a:ext uri="{FF2B5EF4-FFF2-40B4-BE49-F238E27FC236}">
              <a16:creationId xmlns:a16="http://schemas.microsoft.com/office/drawing/2014/main" id="{AFE6E0A8-FB51-469A-8F4D-E18E9A97E64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1249" name="Text Box 192">
          <a:extLst>
            <a:ext uri="{FF2B5EF4-FFF2-40B4-BE49-F238E27FC236}">
              <a16:creationId xmlns:a16="http://schemas.microsoft.com/office/drawing/2014/main" id="{2A0BC42F-BF36-4D28-B337-19E725B4CD2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1250" name="Text Box 192">
          <a:extLst>
            <a:ext uri="{FF2B5EF4-FFF2-40B4-BE49-F238E27FC236}">
              <a16:creationId xmlns:a16="http://schemas.microsoft.com/office/drawing/2014/main" id="{1100DE7A-93A5-4C6E-8CA4-FBA80564DA0E}"/>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1251" name="Text Box 192">
          <a:extLst>
            <a:ext uri="{FF2B5EF4-FFF2-40B4-BE49-F238E27FC236}">
              <a16:creationId xmlns:a16="http://schemas.microsoft.com/office/drawing/2014/main" id="{13550406-623C-4E1C-B4CA-7948CA227C9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1252" name="Text Box 192">
          <a:extLst>
            <a:ext uri="{FF2B5EF4-FFF2-40B4-BE49-F238E27FC236}">
              <a16:creationId xmlns:a16="http://schemas.microsoft.com/office/drawing/2014/main" id="{86E1B38F-AEBF-493D-8E42-7864BE7DEDF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1253" name="Text Box 192">
          <a:extLst>
            <a:ext uri="{FF2B5EF4-FFF2-40B4-BE49-F238E27FC236}">
              <a16:creationId xmlns:a16="http://schemas.microsoft.com/office/drawing/2014/main" id="{B0835C65-AB21-4D91-A37D-78BD1254333D}"/>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1254" name="Text Box 192">
          <a:extLst>
            <a:ext uri="{FF2B5EF4-FFF2-40B4-BE49-F238E27FC236}">
              <a16:creationId xmlns:a16="http://schemas.microsoft.com/office/drawing/2014/main" id="{85609486-2E78-423A-A803-B70CEE17A05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1255" name="Text Box 192">
          <a:extLst>
            <a:ext uri="{FF2B5EF4-FFF2-40B4-BE49-F238E27FC236}">
              <a16:creationId xmlns:a16="http://schemas.microsoft.com/office/drawing/2014/main" id="{07A74CF2-48D4-4C9C-9950-8AD015A5C34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1256" name="Text Box 192">
          <a:extLst>
            <a:ext uri="{FF2B5EF4-FFF2-40B4-BE49-F238E27FC236}">
              <a16:creationId xmlns:a16="http://schemas.microsoft.com/office/drawing/2014/main" id="{B33FA70C-08EB-4083-8F2D-5E2F80B249A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1257" name="Text Box 192">
          <a:extLst>
            <a:ext uri="{FF2B5EF4-FFF2-40B4-BE49-F238E27FC236}">
              <a16:creationId xmlns:a16="http://schemas.microsoft.com/office/drawing/2014/main" id="{EBA44FD8-72B4-421A-8A22-6F88FC2A0CF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1258" name="Text Box 192">
          <a:extLst>
            <a:ext uri="{FF2B5EF4-FFF2-40B4-BE49-F238E27FC236}">
              <a16:creationId xmlns:a16="http://schemas.microsoft.com/office/drawing/2014/main" id="{07E3C538-820E-4C03-A0B3-F217D00B96C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1259" name="Text Box 192">
          <a:extLst>
            <a:ext uri="{FF2B5EF4-FFF2-40B4-BE49-F238E27FC236}">
              <a16:creationId xmlns:a16="http://schemas.microsoft.com/office/drawing/2014/main" id="{639B99EF-6BED-4E90-8E20-D4BC3F147313}"/>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1260" name="Text Box 192">
          <a:extLst>
            <a:ext uri="{FF2B5EF4-FFF2-40B4-BE49-F238E27FC236}">
              <a16:creationId xmlns:a16="http://schemas.microsoft.com/office/drawing/2014/main" id="{45BB7104-93D9-4872-B426-6262638A9E69}"/>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1261" name="Text Box 192">
          <a:extLst>
            <a:ext uri="{FF2B5EF4-FFF2-40B4-BE49-F238E27FC236}">
              <a16:creationId xmlns:a16="http://schemas.microsoft.com/office/drawing/2014/main" id="{2B684FAD-0EA9-42A5-8109-9E0C8B0FD9B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1262" name="Text Box 192">
          <a:extLst>
            <a:ext uri="{FF2B5EF4-FFF2-40B4-BE49-F238E27FC236}">
              <a16:creationId xmlns:a16="http://schemas.microsoft.com/office/drawing/2014/main" id="{4728546A-93DE-4A95-B1F5-E84AD85E09D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1263" name="Text Box 192">
          <a:extLst>
            <a:ext uri="{FF2B5EF4-FFF2-40B4-BE49-F238E27FC236}">
              <a16:creationId xmlns:a16="http://schemas.microsoft.com/office/drawing/2014/main" id="{AC582C1B-1B56-4A73-94E9-D69EE33F7FB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1264" name="Text Box 192">
          <a:extLst>
            <a:ext uri="{FF2B5EF4-FFF2-40B4-BE49-F238E27FC236}">
              <a16:creationId xmlns:a16="http://schemas.microsoft.com/office/drawing/2014/main" id="{960A40C3-23BB-4346-8F84-3F74053436B9}"/>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1265" name="Text Box 192">
          <a:extLst>
            <a:ext uri="{FF2B5EF4-FFF2-40B4-BE49-F238E27FC236}">
              <a16:creationId xmlns:a16="http://schemas.microsoft.com/office/drawing/2014/main" id="{625929FB-0697-4416-A1D9-3D0771E6E97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1266" name="Text Box 192">
          <a:extLst>
            <a:ext uri="{FF2B5EF4-FFF2-40B4-BE49-F238E27FC236}">
              <a16:creationId xmlns:a16="http://schemas.microsoft.com/office/drawing/2014/main" id="{6BCF9BEA-FF8B-4747-AF9B-E193104086C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1267" name="Text Box 192">
          <a:extLst>
            <a:ext uri="{FF2B5EF4-FFF2-40B4-BE49-F238E27FC236}">
              <a16:creationId xmlns:a16="http://schemas.microsoft.com/office/drawing/2014/main" id="{A5CDD196-AC0A-43D4-A265-692FBE33E1A9}"/>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1268" name="Text Box 192">
          <a:extLst>
            <a:ext uri="{FF2B5EF4-FFF2-40B4-BE49-F238E27FC236}">
              <a16:creationId xmlns:a16="http://schemas.microsoft.com/office/drawing/2014/main" id="{CC4645E0-2E77-478E-A46E-E2315142EF71}"/>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1269" name="Text Box 192">
          <a:extLst>
            <a:ext uri="{FF2B5EF4-FFF2-40B4-BE49-F238E27FC236}">
              <a16:creationId xmlns:a16="http://schemas.microsoft.com/office/drawing/2014/main" id="{EF729865-2DE5-428F-9B7F-725F14C2717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1270" name="Text Box 192">
          <a:extLst>
            <a:ext uri="{FF2B5EF4-FFF2-40B4-BE49-F238E27FC236}">
              <a16:creationId xmlns:a16="http://schemas.microsoft.com/office/drawing/2014/main" id="{8D2DA2AD-CE4E-4A52-967C-CC3C5207194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1271" name="Text Box 192">
          <a:extLst>
            <a:ext uri="{FF2B5EF4-FFF2-40B4-BE49-F238E27FC236}">
              <a16:creationId xmlns:a16="http://schemas.microsoft.com/office/drawing/2014/main" id="{964A555B-6069-4576-9BE6-C2322C0B6F0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1272" name="Text Box 192">
          <a:extLst>
            <a:ext uri="{FF2B5EF4-FFF2-40B4-BE49-F238E27FC236}">
              <a16:creationId xmlns:a16="http://schemas.microsoft.com/office/drawing/2014/main" id="{85D386EB-4C15-4A60-9319-53B824CDFAB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1273" name="Text Box 192">
          <a:extLst>
            <a:ext uri="{FF2B5EF4-FFF2-40B4-BE49-F238E27FC236}">
              <a16:creationId xmlns:a16="http://schemas.microsoft.com/office/drawing/2014/main" id="{CBE6D1E5-6DF0-4C4A-AAD4-10544357CE34}"/>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1274" name="Text Box 192">
          <a:extLst>
            <a:ext uri="{FF2B5EF4-FFF2-40B4-BE49-F238E27FC236}">
              <a16:creationId xmlns:a16="http://schemas.microsoft.com/office/drawing/2014/main" id="{DA1650AF-9005-48CD-B134-BA5E9D9D6A01}"/>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1275" name="Text Box 192">
          <a:extLst>
            <a:ext uri="{FF2B5EF4-FFF2-40B4-BE49-F238E27FC236}">
              <a16:creationId xmlns:a16="http://schemas.microsoft.com/office/drawing/2014/main" id="{C88B9765-0C5C-4964-B204-ED8D3243A29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1276" name="Text Box 192">
          <a:extLst>
            <a:ext uri="{FF2B5EF4-FFF2-40B4-BE49-F238E27FC236}">
              <a16:creationId xmlns:a16="http://schemas.microsoft.com/office/drawing/2014/main" id="{9EF9A30D-5EA8-4D6E-AE34-F091BECA620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1277" name="Text Box 192">
          <a:extLst>
            <a:ext uri="{FF2B5EF4-FFF2-40B4-BE49-F238E27FC236}">
              <a16:creationId xmlns:a16="http://schemas.microsoft.com/office/drawing/2014/main" id="{66DD77DE-D5EB-4F6B-8B3E-0E9DCD842FA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1278" name="Text Box 192">
          <a:extLst>
            <a:ext uri="{FF2B5EF4-FFF2-40B4-BE49-F238E27FC236}">
              <a16:creationId xmlns:a16="http://schemas.microsoft.com/office/drawing/2014/main" id="{09C2F4DC-614C-419F-9C93-E36C68363BA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1279" name="Text Box 192">
          <a:extLst>
            <a:ext uri="{FF2B5EF4-FFF2-40B4-BE49-F238E27FC236}">
              <a16:creationId xmlns:a16="http://schemas.microsoft.com/office/drawing/2014/main" id="{DBC3D012-6FEA-4B65-979E-168A47ED5EF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1280" name="Text Box 192">
          <a:extLst>
            <a:ext uri="{FF2B5EF4-FFF2-40B4-BE49-F238E27FC236}">
              <a16:creationId xmlns:a16="http://schemas.microsoft.com/office/drawing/2014/main" id="{BC686D2C-5992-426B-AF8E-48DFEF8FE1D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1281" name="Text Box 192">
          <a:extLst>
            <a:ext uri="{FF2B5EF4-FFF2-40B4-BE49-F238E27FC236}">
              <a16:creationId xmlns:a16="http://schemas.microsoft.com/office/drawing/2014/main" id="{E3430283-C826-4708-B6A6-709930E19E6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1282" name="Text Box 192">
          <a:extLst>
            <a:ext uri="{FF2B5EF4-FFF2-40B4-BE49-F238E27FC236}">
              <a16:creationId xmlns:a16="http://schemas.microsoft.com/office/drawing/2014/main" id="{7C3F9E4E-94DB-4C32-8359-38764DB2350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1283" name="Text Box 192">
          <a:extLst>
            <a:ext uri="{FF2B5EF4-FFF2-40B4-BE49-F238E27FC236}">
              <a16:creationId xmlns:a16="http://schemas.microsoft.com/office/drawing/2014/main" id="{7A39ECEC-0611-4ACF-886D-443BBF7CA5D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1284" name="Text Box 192">
          <a:extLst>
            <a:ext uri="{FF2B5EF4-FFF2-40B4-BE49-F238E27FC236}">
              <a16:creationId xmlns:a16="http://schemas.microsoft.com/office/drawing/2014/main" id="{6012C52C-B567-4E20-A09E-B8B4EFFBD18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1285" name="Text Box 192">
          <a:extLst>
            <a:ext uri="{FF2B5EF4-FFF2-40B4-BE49-F238E27FC236}">
              <a16:creationId xmlns:a16="http://schemas.microsoft.com/office/drawing/2014/main" id="{F77FD1E7-9584-4820-894C-36840B99FFB1}"/>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1286" name="Text Box 192">
          <a:extLst>
            <a:ext uri="{FF2B5EF4-FFF2-40B4-BE49-F238E27FC236}">
              <a16:creationId xmlns:a16="http://schemas.microsoft.com/office/drawing/2014/main" id="{C778E765-6BC3-442D-8C2F-71315E516E9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1287" name="Text Box 192">
          <a:extLst>
            <a:ext uri="{FF2B5EF4-FFF2-40B4-BE49-F238E27FC236}">
              <a16:creationId xmlns:a16="http://schemas.microsoft.com/office/drawing/2014/main" id="{40555DB6-D527-493C-B803-93F6194CD89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1288" name="Text Box 192">
          <a:extLst>
            <a:ext uri="{FF2B5EF4-FFF2-40B4-BE49-F238E27FC236}">
              <a16:creationId xmlns:a16="http://schemas.microsoft.com/office/drawing/2014/main" id="{B8C3C9AB-DBA4-43BD-A5E1-530ACD9430FE}"/>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1289" name="Text Box 192">
          <a:extLst>
            <a:ext uri="{FF2B5EF4-FFF2-40B4-BE49-F238E27FC236}">
              <a16:creationId xmlns:a16="http://schemas.microsoft.com/office/drawing/2014/main" id="{5F5252E0-60E8-49B6-AFA5-47B56BD4BEE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1290" name="Text Box 192">
          <a:extLst>
            <a:ext uri="{FF2B5EF4-FFF2-40B4-BE49-F238E27FC236}">
              <a16:creationId xmlns:a16="http://schemas.microsoft.com/office/drawing/2014/main" id="{035A231C-6E65-4123-A333-9061FD3D190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1291" name="Text Box 192">
          <a:extLst>
            <a:ext uri="{FF2B5EF4-FFF2-40B4-BE49-F238E27FC236}">
              <a16:creationId xmlns:a16="http://schemas.microsoft.com/office/drawing/2014/main" id="{B863B4FE-6F0D-49FD-97BA-CE02DF99DD6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1292" name="Text Box 192">
          <a:extLst>
            <a:ext uri="{FF2B5EF4-FFF2-40B4-BE49-F238E27FC236}">
              <a16:creationId xmlns:a16="http://schemas.microsoft.com/office/drawing/2014/main" id="{1BC11DC9-B284-435A-85EF-AF7673DB1130}"/>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1293" name="Text Box 192">
          <a:extLst>
            <a:ext uri="{FF2B5EF4-FFF2-40B4-BE49-F238E27FC236}">
              <a16:creationId xmlns:a16="http://schemas.microsoft.com/office/drawing/2014/main" id="{33CB9B8A-1BD9-434D-AF75-80DA244A2AB0}"/>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1294" name="Text Box 192">
          <a:extLst>
            <a:ext uri="{FF2B5EF4-FFF2-40B4-BE49-F238E27FC236}">
              <a16:creationId xmlns:a16="http://schemas.microsoft.com/office/drawing/2014/main" id="{349CE781-67F2-4F65-AC85-AED26CF9CF70}"/>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1295" name="Text Box 192">
          <a:extLst>
            <a:ext uri="{FF2B5EF4-FFF2-40B4-BE49-F238E27FC236}">
              <a16:creationId xmlns:a16="http://schemas.microsoft.com/office/drawing/2014/main" id="{F2AD895C-C54E-4E33-BF7C-D1A8EF3DB1A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1296" name="Text Box 192">
          <a:extLst>
            <a:ext uri="{FF2B5EF4-FFF2-40B4-BE49-F238E27FC236}">
              <a16:creationId xmlns:a16="http://schemas.microsoft.com/office/drawing/2014/main" id="{44EC3597-3E9B-43D2-8722-909F5AD78BF1}"/>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1297" name="Text Box 192">
          <a:extLst>
            <a:ext uri="{FF2B5EF4-FFF2-40B4-BE49-F238E27FC236}">
              <a16:creationId xmlns:a16="http://schemas.microsoft.com/office/drawing/2014/main" id="{35510637-EA99-47ED-B822-DA53B7C2860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1298" name="Text Box 192">
          <a:extLst>
            <a:ext uri="{FF2B5EF4-FFF2-40B4-BE49-F238E27FC236}">
              <a16:creationId xmlns:a16="http://schemas.microsoft.com/office/drawing/2014/main" id="{13931336-3FEC-4BBC-A95E-4FCCF8CA0CE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1299" name="Text Box 192">
          <a:extLst>
            <a:ext uri="{FF2B5EF4-FFF2-40B4-BE49-F238E27FC236}">
              <a16:creationId xmlns:a16="http://schemas.microsoft.com/office/drawing/2014/main" id="{01A40E0A-5B90-41E4-853D-E052F5862B49}"/>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1300" name="Text Box 192">
          <a:extLst>
            <a:ext uri="{FF2B5EF4-FFF2-40B4-BE49-F238E27FC236}">
              <a16:creationId xmlns:a16="http://schemas.microsoft.com/office/drawing/2014/main" id="{4CE5FFA1-D277-40E0-9FF4-1EE9FE54C2C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1301" name="Text Box 192">
          <a:extLst>
            <a:ext uri="{FF2B5EF4-FFF2-40B4-BE49-F238E27FC236}">
              <a16:creationId xmlns:a16="http://schemas.microsoft.com/office/drawing/2014/main" id="{73BCF5DF-144C-443C-AF8D-39FB6A9C7D8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1302" name="Text Box 192">
          <a:extLst>
            <a:ext uri="{FF2B5EF4-FFF2-40B4-BE49-F238E27FC236}">
              <a16:creationId xmlns:a16="http://schemas.microsoft.com/office/drawing/2014/main" id="{0A1C3999-430A-45DD-867C-02C68F10B2CF}"/>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1303" name="Text Box 192">
          <a:extLst>
            <a:ext uri="{FF2B5EF4-FFF2-40B4-BE49-F238E27FC236}">
              <a16:creationId xmlns:a16="http://schemas.microsoft.com/office/drawing/2014/main" id="{0041D580-FE05-4A2A-BC50-C284A44DED8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1304" name="Text Box 192">
          <a:extLst>
            <a:ext uri="{FF2B5EF4-FFF2-40B4-BE49-F238E27FC236}">
              <a16:creationId xmlns:a16="http://schemas.microsoft.com/office/drawing/2014/main" id="{8E3250E1-BDA3-4508-8D30-DCEB165DAFA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1305" name="Text Box 192">
          <a:extLst>
            <a:ext uri="{FF2B5EF4-FFF2-40B4-BE49-F238E27FC236}">
              <a16:creationId xmlns:a16="http://schemas.microsoft.com/office/drawing/2014/main" id="{F237DA63-4E6C-478A-B0B4-74F4CA76F234}"/>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1306" name="Text Box 192">
          <a:extLst>
            <a:ext uri="{FF2B5EF4-FFF2-40B4-BE49-F238E27FC236}">
              <a16:creationId xmlns:a16="http://schemas.microsoft.com/office/drawing/2014/main" id="{8F118B2B-1923-4DC5-AAC1-4191DE50914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1307" name="Text Box 192">
          <a:extLst>
            <a:ext uri="{FF2B5EF4-FFF2-40B4-BE49-F238E27FC236}">
              <a16:creationId xmlns:a16="http://schemas.microsoft.com/office/drawing/2014/main" id="{152EA782-F1C0-452F-8DC5-DED95AB38895}"/>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1308" name="Text Box 192">
          <a:extLst>
            <a:ext uri="{FF2B5EF4-FFF2-40B4-BE49-F238E27FC236}">
              <a16:creationId xmlns:a16="http://schemas.microsoft.com/office/drawing/2014/main" id="{23818D94-2355-41D3-9BEE-2435D13941E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1309" name="Text Box 192">
          <a:extLst>
            <a:ext uri="{FF2B5EF4-FFF2-40B4-BE49-F238E27FC236}">
              <a16:creationId xmlns:a16="http://schemas.microsoft.com/office/drawing/2014/main" id="{AC27D97B-7E8B-45F6-865F-4AEBDA514DF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1310" name="Text Box 192">
          <a:extLst>
            <a:ext uri="{FF2B5EF4-FFF2-40B4-BE49-F238E27FC236}">
              <a16:creationId xmlns:a16="http://schemas.microsoft.com/office/drawing/2014/main" id="{A7B156D1-89B1-47F9-839B-CEA37CEBF6CD}"/>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1311" name="Text Box 192">
          <a:extLst>
            <a:ext uri="{FF2B5EF4-FFF2-40B4-BE49-F238E27FC236}">
              <a16:creationId xmlns:a16="http://schemas.microsoft.com/office/drawing/2014/main" id="{F7B15435-C6F6-4792-9678-B68ECADE174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1312" name="Text Box 192">
          <a:extLst>
            <a:ext uri="{FF2B5EF4-FFF2-40B4-BE49-F238E27FC236}">
              <a16:creationId xmlns:a16="http://schemas.microsoft.com/office/drawing/2014/main" id="{5BDFD676-AFF6-4734-A2BB-910B67B54ED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1313" name="Text Box 192">
          <a:extLst>
            <a:ext uri="{FF2B5EF4-FFF2-40B4-BE49-F238E27FC236}">
              <a16:creationId xmlns:a16="http://schemas.microsoft.com/office/drawing/2014/main" id="{4DBFC776-4912-42CA-939E-646E902C1A1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1314" name="Text Box 192">
          <a:extLst>
            <a:ext uri="{FF2B5EF4-FFF2-40B4-BE49-F238E27FC236}">
              <a16:creationId xmlns:a16="http://schemas.microsoft.com/office/drawing/2014/main" id="{FD7DAA25-A76F-4D4E-925C-C371FD1E34D1}"/>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1315" name="Text Box 192">
          <a:extLst>
            <a:ext uri="{FF2B5EF4-FFF2-40B4-BE49-F238E27FC236}">
              <a16:creationId xmlns:a16="http://schemas.microsoft.com/office/drawing/2014/main" id="{6D42F582-D1D9-4260-A8C3-228FB7A2A6D4}"/>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1316" name="Text Box 192">
          <a:extLst>
            <a:ext uri="{FF2B5EF4-FFF2-40B4-BE49-F238E27FC236}">
              <a16:creationId xmlns:a16="http://schemas.microsoft.com/office/drawing/2014/main" id="{96F4F202-068B-4030-9072-97D262A2D720}"/>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1317" name="Text Box 192">
          <a:extLst>
            <a:ext uri="{FF2B5EF4-FFF2-40B4-BE49-F238E27FC236}">
              <a16:creationId xmlns:a16="http://schemas.microsoft.com/office/drawing/2014/main" id="{AE5A1EC1-01A0-4115-947D-F384FF26F44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1318" name="Text Box 192">
          <a:extLst>
            <a:ext uri="{FF2B5EF4-FFF2-40B4-BE49-F238E27FC236}">
              <a16:creationId xmlns:a16="http://schemas.microsoft.com/office/drawing/2014/main" id="{59E4BD7B-98AA-48C5-94DA-77F87C95DE1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1319" name="Text Box 192">
          <a:extLst>
            <a:ext uri="{FF2B5EF4-FFF2-40B4-BE49-F238E27FC236}">
              <a16:creationId xmlns:a16="http://schemas.microsoft.com/office/drawing/2014/main" id="{92A4CF63-CDE2-4CBD-944A-9BB5B41D75D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1320" name="Text Box 192">
          <a:extLst>
            <a:ext uri="{FF2B5EF4-FFF2-40B4-BE49-F238E27FC236}">
              <a16:creationId xmlns:a16="http://schemas.microsoft.com/office/drawing/2014/main" id="{49E3249E-F203-425F-BBBD-5B1405CB107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1321" name="Text Box 192">
          <a:extLst>
            <a:ext uri="{FF2B5EF4-FFF2-40B4-BE49-F238E27FC236}">
              <a16:creationId xmlns:a16="http://schemas.microsoft.com/office/drawing/2014/main" id="{3E7564C8-421F-4E5B-9F9A-296F268CE29E}"/>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1322" name="Text Box 192">
          <a:extLst>
            <a:ext uri="{FF2B5EF4-FFF2-40B4-BE49-F238E27FC236}">
              <a16:creationId xmlns:a16="http://schemas.microsoft.com/office/drawing/2014/main" id="{4F041F8F-2EBF-479A-98F2-307C90DF2B29}"/>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1323" name="Text Box 192">
          <a:extLst>
            <a:ext uri="{FF2B5EF4-FFF2-40B4-BE49-F238E27FC236}">
              <a16:creationId xmlns:a16="http://schemas.microsoft.com/office/drawing/2014/main" id="{E78078CE-842B-44A2-8413-44808B8F7CF4}"/>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1324" name="Text Box 192">
          <a:extLst>
            <a:ext uri="{FF2B5EF4-FFF2-40B4-BE49-F238E27FC236}">
              <a16:creationId xmlns:a16="http://schemas.microsoft.com/office/drawing/2014/main" id="{DE85E9F7-1466-43D8-832E-D6D05111C010}"/>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1325" name="Text Box 192">
          <a:extLst>
            <a:ext uri="{FF2B5EF4-FFF2-40B4-BE49-F238E27FC236}">
              <a16:creationId xmlns:a16="http://schemas.microsoft.com/office/drawing/2014/main" id="{ABE6580F-3899-47EC-B774-6F808EF86D4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1326" name="Text Box 192">
          <a:extLst>
            <a:ext uri="{FF2B5EF4-FFF2-40B4-BE49-F238E27FC236}">
              <a16:creationId xmlns:a16="http://schemas.microsoft.com/office/drawing/2014/main" id="{3A1E89BD-74BB-4250-880A-3685A8DFFC2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1327" name="Text Box 192">
          <a:extLst>
            <a:ext uri="{FF2B5EF4-FFF2-40B4-BE49-F238E27FC236}">
              <a16:creationId xmlns:a16="http://schemas.microsoft.com/office/drawing/2014/main" id="{562EF744-2B3D-4920-AC54-A843088A43D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1328" name="Text Box 192">
          <a:extLst>
            <a:ext uri="{FF2B5EF4-FFF2-40B4-BE49-F238E27FC236}">
              <a16:creationId xmlns:a16="http://schemas.microsoft.com/office/drawing/2014/main" id="{1FEA3E93-D288-4AD8-BD04-0012A2A8276D}"/>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1329" name="Text Box 192">
          <a:extLst>
            <a:ext uri="{FF2B5EF4-FFF2-40B4-BE49-F238E27FC236}">
              <a16:creationId xmlns:a16="http://schemas.microsoft.com/office/drawing/2014/main" id="{536F75B9-A4D3-4EB6-BA75-2349560F214D}"/>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1330" name="Text Box 192">
          <a:extLst>
            <a:ext uri="{FF2B5EF4-FFF2-40B4-BE49-F238E27FC236}">
              <a16:creationId xmlns:a16="http://schemas.microsoft.com/office/drawing/2014/main" id="{E5E9F460-29DF-4875-95F2-5CEF15B4DAA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1331" name="Text Box 192">
          <a:extLst>
            <a:ext uri="{FF2B5EF4-FFF2-40B4-BE49-F238E27FC236}">
              <a16:creationId xmlns:a16="http://schemas.microsoft.com/office/drawing/2014/main" id="{DE2DA83D-81C0-47E0-91B0-8DA46334A63E}"/>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1332" name="Text Box 192">
          <a:extLst>
            <a:ext uri="{FF2B5EF4-FFF2-40B4-BE49-F238E27FC236}">
              <a16:creationId xmlns:a16="http://schemas.microsoft.com/office/drawing/2014/main" id="{97E0989F-2FA2-4154-AE57-6E932455528E}"/>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1333" name="Text Box 192">
          <a:extLst>
            <a:ext uri="{FF2B5EF4-FFF2-40B4-BE49-F238E27FC236}">
              <a16:creationId xmlns:a16="http://schemas.microsoft.com/office/drawing/2014/main" id="{B13715B5-0D47-443F-B521-3421434ADC94}"/>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1334" name="Text Box 192">
          <a:extLst>
            <a:ext uri="{FF2B5EF4-FFF2-40B4-BE49-F238E27FC236}">
              <a16:creationId xmlns:a16="http://schemas.microsoft.com/office/drawing/2014/main" id="{CC295DA9-8BB6-488A-B8D2-57F6ED92DDB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1335" name="Text Box 192">
          <a:extLst>
            <a:ext uri="{FF2B5EF4-FFF2-40B4-BE49-F238E27FC236}">
              <a16:creationId xmlns:a16="http://schemas.microsoft.com/office/drawing/2014/main" id="{C9D8FB55-D70B-4BAC-991E-04721F43CD5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1336" name="Text Box 192">
          <a:extLst>
            <a:ext uri="{FF2B5EF4-FFF2-40B4-BE49-F238E27FC236}">
              <a16:creationId xmlns:a16="http://schemas.microsoft.com/office/drawing/2014/main" id="{FA210999-58F8-4112-BB81-A53465D38D2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1337" name="Text Box 192">
          <a:extLst>
            <a:ext uri="{FF2B5EF4-FFF2-40B4-BE49-F238E27FC236}">
              <a16:creationId xmlns:a16="http://schemas.microsoft.com/office/drawing/2014/main" id="{97851759-420A-45AB-A917-1032AB4AEC96}"/>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1338" name="Text Box 192">
          <a:extLst>
            <a:ext uri="{FF2B5EF4-FFF2-40B4-BE49-F238E27FC236}">
              <a16:creationId xmlns:a16="http://schemas.microsoft.com/office/drawing/2014/main" id="{E8FB9ED0-1D11-472E-9094-13C9520AD71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1339" name="Text Box 192">
          <a:extLst>
            <a:ext uri="{FF2B5EF4-FFF2-40B4-BE49-F238E27FC236}">
              <a16:creationId xmlns:a16="http://schemas.microsoft.com/office/drawing/2014/main" id="{CFE70BF7-17E7-487F-8217-95FD9648FF1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1340" name="Text Box 192">
          <a:extLst>
            <a:ext uri="{FF2B5EF4-FFF2-40B4-BE49-F238E27FC236}">
              <a16:creationId xmlns:a16="http://schemas.microsoft.com/office/drawing/2014/main" id="{B270884E-92DF-45C2-8457-A0AECB63740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1341" name="Text Box 192">
          <a:extLst>
            <a:ext uri="{FF2B5EF4-FFF2-40B4-BE49-F238E27FC236}">
              <a16:creationId xmlns:a16="http://schemas.microsoft.com/office/drawing/2014/main" id="{19D98BD2-FFE2-430A-A4A2-B4CAAE73D25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1342" name="Text Box 192">
          <a:extLst>
            <a:ext uri="{FF2B5EF4-FFF2-40B4-BE49-F238E27FC236}">
              <a16:creationId xmlns:a16="http://schemas.microsoft.com/office/drawing/2014/main" id="{0F77E06C-AEC8-46DA-9EEA-AAD44DF16C47}"/>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1343" name="Text Box 192">
          <a:extLst>
            <a:ext uri="{FF2B5EF4-FFF2-40B4-BE49-F238E27FC236}">
              <a16:creationId xmlns:a16="http://schemas.microsoft.com/office/drawing/2014/main" id="{9C1CD7C3-7DF1-4C4D-87D5-287CC3B8B0FA}"/>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1344" name="Text Box 192">
          <a:extLst>
            <a:ext uri="{FF2B5EF4-FFF2-40B4-BE49-F238E27FC236}">
              <a16:creationId xmlns:a16="http://schemas.microsoft.com/office/drawing/2014/main" id="{511837C3-8BBB-4A2C-B371-6452A32D9EB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1345" name="Text Box 192">
          <a:extLst>
            <a:ext uri="{FF2B5EF4-FFF2-40B4-BE49-F238E27FC236}">
              <a16:creationId xmlns:a16="http://schemas.microsoft.com/office/drawing/2014/main" id="{11DE6414-02ED-403A-A2B2-A1F6B5DA26A2}"/>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1346" name="Text Box 192">
          <a:extLst>
            <a:ext uri="{FF2B5EF4-FFF2-40B4-BE49-F238E27FC236}">
              <a16:creationId xmlns:a16="http://schemas.microsoft.com/office/drawing/2014/main" id="{1CEF091E-2E4D-4D44-B475-665931310771}"/>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1347" name="Text Box 192">
          <a:extLst>
            <a:ext uri="{FF2B5EF4-FFF2-40B4-BE49-F238E27FC236}">
              <a16:creationId xmlns:a16="http://schemas.microsoft.com/office/drawing/2014/main" id="{0580052E-54B6-453B-B4A5-DB0694E9EB58}"/>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1348" name="Text Box 192">
          <a:extLst>
            <a:ext uri="{FF2B5EF4-FFF2-40B4-BE49-F238E27FC236}">
              <a16:creationId xmlns:a16="http://schemas.microsoft.com/office/drawing/2014/main" id="{AE94E520-483C-47EC-AD6C-FFB12162966C}"/>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1349" name="Text Box 192">
          <a:extLst>
            <a:ext uri="{FF2B5EF4-FFF2-40B4-BE49-F238E27FC236}">
              <a16:creationId xmlns:a16="http://schemas.microsoft.com/office/drawing/2014/main" id="{46E7178D-EDF3-42C2-A86D-2F9B596ADEAB}"/>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1350" name="Text Box 192">
          <a:extLst>
            <a:ext uri="{FF2B5EF4-FFF2-40B4-BE49-F238E27FC236}">
              <a16:creationId xmlns:a16="http://schemas.microsoft.com/office/drawing/2014/main" id="{A08112DE-E68C-44C4-ACDC-C8CC98FFCE0D}"/>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1351" name="Text Box 192">
          <a:extLst>
            <a:ext uri="{FF2B5EF4-FFF2-40B4-BE49-F238E27FC236}">
              <a16:creationId xmlns:a16="http://schemas.microsoft.com/office/drawing/2014/main" id="{BC4F7F59-9756-428B-A748-1976C3AF97B9}"/>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1352" name="Text Box 192">
          <a:extLst>
            <a:ext uri="{FF2B5EF4-FFF2-40B4-BE49-F238E27FC236}">
              <a16:creationId xmlns:a16="http://schemas.microsoft.com/office/drawing/2014/main" id="{129478EF-455B-4204-B7C3-D75D1689B8C0}"/>
            </a:ext>
          </a:extLst>
        </xdr:cNvPr>
        <xdr:cNvSpPr txBox="1">
          <a:spLocks noChangeArrowheads="1"/>
        </xdr:cNvSpPr>
      </xdr:nvSpPr>
      <xdr:spPr bwMode="auto">
        <a:xfrm>
          <a:off x="24718006" y="294977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1354" name="Text Box 192">
          <a:extLst>
            <a:ext uri="{FF2B5EF4-FFF2-40B4-BE49-F238E27FC236}">
              <a16:creationId xmlns:a16="http://schemas.microsoft.com/office/drawing/2014/main" id="{4FF94B17-5D61-4141-842E-08F4191FDE61}"/>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1355" name="Text Box 192">
          <a:extLst>
            <a:ext uri="{FF2B5EF4-FFF2-40B4-BE49-F238E27FC236}">
              <a16:creationId xmlns:a16="http://schemas.microsoft.com/office/drawing/2014/main" id="{7B47DEE6-C539-4D86-88BC-46E41510721F}"/>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1356" name="Text Box 192">
          <a:extLst>
            <a:ext uri="{FF2B5EF4-FFF2-40B4-BE49-F238E27FC236}">
              <a16:creationId xmlns:a16="http://schemas.microsoft.com/office/drawing/2014/main" id="{0DBB51FF-243B-44C4-8179-4B6042BEC29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1357" name="Text Box 192">
          <a:extLst>
            <a:ext uri="{FF2B5EF4-FFF2-40B4-BE49-F238E27FC236}">
              <a16:creationId xmlns:a16="http://schemas.microsoft.com/office/drawing/2014/main" id="{53AEA7E4-B81E-4B4C-85ED-7057D7523268}"/>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1358" name="Text Box 192">
          <a:extLst>
            <a:ext uri="{FF2B5EF4-FFF2-40B4-BE49-F238E27FC236}">
              <a16:creationId xmlns:a16="http://schemas.microsoft.com/office/drawing/2014/main" id="{FABDB8B8-B3A4-4A90-8668-05F91281925C}"/>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1359" name="Text Box 192">
          <a:extLst>
            <a:ext uri="{FF2B5EF4-FFF2-40B4-BE49-F238E27FC236}">
              <a16:creationId xmlns:a16="http://schemas.microsoft.com/office/drawing/2014/main" id="{C1B61A65-9405-4211-928A-EBBD6B2A9FEC}"/>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1360" name="Text Box 192">
          <a:extLst>
            <a:ext uri="{FF2B5EF4-FFF2-40B4-BE49-F238E27FC236}">
              <a16:creationId xmlns:a16="http://schemas.microsoft.com/office/drawing/2014/main" id="{F577CF13-9BEE-4EB4-B26F-463B12FD8FCC}"/>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1361" name="Text Box 192">
          <a:extLst>
            <a:ext uri="{FF2B5EF4-FFF2-40B4-BE49-F238E27FC236}">
              <a16:creationId xmlns:a16="http://schemas.microsoft.com/office/drawing/2014/main" id="{D1FA67DF-F041-4585-A7A5-0350D992F7E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1362" name="Text Box 192">
          <a:extLst>
            <a:ext uri="{FF2B5EF4-FFF2-40B4-BE49-F238E27FC236}">
              <a16:creationId xmlns:a16="http://schemas.microsoft.com/office/drawing/2014/main" id="{C381591B-C247-4B9A-A3E2-5473D0FBD6E3}"/>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1363" name="Text Box 192">
          <a:extLst>
            <a:ext uri="{FF2B5EF4-FFF2-40B4-BE49-F238E27FC236}">
              <a16:creationId xmlns:a16="http://schemas.microsoft.com/office/drawing/2014/main" id="{34AC8751-1419-4843-ADDB-5AE368550CA4}"/>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1364" name="Text Box 192">
          <a:extLst>
            <a:ext uri="{FF2B5EF4-FFF2-40B4-BE49-F238E27FC236}">
              <a16:creationId xmlns:a16="http://schemas.microsoft.com/office/drawing/2014/main" id="{D4E1F272-51A6-4C84-BD03-29EB92A3F5C2}"/>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1365" name="Text Box 192">
          <a:extLst>
            <a:ext uri="{FF2B5EF4-FFF2-40B4-BE49-F238E27FC236}">
              <a16:creationId xmlns:a16="http://schemas.microsoft.com/office/drawing/2014/main" id="{B53CA807-23C3-47D6-99FD-48CBB7B2D37E}"/>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1366" name="Text Box 192">
          <a:extLst>
            <a:ext uri="{FF2B5EF4-FFF2-40B4-BE49-F238E27FC236}">
              <a16:creationId xmlns:a16="http://schemas.microsoft.com/office/drawing/2014/main" id="{5D8EC4BA-6794-4722-B7A2-70E78AB5F689}"/>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1367" name="Text Box 192">
          <a:extLst>
            <a:ext uri="{FF2B5EF4-FFF2-40B4-BE49-F238E27FC236}">
              <a16:creationId xmlns:a16="http://schemas.microsoft.com/office/drawing/2014/main" id="{C40B25CC-77D0-44BB-A2FA-0C87E31857A4}"/>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1368" name="Text Box 192">
          <a:extLst>
            <a:ext uri="{FF2B5EF4-FFF2-40B4-BE49-F238E27FC236}">
              <a16:creationId xmlns:a16="http://schemas.microsoft.com/office/drawing/2014/main" id="{798DCC86-812D-4B17-A3E0-009BCA48D97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1369" name="Text Box 192">
          <a:extLst>
            <a:ext uri="{FF2B5EF4-FFF2-40B4-BE49-F238E27FC236}">
              <a16:creationId xmlns:a16="http://schemas.microsoft.com/office/drawing/2014/main" id="{6771B477-6260-4017-B0AE-B93DAFA80449}"/>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1370" name="Text Box 192">
          <a:extLst>
            <a:ext uri="{FF2B5EF4-FFF2-40B4-BE49-F238E27FC236}">
              <a16:creationId xmlns:a16="http://schemas.microsoft.com/office/drawing/2014/main" id="{A49DF110-78CA-47E5-8919-7594388B5DDB}"/>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1371" name="Text Box 192">
          <a:extLst>
            <a:ext uri="{FF2B5EF4-FFF2-40B4-BE49-F238E27FC236}">
              <a16:creationId xmlns:a16="http://schemas.microsoft.com/office/drawing/2014/main" id="{7FDC2DF1-6C65-445F-B7D5-D45F1F5FC36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1372" name="Text Box 192">
          <a:extLst>
            <a:ext uri="{FF2B5EF4-FFF2-40B4-BE49-F238E27FC236}">
              <a16:creationId xmlns:a16="http://schemas.microsoft.com/office/drawing/2014/main" id="{BC7AAB30-5120-4F92-ABE0-2B6773F9E241}"/>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1373" name="Text Box 192">
          <a:extLst>
            <a:ext uri="{FF2B5EF4-FFF2-40B4-BE49-F238E27FC236}">
              <a16:creationId xmlns:a16="http://schemas.microsoft.com/office/drawing/2014/main" id="{23168F26-905E-49A7-B927-5819FCC1DC1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1374" name="Text Box 192">
          <a:extLst>
            <a:ext uri="{FF2B5EF4-FFF2-40B4-BE49-F238E27FC236}">
              <a16:creationId xmlns:a16="http://schemas.microsoft.com/office/drawing/2014/main" id="{E7021604-9EB2-4FD5-A50B-5757C727A6C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1375" name="Text Box 192">
          <a:extLst>
            <a:ext uri="{FF2B5EF4-FFF2-40B4-BE49-F238E27FC236}">
              <a16:creationId xmlns:a16="http://schemas.microsoft.com/office/drawing/2014/main" id="{8FD6ABD2-B5B6-482C-A2EC-9C399357FB11}"/>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1376" name="Text Box 192">
          <a:extLst>
            <a:ext uri="{FF2B5EF4-FFF2-40B4-BE49-F238E27FC236}">
              <a16:creationId xmlns:a16="http://schemas.microsoft.com/office/drawing/2014/main" id="{4697C4D4-ECB0-46D0-8A24-36BF3E8C5953}"/>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1377" name="Text Box 192">
          <a:extLst>
            <a:ext uri="{FF2B5EF4-FFF2-40B4-BE49-F238E27FC236}">
              <a16:creationId xmlns:a16="http://schemas.microsoft.com/office/drawing/2014/main" id="{0711B4CE-D4EE-446B-B13F-2CAC07B787C1}"/>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1378" name="Text Box 192">
          <a:extLst>
            <a:ext uri="{FF2B5EF4-FFF2-40B4-BE49-F238E27FC236}">
              <a16:creationId xmlns:a16="http://schemas.microsoft.com/office/drawing/2014/main" id="{B66D3F20-633F-4BC1-91F7-AAC6727ABE02}"/>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1379" name="Text Box 192">
          <a:extLst>
            <a:ext uri="{FF2B5EF4-FFF2-40B4-BE49-F238E27FC236}">
              <a16:creationId xmlns:a16="http://schemas.microsoft.com/office/drawing/2014/main" id="{A6DBDF7E-442C-4F92-8B64-EB5B918A2173}"/>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1380" name="Text Box 192">
          <a:extLst>
            <a:ext uri="{FF2B5EF4-FFF2-40B4-BE49-F238E27FC236}">
              <a16:creationId xmlns:a16="http://schemas.microsoft.com/office/drawing/2014/main" id="{CD3FD1CA-5448-45D1-8BEE-EB1A2D1753BE}"/>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1381" name="Text Box 192">
          <a:extLst>
            <a:ext uri="{FF2B5EF4-FFF2-40B4-BE49-F238E27FC236}">
              <a16:creationId xmlns:a16="http://schemas.microsoft.com/office/drawing/2014/main" id="{6A83A3FB-E233-49CD-9EBC-02E6144E76CE}"/>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1382" name="Text Box 192">
          <a:extLst>
            <a:ext uri="{FF2B5EF4-FFF2-40B4-BE49-F238E27FC236}">
              <a16:creationId xmlns:a16="http://schemas.microsoft.com/office/drawing/2014/main" id="{B770BD6B-9BD2-4583-A635-F78D232D7584}"/>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1383" name="Text Box 192">
          <a:extLst>
            <a:ext uri="{FF2B5EF4-FFF2-40B4-BE49-F238E27FC236}">
              <a16:creationId xmlns:a16="http://schemas.microsoft.com/office/drawing/2014/main" id="{22798FD4-3233-4713-8955-000062CBC417}"/>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1384" name="Text Box 192">
          <a:extLst>
            <a:ext uri="{FF2B5EF4-FFF2-40B4-BE49-F238E27FC236}">
              <a16:creationId xmlns:a16="http://schemas.microsoft.com/office/drawing/2014/main" id="{C1A9A6D7-BACD-4D3B-B46A-513F732F72D5}"/>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1385" name="Text Box 192">
          <a:extLst>
            <a:ext uri="{FF2B5EF4-FFF2-40B4-BE49-F238E27FC236}">
              <a16:creationId xmlns:a16="http://schemas.microsoft.com/office/drawing/2014/main" id="{C9CEC6EA-6839-4ABD-95E4-E1A6B3FE07EB}"/>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1386" name="Text Box 192">
          <a:extLst>
            <a:ext uri="{FF2B5EF4-FFF2-40B4-BE49-F238E27FC236}">
              <a16:creationId xmlns:a16="http://schemas.microsoft.com/office/drawing/2014/main" id="{BF0879AF-86E6-4DC3-B966-DB312440494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1387" name="Text Box 192">
          <a:extLst>
            <a:ext uri="{FF2B5EF4-FFF2-40B4-BE49-F238E27FC236}">
              <a16:creationId xmlns:a16="http://schemas.microsoft.com/office/drawing/2014/main" id="{647857EA-D006-4CD0-A1B2-7D6189F13B90}"/>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1388" name="Text Box 192">
          <a:extLst>
            <a:ext uri="{FF2B5EF4-FFF2-40B4-BE49-F238E27FC236}">
              <a16:creationId xmlns:a16="http://schemas.microsoft.com/office/drawing/2014/main" id="{32279688-ACFF-4371-AD9D-808AA520D811}"/>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1389" name="Text Box 192">
          <a:extLst>
            <a:ext uri="{FF2B5EF4-FFF2-40B4-BE49-F238E27FC236}">
              <a16:creationId xmlns:a16="http://schemas.microsoft.com/office/drawing/2014/main" id="{2CD8B40C-C8C8-4639-BB88-67C0951B5240}"/>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1390" name="Text Box 192">
          <a:extLst>
            <a:ext uri="{FF2B5EF4-FFF2-40B4-BE49-F238E27FC236}">
              <a16:creationId xmlns:a16="http://schemas.microsoft.com/office/drawing/2014/main" id="{EABE34BA-F6C1-480B-92A2-2DCC8B95863F}"/>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1391" name="Text Box 192">
          <a:extLst>
            <a:ext uri="{FF2B5EF4-FFF2-40B4-BE49-F238E27FC236}">
              <a16:creationId xmlns:a16="http://schemas.microsoft.com/office/drawing/2014/main" id="{8B92E6BC-0FFB-48F5-AE66-4ECB57A4AADB}"/>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1392" name="Text Box 192">
          <a:extLst>
            <a:ext uri="{FF2B5EF4-FFF2-40B4-BE49-F238E27FC236}">
              <a16:creationId xmlns:a16="http://schemas.microsoft.com/office/drawing/2014/main" id="{A7D0DEF6-7481-4A70-97C9-794D6BC40F6B}"/>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1393" name="Text Box 192">
          <a:extLst>
            <a:ext uri="{FF2B5EF4-FFF2-40B4-BE49-F238E27FC236}">
              <a16:creationId xmlns:a16="http://schemas.microsoft.com/office/drawing/2014/main" id="{15C4D5A2-70B2-4BE2-821B-9F228C870E0F}"/>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1394" name="Text Box 192">
          <a:extLst>
            <a:ext uri="{FF2B5EF4-FFF2-40B4-BE49-F238E27FC236}">
              <a16:creationId xmlns:a16="http://schemas.microsoft.com/office/drawing/2014/main" id="{AE141384-BFB4-4461-A2C0-ECBCB6701344}"/>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1395" name="Text Box 192">
          <a:extLst>
            <a:ext uri="{FF2B5EF4-FFF2-40B4-BE49-F238E27FC236}">
              <a16:creationId xmlns:a16="http://schemas.microsoft.com/office/drawing/2014/main" id="{40EB0EB6-BAB0-4F1B-8FC8-E743C774ECA4}"/>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1396" name="Text Box 192">
          <a:extLst>
            <a:ext uri="{FF2B5EF4-FFF2-40B4-BE49-F238E27FC236}">
              <a16:creationId xmlns:a16="http://schemas.microsoft.com/office/drawing/2014/main" id="{7CE8DBF0-DD04-48CE-8764-D80DDBE7D3C8}"/>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1397" name="Text Box 192">
          <a:extLst>
            <a:ext uri="{FF2B5EF4-FFF2-40B4-BE49-F238E27FC236}">
              <a16:creationId xmlns:a16="http://schemas.microsoft.com/office/drawing/2014/main" id="{A1944C66-FCBF-4BCA-AFE2-868C293CDFE7}"/>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1398" name="Text Box 192">
          <a:extLst>
            <a:ext uri="{FF2B5EF4-FFF2-40B4-BE49-F238E27FC236}">
              <a16:creationId xmlns:a16="http://schemas.microsoft.com/office/drawing/2014/main" id="{1F8204F9-860A-4B1D-A8B3-2D07DBBD776B}"/>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1399" name="Text Box 192">
          <a:extLst>
            <a:ext uri="{FF2B5EF4-FFF2-40B4-BE49-F238E27FC236}">
              <a16:creationId xmlns:a16="http://schemas.microsoft.com/office/drawing/2014/main" id="{C316BC44-B0DE-419F-AD90-97E13AD73592}"/>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1400" name="Text Box 192">
          <a:extLst>
            <a:ext uri="{FF2B5EF4-FFF2-40B4-BE49-F238E27FC236}">
              <a16:creationId xmlns:a16="http://schemas.microsoft.com/office/drawing/2014/main" id="{952D4005-623F-4014-ACC0-AD57825AB7BF}"/>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1401" name="Text Box 192">
          <a:extLst>
            <a:ext uri="{FF2B5EF4-FFF2-40B4-BE49-F238E27FC236}">
              <a16:creationId xmlns:a16="http://schemas.microsoft.com/office/drawing/2014/main" id="{31A30E10-4622-4C6C-8977-DEA690A2652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1402" name="Text Box 192">
          <a:extLst>
            <a:ext uri="{FF2B5EF4-FFF2-40B4-BE49-F238E27FC236}">
              <a16:creationId xmlns:a16="http://schemas.microsoft.com/office/drawing/2014/main" id="{38E8C1E7-77F4-4A8F-A76E-FE7535B7AE8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1403" name="Text Box 192">
          <a:extLst>
            <a:ext uri="{FF2B5EF4-FFF2-40B4-BE49-F238E27FC236}">
              <a16:creationId xmlns:a16="http://schemas.microsoft.com/office/drawing/2014/main" id="{F23EB9B0-0FD4-412C-8E61-C43730C27188}"/>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1404" name="Text Box 192">
          <a:extLst>
            <a:ext uri="{FF2B5EF4-FFF2-40B4-BE49-F238E27FC236}">
              <a16:creationId xmlns:a16="http://schemas.microsoft.com/office/drawing/2014/main" id="{8B3B44AE-072F-4E88-9E91-07683EF2EEE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1405" name="Text Box 192">
          <a:extLst>
            <a:ext uri="{FF2B5EF4-FFF2-40B4-BE49-F238E27FC236}">
              <a16:creationId xmlns:a16="http://schemas.microsoft.com/office/drawing/2014/main" id="{DF07C629-6C24-4693-8E67-6441F2752B07}"/>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1406" name="Text Box 192">
          <a:extLst>
            <a:ext uri="{FF2B5EF4-FFF2-40B4-BE49-F238E27FC236}">
              <a16:creationId xmlns:a16="http://schemas.microsoft.com/office/drawing/2014/main" id="{96ED224E-DA07-479F-8D5B-2F6D45BC839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1407" name="Text Box 192">
          <a:extLst>
            <a:ext uri="{FF2B5EF4-FFF2-40B4-BE49-F238E27FC236}">
              <a16:creationId xmlns:a16="http://schemas.microsoft.com/office/drawing/2014/main" id="{F8F500CC-D3D6-404B-8346-4736360BC3FF}"/>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1408" name="Text Box 192">
          <a:extLst>
            <a:ext uri="{FF2B5EF4-FFF2-40B4-BE49-F238E27FC236}">
              <a16:creationId xmlns:a16="http://schemas.microsoft.com/office/drawing/2014/main" id="{14F70475-37BF-4163-AE15-4455DE398032}"/>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1409" name="Text Box 192">
          <a:extLst>
            <a:ext uri="{FF2B5EF4-FFF2-40B4-BE49-F238E27FC236}">
              <a16:creationId xmlns:a16="http://schemas.microsoft.com/office/drawing/2014/main" id="{9159CE3E-6AA1-46EA-AA1B-6080B8368FC4}"/>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1410" name="Text Box 192">
          <a:extLst>
            <a:ext uri="{FF2B5EF4-FFF2-40B4-BE49-F238E27FC236}">
              <a16:creationId xmlns:a16="http://schemas.microsoft.com/office/drawing/2014/main" id="{1C87C895-646D-4F82-B413-C04E9640F247}"/>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1411" name="Text Box 192">
          <a:extLst>
            <a:ext uri="{FF2B5EF4-FFF2-40B4-BE49-F238E27FC236}">
              <a16:creationId xmlns:a16="http://schemas.microsoft.com/office/drawing/2014/main" id="{0EC3FE91-D7DF-4925-8A6F-C6FA50768AF0}"/>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1412" name="Text Box 192">
          <a:extLst>
            <a:ext uri="{FF2B5EF4-FFF2-40B4-BE49-F238E27FC236}">
              <a16:creationId xmlns:a16="http://schemas.microsoft.com/office/drawing/2014/main" id="{7339C58E-8AEE-45E6-B004-2922D23249FF}"/>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1413" name="Text Box 192">
          <a:extLst>
            <a:ext uri="{FF2B5EF4-FFF2-40B4-BE49-F238E27FC236}">
              <a16:creationId xmlns:a16="http://schemas.microsoft.com/office/drawing/2014/main" id="{449187EA-275D-436B-8A72-B209326E91BF}"/>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1414" name="Text Box 192">
          <a:extLst>
            <a:ext uri="{FF2B5EF4-FFF2-40B4-BE49-F238E27FC236}">
              <a16:creationId xmlns:a16="http://schemas.microsoft.com/office/drawing/2014/main" id="{DAFD5772-374D-43AC-80CE-67FE193C09E0}"/>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1415" name="Text Box 192">
          <a:extLst>
            <a:ext uri="{FF2B5EF4-FFF2-40B4-BE49-F238E27FC236}">
              <a16:creationId xmlns:a16="http://schemas.microsoft.com/office/drawing/2014/main" id="{7354ED79-F35D-4B0D-B63A-8603B2EA5D37}"/>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1416" name="Text Box 192">
          <a:extLst>
            <a:ext uri="{FF2B5EF4-FFF2-40B4-BE49-F238E27FC236}">
              <a16:creationId xmlns:a16="http://schemas.microsoft.com/office/drawing/2014/main" id="{B7E7CEF3-AF9A-47C3-A6A7-49EF8F9DAA51}"/>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1417" name="Text Box 192">
          <a:extLst>
            <a:ext uri="{FF2B5EF4-FFF2-40B4-BE49-F238E27FC236}">
              <a16:creationId xmlns:a16="http://schemas.microsoft.com/office/drawing/2014/main" id="{C9A94776-3ACE-4E74-96DA-51B9990FE075}"/>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1418" name="Text Box 192">
          <a:extLst>
            <a:ext uri="{FF2B5EF4-FFF2-40B4-BE49-F238E27FC236}">
              <a16:creationId xmlns:a16="http://schemas.microsoft.com/office/drawing/2014/main" id="{70D61D51-C29D-4AD3-89A1-381F02AA9E9E}"/>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1419" name="Text Box 192">
          <a:extLst>
            <a:ext uri="{FF2B5EF4-FFF2-40B4-BE49-F238E27FC236}">
              <a16:creationId xmlns:a16="http://schemas.microsoft.com/office/drawing/2014/main" id="{45F132CD-7348-4325-BEA0-3AD29D1917FF}"/>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1420" name="Text Box 192">
          <a:extLst>
            <a:ext uri="{FF2B5EF4-FFF2-40B4-BE49-F238E27FC236}">
              <a16:creationId xmlns:a16="http://schemas.microsoft.com/office/drawing/2014/main" id="{7D049190-1FE6-4CD8-BBC3-CB17607F010C}"/>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1421" name="Text Box 192">
          <a:extLst>
            <a:ext uri="{FF2B5EF4-FFF2-40B4-BE49-F238E27FC236}">
              <a16:creationId xmlns:a16="http://schemas.microsoft.com/office/drawing/2014/main" id="{E53A19A4-D642-448C-8D6A-D659E6FC0E5E}"/>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1422" name="Text Box 192">
          <a:extLst>
            <a:ext uri="{FF2B5EF4-FFF2-40B4-BE49-F238E27FC236}">
              <a16:creationId xmlns:a16="http://schemas.microsoft.com/office/drawing/2014/main" id="{FACFA4DC-8E2C-4B39-9004-AAC96822587B}"/>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1423" name="Text Box 192">
          <a:extLst>
            <a:ext uri="{FF2B5EF4-FFF2-40B4-BE49-F238E27FC236}">
              <a16:creationId xmlns:a16="http://schemas.microsoft.com/office/drawing/2014/main" id="{7B6EFDB9-2D1C-4ED3-90E5-FED7647D32B5}"/>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1424" name="Text Box 192">
          <a:extLst>
            <a:ext uri="{FF2B5EF4-FFF2-40B4-BE49-F238E27FC236}">
              <a16:creationId xmlns:a16="http://schemas.microsoft.com/office/drawing/2014/main" id="{9695A3F4-A7FE-471A-9F2E-3C659217E158}"/>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1425" name="Text Box 192">
          <a:extLst>
            <a:ext uri="{FF2B5EF4-FFF2-40B4-BE49-F238E27FC236}">
              <a16:creationId xmlns:a16="http://schemas.microsoft.com/office/drawing/2014/main" id="{F8353CA9-792C-45D6-9A0B-554780093A27}"/>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1426" name="Text Box 192">
          <a:extLst>
            <a:ext uri="{FF2B5EF4-FFF2-40B4-BE49-F238E27FC236}">
              <a16:creationId xmlns:a16="http://schemas.microsoft.com/office/drawing/2014/main" id="{83FCB979-52E4-4625-88F6-5D7CE289CF8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1427" name="Text Box 192">
          <a:extLst>
            <a:ext uri="{FF2B5EF4-FFF2-40B4-BE49-F238E27FC236}">
              <a16:creationId xmlns:a16="http://schemas.microsoft.com/office/drawing/2014/main" id="{D99ED7FF-3490-424E-83C1-4EF3845AABA9}"/>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1428" name="Text Box 192">
          <a:extLst>
            <a:ext uri="{FF2B5EF4-FFF2-40B4-BE49-F238E27FC236}">
              <a16:creationId xmlns:a16="http://schemas.microsoft.com/office/drawing/2014/main" id="{85070762-4A82-4C05-B61C-6047A5BEE37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1429" name="Text Box 192">
          <a:extLst>
            <a:ext uri="{FF2B5EF4-FFF2-40B4-BE49-F238E27FC236}">
              <a16:creationId xmlns:a16="http://schemas.microsoft.com/office/drawing/2014/main" id="{0DA7F8E8-D17A-44F1-AF90-94B9FA14E75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1430" name="Text Box 192">
          <a:extLst>
            <a:ext uri="{FF2B5EF4-FFF2-40B4-BE49-F238E27FC236}">
              <a16:creationId xmlns:a16="http://schemas.microsoft.com/office/drawing/2014/main" id="{DF855292-1F9A-47A1-B7BA-1C50C6EA5599}"/>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1431" name="Text Box 192">
          <a:extLst>
            <a:ext uri="{FF2B5EF4-FFF2-40B4-BE49-F238E27FC236}">
              <a16:creationId xmlns:a16="http://schemas.microsoft.com/office/drawing/2014/main" id="{58BA2B3A-2166-40BE-A4C3-1EBD87843382}"/>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1432" name="Text Box 192">
          <a:extLst>
            <a:ext uri="{FF2B5EF4-FFF2-40B4-BE49-F238E27FC236}">
              <a16:creationId xmlns:a16="http://schemas.microsoft.com/office/drawing/2014/main" id="{2C8299EA-0A31-4751-A040-6A5910E4F6C0}"/>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1433" name="Text Box 192">
          <a:extLst>
            <a:ext uri="{FF2B5EF4-FFF2-40B4-BE49-F238E27FC236}">
              <a16:creationId xmlns:a16="http://schemas.microsoft.com/office/drawing/2014/main" id="{79277A87-6ACA-47FF-AE26-94BFF6E5AD8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1434" name="Text Box 192">
          <a:extLst>
            <a:ext uri="{FF2B5EF4-FFF2-40B4-BE49-F238E27FC236}">
              <a16:creationId xmlns:a16="http://schemas.microsoft.com/office/drawing/2014/main" id="{12745385-FD07-4369-9F69-FF20C2D511DB}"/>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1435" name="Text Box 192">
          <a:extLst>
            <a:ext uri="{FF2B5EF4-FFF2-40B4-BE49-F238E27FC236}">
              <a16:creationId xmlns:a16="http://schemas.microsoft.com/office/drawing/2014/main" id="{980F0836-4001-4A96-B7FF-69BB94C75E5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1436" name="Text Box 192">
          <a:extLst>
            <a:ext uri="{FF2B5EF4-FFF2-40B4-BE49-F238E27FC236}">
              <a16:creationId xmlns:a16="http://schemas.microsoft.com/office/drawing/2014/main" id="{9CDFACE6-6501-418E-98C1-09B96289DF9D}"/>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1437" name="Text Box 192">
          <a:extLst>
            <a:ext uri="{FF2B5EF4-FFF2-40B4-BE49-F238E27FC236}">
              <a16:creationId xmlns:a16="http://schemas.microsoft.com/office/drawing/2014/main" id="{9BD9AF68-DBE0-4718-B0E8-6386FCF74D6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1438" name="Text Box 192">
          <a:extLst>
            <a:ext uri="{FF2B5EF4-FFF2-40B4-BE49-F238E27FC236}">
              <a16:creationId xmlns:a16="http://schemas.microsoft.com/office/drawing/2014/main" id="{512E11F5-AAE4-4E57-BB35-B008AE0BA7A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1439" name="Text Box 192">
          <a:extLst>
            <a:ext uri="{FF2B5EF4-FFF2-40B4-BE49-F238E27FC236}">
              <a16:creationId xmlns:a16="http://schemas.microsoft.com/office/drawing/2014/main" id="{DBECE1FC-39BD-4E03-9E47-672797FECBC2}"/>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1440" name="Text Box 192">
          <a:extLst>
            <a:ext uri="{FF2B5EF4-FFF2-40B4-BE49-F238E27FC236}">
              <a16:creationId xmlns:a16="http://schemas.microsoft.com/office/drawing/2014/main" id="{F541AF6E-8D82-491B-8F34-8596677A26A3}"/>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1441" name="Text Box 192">
          <a:extLst>
            <a:ext uri="{FF2B5EF4-FFF2-40B4-BE49-F238E27FC236}">
              <a16:creationId xmlns:a16="http://schemas.microsoft.com/office/drawing/2014/main" id="{61B36EE8-F9D7-4EFF-A7A2-1BA4D32AC740}"/>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1442" name="Text Box 192">
          <a:extLst>
            <a:ext uri="{FF2B5EF4-FFF2-40B4-BE49-F238E27FC236}">
              <a16:creationId xmlns:a16="http://schemas.microsoft.com/office/drawing/2014/main" id="{38B8ED17-CCD9-4841-9B7F-1B8B034A3F34}"/>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1443" name="Text Box 192">
          <a:extLst>
            <a:ext uri="{FF2B5EF4-FFF2-40B4-BE49-F238E27FC236}">
              <a16:creationId xmlns:a16="http://schemas.microsoft.com/office/drawing/2014/main" id="{87032584-FD90-4668-A957-6E461724F382}"/>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1444" name="Text Box 192">
          <a:extLst>
            <a:ext uri="{FF2B5EF4-FFF2-40B4-BE49-F238E27FC236}">
              <a16:creationId xmlns:a16="http://schemas.microsoft.com/office/drawing/2014/main" id="{0B4A2A0D-A57D-436E-8D0F-8EFF0866827C}"/>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1445" name="Text Box 192">
          <a:extLst>
            <a:ext uri="{FF2B5EF4-FFF2-40B4-BE49-F238E27FC236}">
              <a16:creationId xmlns:a16="http://schemas.microsoft.com/office/drawing/2014/main" id="{27C6A604-3309-46C3-A153-7F4399B947DB}"/>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1446" name="Text Box 192">
          <a:extLst>
            <a:ext uri="{FF2B5EF4-FFF2-40B4-BE49-F238E27FC236}">
              <a16:creationId xmlns:a16="http://schemas.microsoft.com/office/drawing/2014/main" id="{780A821D-4432-450D-BFB5-2523CC99165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1447" name="Text Box 192">
          <a:extLst>
            <a:ext uri="{FF2B5EF4-FFF2-40B4-BE49-F238E27FC236}">
              <a16:creationId xmlns:a16="http://schemas.microsoft.com/office/drawing/2014/main" id="{CC916668-11F0-475C-BF57-B5DA862695EE}"/>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1448" name="Text Box 192">
          <a:extLst>
            <a:ext uri="{FF2B5EF4-FFF2-40B4-BE49-F238E27FC236}">
              <a16:creationId xmlns:a16="http://schemas.microsoft.com/office/drawing/2014/main" id="{748D59FE-CD2D-4353-B349-6F92B2D7C25E}"/>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1449" name="Text Box 192">
          <a:extLst>
            <a:ext uri="{FF2B5EF4-FFF2-40B4-BE49-F238E27FC236}">
              <a16:creationId xmlns:a16="http://schemas.microsoft.com/office/drawing/2014/main" id="{CC0BD508-CCAB-4382-BBFF-5E9F7D967E0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1450" name="Text Box 192">
          <a:extLst>
            <a:ext uri="{FF2B5EF4-FFF2-40B4-BE49-F238E27FC236}">
              <a16:creationId xmlns:a16="http://schemas.microsoft.com/office/drawing/2014/main" id="{F096E846-7157-49D8-8630-28433941833E}"/>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1451" name="Text Box 192">
          <a:extLst>
            <a:ext uri="{FF2B5EF4-FFF2-40B4-BE49-F238E27FC236}">
              <a16:creationId xmlns:a16="http://schemas.microsoft.com/office/drawing/2014/main" id="{E4B801D4-D198-4FC6-9F43-FAF698F3C9C6}"/>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1452" name="Text Box 192">
          <a:extLst>
            <a:ext uri="{FF2B5EF4-FFF2-40B4-BE49-F238E27FC236}">
              <a16:creationId xmlns:a16="http://schemas.microsoft.com/office/drawing/2014/main" id="{2A4004EB-796E-47F5-8DD3-0A5C0D7663A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1453" name="Text Box 192">
          <a:extLst>
            <a:ext uri="{FF2B5EF4-FFF2-40B4-BE49-F238E27FC236}">
              <a16:creationId xmlns:a16="http://schemas.microsoft.com/office/drawing/2014/main" id="{FF4CEE48-1664-4228-9422-8F861672230A}"/>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1454" name="Text Box 192">
          <a:extLst>
            <a:ext uri="{FF2B5EF4-FFF2-40B4-BE49-F238E27FC236}">
              <a16:creationId xmlns:a16="http://schemas.microsoft.com/office/drawing/2014/main" id="{39025342-61FA-4B8B-92D5-1A1B402C05CE}"/>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1455" name="Text Box 192">
          <a:extLst>
            <a:ext uri="{FF2B5EF4-FFF2-40B4-BE49-F238E27FC236}">
              <a16:creationId xmlns:a16="http://schemas.microsoft.com/office/drawing/2014/main" id="{E9CA4981-F878-4333-8B83-35415E964F70}"/>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1456" name="Text Box 192">
          <a:extLst>
            <a:ext uri="{FF2B5EF4-FFF2-40B4-BE49-F238E27FC236}">
              <a16:creationId xmlns:a16="http://schemas.microsoft.com/office/drawing/2014/main" id="{09840974-2A02-44A3-A9E5-284D242837DE}"/>
            </a:ext>
          </a:extLst>
        </xdr:cNvPr>
        <xdr:cNvSpPr txBox="1">
          <a:spLocks noChangeArrowheads="1"/>
        </xdr:cNvSpPr>
      </xdr:nvSpPr>
      <xdr:spPr bwMode="auto">
        <a:xfrm>
          <a:off x="24718006" y="36206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168</xdr:row>
      <xdr:rowOff>0</xdr:rowOff>
    </xdr:from>
    <xdr:ext cx="10372" cy="228955"/>
    <xdr:sp macro="" textlink="">
      <xdr:nvSpPr>
        <xdr:cNvPr id="1459" name="Text Box 192">
          <a:extLst>
            <a:ext uri="{FF2B5EF4-FFF2-40B4-BE49-F238E27FC236}">
              <a16:creationId xmlns:a16="http://schemas.microsoft.com/office/drawing/2014/main" id="{9E9401EC-A79A-447B-B24B-FE3F009B5EAA}"/>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1460" name="Text Box 192">
          <a:extLst>
            <a:ext uri="{FF2B5EF4-FFF2-40B4-BE49-F238E27FC236}">
              <a16:creationId xmlns:a16="http://schemas.microsoft.com/office/drawing/2014/main" id="{FA4A7100-DBAC-4F2D-8FBF-25F38E3B72D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1461" name="Text Box 192">
          <a:extLst>
            <a:ext uri="{FF2B5EF4-FFF2-40B4-BE49-F238E27FC236}">
              <a16:creationId xmlns:a16="http://schemas.microsoft.com/office/drawing/2014/main" id="{F28F54B3-E297-4CBE-9BEA-2239A7442D3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1462" name="Text Box 192">
          <a:extLst>
            <a:ext uri="{FF2B5EF4-FFF2-40B4-BE49-F238E27FC236}">
              <a16:creationId xmlns:a16="http://schemas.microsoft.com/office/drawing/2014/main" id="{BAEC7B03-3340-4387-B459-3EFE340DC38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1463" name="Text Box 192">
          <a:extLst>
            <a:ext uri="{FF2B5EF4-FFF2-40B4-BE49-F238E27FC236}">
              <a16:creationId xmlns:a16="http://schemas.microsoft.com/office/drawing/2014/main" id="{002BE4FA-37D5-418B-8921-02042857230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1464" name="Text Box 192">
          <a:extLst>
            <a:ext uri="{FF2B5EF4-FFF2-40B4-BE49-F238E27FC236}">
              <a16:creationId xmlns:a16="http://schemas.microsoft.com/office/drawing/2014/main" id="{1554D9E6-07B2-4C99-8DDB-29FB3A75442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1465" name="Text Box 192">
          <a:extLst>
            <a:ext uri="{FF2B5EF4-FFF2-40B4-BE49-F238E27FC236}">
              <a16:creationId xmlns:a16="http://schemas.microsoft.com/office/drawing/2014/main" id="{F8F6B514-080A-4CCE-ACF2-A732166B772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1466" name="Text Box 192">
          <a:extLst>
            <a:ext uri="{FF2B5EF4-FFF2-40B4-BE49-F238E27FC236}">
              <a16:creationId xmlns:a16="http://schemas.microsoft.com/office/drawing/2014/main" id="{02A21ACF-2D03-42F7-A457-8C7215138A8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1467" name="Text Box 192">
          <a:extLst>
            <a:ext uri="{FF2B5EF4-FFF2-40B4-BE49-F238E27FC236}">
              <a16:creationId xmlns:a16="http://schemas.microsoft.com/office/drawing/2014/main" id="{38616050-1B55-41B0-8B45-04F0750CEE2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1468" name="Text Box 192">
          <a:extLst>
            <a:ext uri="{FF2B5EF4-FFF2-40B4-BE49-F238E27FC236}">
              <a16:creationId xmlns:a16="http://schemas.microsoft.com/office/drawing/2014/main" id="{B2D6B3A4-3B4D-4D66-B5D5-B20728421A4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1469" name="Text Box 192">
          <a:extLst>
            <a:ext uri="{FF2B5EF4-FFF2-40B4-BE49-F238E27FC236}">
              <a16:creationId xmlns:a16="http://schemas.microsoft.com/office/drawing/2014/main" id="{0DEACF4F-2F91-4A06-834A-08AC1EAB746F}"/>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1470" name="Text Box 192">
          <a:extLst>
            <a:ext uri="{FF2B5EF4-FFF2-40B4-BE49-F238E27FC236}">
              <a16:creationId xmlns:a16="http://schemas.microsoft.com/office/drawing/2014/main" id="{7DE26EB2-6627-4A67-BD67-0A3FF010C74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1471" name="Text Box 192">
          <a:extLst>
            <a:ext uri="{FF2B5EF4-FFF2-40B4-BE49-F238E27FC236}">
              <a16:creationId xmlns:a16="http://schemas.microsoft.com/office/drawing/2014/main" id="{AD4ED707-F635-4024-81F5-C775E20A372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1472" name="Text Box 192">
          <a:extLst>
            <a:ext uri="{FF2B5EF4-FFF2-40B4-BE49-F238E27FC236}">
              <a16:creationId xmlns:a16="http://schemas.microsoft.com/office/drawing/2014/main" id="{F07FBB9E-DB04-4F8D-B790-7920B03761B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1473" name="Text Box 192">
          <a:extLst>
            <a:ext uri="{FF2B5EF4-FFF2-40B4-BE49-F238E27FC236}">
              <a16:creationId xmlns:a16="http://schemas.microsoft.com/office/drawing/2014/main" id="{B77C762F-7162-446D-9EA9-765E006853D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1474" name="Text Box 192">
          <a:extLst>
            <a:ext uri="{FF2B5EF4-FFF2-40B4-BE49-F238E27FC236}">
              <a16:creationId xmlns:a16="http://schemas.microsoft.com/office/drawing/2014/main" id="{F8EBABDC-8A39-4637-A5C5-6470A5BD9A5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1475" name="Text Box 192">
          <a:extLst>
            <a:ext uri="{FF2B5EF4-FFF2-40B4-BE49-F238E27FC236}">
              <a16:creationId xmlns:a16="http://schemas.microsoft.com/office/drawing/2014/main" id="{6A47BD39-A28F-40C9-8976-1C9CC66485D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1476" name="Text Box 192">
          <a:extLst>
            <a:ext uri="{FF2B5EF4-FFF2-40B4-BE49-F238E27FC236}">
              <a16:creationId xmlns:a16="http://schemas.microsoft.com/office/drawing/2014/main" id="{F32D452C-D529-448F-B0D9-2C6F8807A80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1477" name="Text Box 192">
          <a:extLst>
            <a:ext uri="{FF2B5EF4-FFF2-40B4-BE49-F238E27FC236}">
              <a16:creationId xmlns:a16="http://schemas.microsoft.com/office/drawing/2014/main" id="{FFC67177-5B6D-4892-AB46-FFF9EB4E64B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1478" name="Text Box 192">
          <a:extLst>
            <a:ext uri="{FF2B5EF4-FFF2-40B4-BE49-F238E27FC236}">
              <a16:creationId xmlns:a16="http://schemas.microsoft.com/office/drawing/2014/main" id="{9645C171-055A-4B33-96C9-923160214FC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1479" name="Text Box 192">
          <a:extLst>
            <a:ext uri="{FF2B5EF4-FFF2-40B4-BE49-F238E27FC236}">
              <a16:creationId xmlns:a16="http://schemas.microsoft.com/office/drawing/2014/main" id="{300B0665-ADC8-4C78-9C75-C0BC0D958965}"/>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1480" name="Text Box 192">
          <a:extLst>
            <a:ext uri="{FF2B5EF4-FFF2-40B4-BE49-F238E27FC236}">
              <a16:creationId xmlns:a16="http://schemas.microsoft.com/office/drawing/2014/main" id="{41F86794-CA22-4644-BA87-30C69965B50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1481" name="Text Box 192">
          <a:extLst>
            <a:ext uri="{FF2B5EF4-FFF2-40B4-BE49-F238E27FC236}">
              <a16:creationId xmlns:a16="http://schemas.microsoft.com/office/drawing/2014/main" id="{6C7B866F-494A-426A-887E-62995410EB0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1482" name="Text Box 192">
          <a:extLst>
            <a:ext uri="{FF2B5EF4-FFF2-40B4-BE49-F238E27FC236}">
              <a16:creationId xmlns:a16="http://schemas.microsoft.com/office/drawing/2014/main" id="{FEE82272-2777-49E3-887B-8F48F9E46AA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1483" name="Text Box 192">
          <a:extLst>
            <a:ext uri="{FF2B5EF4-FFF2-40B4-BE49-F238E27FC236}">
              <a16:creationId xmlns:a16="http://schemas.microsoft.com/office/drawing/2014/main" id="{D26C762F-5DC1-4F3A-BAC2-973E9B0DF07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1484" name="Text Box 192">
          <a:extLst>
            <a:ext uri="{FF2B5EF4-FFF2-40B4-BE49-F238E27FC236}">
              <a16:creationId xmlns:a16="http://schemas.microsoft.com/office/drawing/2014/main" id="{5E2011BB-6B33-42C3-966E-AED278C2C38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1485" name="Text Box 192">
          <a:extLst>
            <a:ext uri="{FF2B5EF4-FFF2-40B4-BE49-F238E27FC236}">
              <a16:creationId xmlns:a16="http://schemas.microsoft.com/office/drawing/2014/main" id="{60ED0948-6789-46FF-8FB4-897C2696785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1486" name="Text Box 192">
          <a:extLst>
            <a:ext uri="{FF2B5EF4-FFF2-40B4-BE49-F238E27FC236}">
              <a16:creationId xmlns:a16="http://schemas.microsoft.com/office/drawing/2014/main" id="{464AC4AA-6469-4975-BD55-8CEB2B9F47A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1487" name="Text Box 192">
          <a:extLst>
            <a:ext uri="{FF2B5EF4-FFF2-40B4-BE49-F238E27FC236}">
              <a16:creationId xmlns:a16="http://schemas.microsoft.com/office/drawing/2014/main" id="{52BFA9FB-7C99-48BA-96F2-EC7B5E38264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1488" name="Text Box 192">
          <a:extLst>
            <a:ext uri="{FF2B5EF4-FFF2-40B4-BE49-F238E27FC236}">
              <a16:creationId xmlns:a16="http://schemas.microsoft.com/office/drawing/2014/main" id="{B37B47A2-74AD-4529-B1AC-2885F503D0E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1489" name="Text Box 192">
          <a:extLst>
            <a:ext uri="{FF2B5EF4-FFF2-40B4-BE49-F238E27FC236}">
              <a16:creationId xmlns:a16="http://schemas.microsoft.com/office/drawing/2014/main" id="{C4503CF2-CCDF-4186-81F8-481C86F04C09}"/>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1490" name="Text Box 192">
          <a:extLst>
            <a:ext uri="{FF2B5EF4-FFF2-40B4-BE49-F238E27FC236}">
              <a16:creationId xmlns:a16="http://schemas.microsoft.com/office/drawing/2014/main" id="{CD7118FF-5A79-4DC2-ADCE-625D50E2813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1491" name="Text Box 192">
          <a:extLst>
            <a:ext uri="{FF2B5EF4-FFF2-40B4-BE49-F238E27FC236}">
              <a16:creationId xmlns:a16="http://schemas.microsoft.com/office/drawing/2014/main" id="{FB7C8ADF-71CA-4537-836C-BC0EBE45A90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1492" name="Text Box 192">
          <a:extLst>
            <a:ext uri="{FF2B5EF4-FFF2-40B4-BE49-F238E27FC236}">
              <a16:creationId xmlns:a16="http://schemas.microsoft.com/office/drawing/2014/main" id="{62CEA491-64D8-43D0-8458-C1AA7695851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1493" name="Text Box 192">
          <a:extLst>
            <a:ext uri="{FF2B5EF4-FFF2-40B4-BE49-F238E27FC236}">
              <a16:creationId xmlns:a16="http://schemas.microsoft.com/office/drawing/2014/main" id="{7BDE2C80-E66C-4E36-B386-341032657FB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1494" name="Text Box 192">
          <a:extLst>
            <a:ext uri="{FF2B5EF4-FFF2-40B4-BE49-F238E27FC236}">
              <a16:creationId xmlns:a16="http://schemas.microsoft.com/office/drawing/2014/main" id="{F0E5ED5B-07E9-409D-A459-86B02D3B4E1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1495" name="Text Box 192">
          <a:extLst>
            <a:ext uri="{FF2B5EF4-FFF2-40B4-BE49-F238E27FC236}">
              <a16:creationId xmlns:a16="http://schemas.microsoft.com/office/drawing/2014/main" id="{F71BD80C-1E80-48B3-8BC0-DC9352D7A8B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1496" name="Text Box 192">
          <a:extLst>
            <a:ext uri="{FF2B5EF4-FFF2-40B4-BE49-F238E27FC236}">
              <a16:creationId xmlns:a16="http://schemas.microsoft.com/office/drawing/2014/main" id="{BAC6C9A1-B6E8-47C3-A9C8-165AB683E88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1497" name="Text Box 192">
          <a:extLst>
            <a:ext uri="{FF2B5EF4-FFF2-40B4-BE49-F238E27FC236}">
              <a16:creationId xmlns:a16="http://schemas.microsoft.com/office/drawing/2014/main" id="{7832E41A-1B12-4920-B78E-06F5B0003D6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1498" name="Text Box 192">
          <a:extLst>
            <a:ext uri="{FF2B5EF4-FFF2-40B4-BE49-F238E27FC236}">
              <a16:creationId xmlns:a16="http://schemas.microsoft.com/office/drawing/2014/main" id="{DD0CA0BD-3125-4B29-ADFA-B6C73C58EC2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1499" name="Text Box 192">
          <a:extLst>
            <a:ext uri="{FF2B5EF4-FFF2-40B4-BE49-F238E27FC236}">
              <a16:creationId xmlns:a16="http://schemas.microsoft.com/office/drawing/2014/main" id="{42EB44EF-68D9-4C2D-99A4-6141441DBA1A}"/>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1500" name="Text Box 192">
          <a:extLst>
            <a:ext uri="{FF2B5EF4-FFF2-40B4-BE49-F238E27FC236}">
              <a16:creationId xmlns:a16="http://schemas.microsoft.com/office/drawing/2014/main" id="{E84EDD9A-8F8C-4AED-9FC9-4C88910914C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1501" name="Text Box 192">
          <a:extLst>
            <a:ext uri="{FF2B5EF4-FFF2-40B4-BE49-F238E27FC236}">
              <a16:creationId xmlns:a16="http://schemas.microsoft.com/office/drawing/2014/main" id="{32007AA3-FA3B-4B9E-9065-082DA286133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1502" name="Text Box 192">
          <a:extLst>
            <a:ext uri="{FF2B5EF4-FFF2-40B4-BE49-F238E27FC236}">
              <a16:creationId xmlns:a16="http://schemas.microsoft.com/office/drawing/2014/main" id="{E75111D8-F8D8-4E9A-A1D0-1E5052D0D95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1503" name="Text Box 192">
          <a:extLst>
            <a:ext uri="{FF2B5EF4-FFF2-40B4-BE49-F238E27FC236}">
              <a16:creationId xmlns:a16="http://schemas.microsoft.com/office/drawing/2014/main" id="{3A67ADA3-6C3C-47BD-B744-856373A6D7E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1504" name="Text Box 192">
          <a:extLst>
            <a:ext uri="{FF2B5EF4-FFF2-40B4-BE49-F238E27FC236}">
              <a16:creationId xmlns:a16="http://schemas.microsoft.com/office/drawing/2014/main" id="{A153724D-30E6-4C5F-9599-1141D2E7970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1505" name="Text Box 192">
          <a:extLst>
            <a:ext uri="{FF2B5EF4-FFF2-40B4-BE49-F238E27FC236}">
              <a16:creationId xmlns:a16="http://schemas.microsoft.com/office/drawing/2014/main" id="{1DB7E5F6-7A14-4204-A955-FDEC832CD2C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1506" name="Text Box 192">
          <a:extLst>
            <a:ext uri="{FF2B5EF4-FFF2-40B4-BE49-F238E27FC236}">
              <a16:creationId xmlns:a16="http://schemas.microsoft.com/office/drawing/2014/main" id="{A37FF4CE-926A-4860-936F-36A2B08A3C0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1507" name="Text Box 192">
          <a:extLst>
            <a:ext uri="{FF2B5EF4-FFF2-40B4-BE49-F238E27FC236}">
              <a16:creationId xmlns:a16="http://schemas.microsoft.com/office/drawing/2014/main" id="{F29D17B8-C5CA-4B87-97F5-04D119F0C9C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1508" name="Text Box 192">
          <a:extLst>
            <a:ext uri="{FF2B5EF4-FFF2-40B4-BE49-F238E27FC236}">
              <a16:creationId xmlns:a16="http://schemas.microsoft.com/office/drawing/2014/main" id="{E0AE1ADE-11B6-40AB-90E4-38DB246BB53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1509" name="Text Box 192">
          <a:extLst>
            <a:ext uri="{FF2B5EF4-FFF2-40B4-BE49-F238E27FC236}">
              <a16:creationId xmlns:a16="http://schemas.microsoft.com/office/drawing/2014/main" id="{ECEC9F49-EA1B-41E1-8836-B417F9688BDB}"/>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1510" name="Text Box 192">
          <a:extLst>
            <a:ext uri="{FF2B5EF4-FFF2-40B4-BE49-F238E27FC236}">
              <a16:creationId xmlns:a16="http://schemas.microsoft.com/office/drawing/2014/main" id="{5CD05156-3FE1-45E5-A85D-9E0336D5373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1511" name="Text Box 192">
          <a:extLst>
            <a:ext uri="{FF2B5EF4-FFF2-40B4-BE49-F238E27FC236}">
              <a16:creationId xmlns:a16="http://schemas.microsoft.com/office/drawing/2014/main" id="{941C4160-7EF1-4408-947C-890249E85AE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1512" name="Text Box 192">
          <a:extLst>
            <a:ext uri="{FF2B5EF4-FFF2-40B4-BE49-F238E27FC236}">
              <a16:creationId xmlns:a16="http://schemas.microsoft.com/office/drawing/2014/main" id="{D378ECEF-967C-4290-A897-562948870D6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1513" name="Text Box 192">
          <a:extLst>
            <a:ext uri="{FF2B5EF4-FFF2-40B4-BE49-F238E27FC236}">
              <a16:creationId xmlns:a16="http://schemas.microsoft.com/office/drawing/2014/main" id="{5F8A6A57-2FE6-4668-A2E0-C807FC6A0C6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1514" name="Text Box 192">
          <a:extLst>
            <a:ext uri="{FF2B5EF4-FFF2-40B4-BE49-F238E27FC236}">
              <a16:creationId xmlns:a16="http://schemas.microsoft.com/office/drawing/2014/main" id="{886094EB-0469-42DD-8845-3E2279B58B1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1515" name="Text Box 192">
          <a:extLst>
            <a:ext uri="{FF2B5EF4-FFF2-40B4-BE49-F238E27FC236}">
              <a16:creationId xmlns:a16="http://schemas.microsoft.com/office/drawing/2014/main" id="{234CD2B0-277F-4211-A7E8-BCE1008B14B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1516" name="Text Box 192">
          <a:extLst>
            <a:ext uri="{FF2B5EF4-FFF2-40B4-BE49-F238E27FC236}">
              <a16:creationId xmlns:a16="http://schemas.microsoft.com/office/drawing/2014/main" id="{93558C9B-FBD5-44C4-B56C-6A2FB6D8D94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1517" name="Text Box 192">
          <a:extLst>
            <a:ext uri="{FF2B5EF4-FFF2-40B4-BE49-F238E27FC236}">
              <a16:creationId xmlns:a16="http://schemas.microsoft.com/office/drawing/2014/main" id="{A57F9488-B70C-4ADB-B412-53FC0AFDE8A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1518" name="Text Box 192">
          <a:extLst>
            <a:ext uri="{FF2B5EF4-FFF2-40B4-BE49-F238E27FC236}">
              <a16:creationId xmlns:a16="http://schemas.microsoft.com/office/drawing/2014/main" id="{3E405097-7E74-4A74-B9A8-6EE7548A59B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1519" name="Text Box 192">
          <a:extLst>
            <a:ext uri="{FF2B5EF4-FFF2-40B4-BE49-F238E27FC236}">
              <a16:creationId xmlns:a16="http://schemas.microsoft.com/office/drawing/2014/main" id="{C2DB0E89-4A4A-4477-BA8B-E38298B2C362}"/>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1520" name="Text Box 192">
          <a:extLst>
            <a:ext uri="{FF2B5EF4-FFF2-40B4-BE49-F238E27FC236}">
              <a16:creationId xmlns:a16="http://schemas.microsoft.com/office/drawing/2014/main" id="{283E58B9-3DDF-46F6-9416-B98C4A13CE5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1521" name="Text Box 192">
          <a:extLst>
            <a:ext uri="{FF2B5EF4-FFF2-40B4-BE49-F238E27FC236}">
              <a16:creationId xmlns:a16="http://schemas.microsoft.com/office/drawing/2014/main" id="{437231AB-80EC-4783-93F1-B3666C0EE2E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1522" name="Text Box 192">
          <a:extLst>
            <a:ext uri="{FF2B5EF4-FFF2-40B4-BE49-F238E27FC236}">
              <a16:creationId xmlns:a16="http://schemas.microsoft.com/office/drawing/2014/main" id="{305852F1-AD4F-4245-A539-0D1DDFE7119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1523" name="Text Box 192">
          <a:extLst>
            <a:ext uri="{FF2B5EF4-FFF2-40B4-BE49-F238E27FC236}">
              <a16:creationId xmlns:a16="http://schemas.microsoft.com/office/drawing/2014/main" id="{868988D1-DD79-47F0-93DC-3CC941F7325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1524" name="Text Box 192">
          <a:extLst>
            <a:ext uri="{FF2B5EF4-FFF2-40B4-BE49-F238E27FC236}">
              <a16:creationId xmlns:a16="http://schemas.microsoft.com/office/drawing/2014/main" id="{06B6894F-3C39-417E-9261-7585862B372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1525" name="Text Box 192">
          <a:extLst>
            <a:ext uri="{FF2B5EF4-FFF2-40B4-BE49-F238E27FC236}">
              <a16:creationId xmlns:a16="http://schemas.microsoft.com/office/drawing/2014/main" id="{769448D0-9F0F-4B25-A9C6-BD5F6E0FD95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1526" name="Text Box 192">
          <a:extLst>
            <a:ext uri="{FF2B5EF4-FFF2-40B4-BE49-F238E27FC236}">
              <a16:creationId xmlns:a16="http://schemas.microsoft.com/office/drawing/2014/main" id="{5B85A2DB-6A6D-46F2-94F3-19971918D33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1527" name="Text Box 192">
          <a:extLst>
            <a:ext uri="{FF2B5EF4-FFF2-40B4-BE49-F238E27FC236}">
              <a16:creationId xmlns:a16="http://schemas.microsoft.com/office/drawing/2014/main" id="{E0F0C64B-74F8-47EE-9873-2B9DDE76F22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1528" name="Text Box 192">
          <a:extLst>
            <a:ext uri="{FF2B5EF4-FFF2-40B4-BE49-F238E27FC236}">
              <a16:creationId xmlns:a16="http://schemas.microsoft.com/office/drawing/2014/main" id="{BAC57615-A37D-4285-8F9C-0693C79B14E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1529" name="Text Box 192">
          <a:extLst>
            <a:ext uri="{FF2B5EF4-FFF2-40B4-BE49-F238E27FC236}">
              <a16:creationId xmlns:a16="http://schemas.microsoft.com/office/drawing/2014/main" id="{637375BB-9E2B-4C5C-BFD9-AD704EB9404B}"/>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1530" name="Text Box 192">
          <a:extLst>
            <a:ext uri="{FF2B5EF4-FFF2-40B4-BE49-F238E27FC236}">
              <a16:creationId xmlns:a16="http://schemas.microsoft.com/office/drawing/2014/main" id="{A852F4FD-3FF4-4429-969B-23DF94D5216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1531" name="Text Box 192">
          <a:extLst>
            <a:ext uri="{FF2B5EF4-FFF2-40B4-BE49-F238E27FC236}">
              <a16:creationId xmlns:a16="http://schemas.microsoft.com/office/drawing/2014/main" id="{4959F637-899B-47F2-8C9D-B05FD653407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1532" name="Text Box 192">
          <a:extLst>
            <a:ext uri="{FF2B5EF4-FFF2-40B4-BE49-F238E27FC236}">
              <a16:creationId xmlns:a16="http://schemas.microsoft.com/office/drawing/2014/main" id="{2A541643-B98D-4DD0-8BF7-9EF730A3807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1533" name="Text Box 192">
          <a:extLst>
            <a:ext uri="{FF2B5EF4-FFF2-40B4-BE49-F238E27FC236}">
              <a16:creationId xmlns:a16="http://schemas.microsoft.com/office/drawing/2014/main" id="{9E52C46F-4C41-405B-AA36-E489AF7CE6C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1534" name="Text Box 192">
          <a:extLst>
            <a:ext uri="{FF2B5EF4-FFF2-40B4-BE49-F238E27FC236}">
              <a16:creationId xmlns:a16="http://schemas.microsoft.com/office/drawing/2014/main" id="{9AD46190-DF32-4E75-B245-988936BE019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1535" name="Text Box 192">
          <a:extLst>
            <a:ext uri="{FF2B5EF4-FFF2-40B4-BE49-F238E27FC236}">
              <a16:creationId xmlns:a16="http://schemas.microsoft.com/office/drawing/2014/main" id="{BA084B4E-BA55-402E-8FC1-847D1AD3D45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1536" name="Text Box 192">
          <a:extLst>
            <a:ext uri="{FF2B5EF4-FFF2-40B4-BE49-F238E27FC236}">
              <a16:creationId xmlns:a16="http://schemas.microsoft.com/office/drawing/2014/main" id="{553EA44D-4753-4607-B6E3-0755AB8B938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1537" name="Text Box 192">
          <a:extLst>
            <a:ext uri="{FF2B5EF4-FFF2-40B4-BE49-F238E27FC236}">
              <a16:creationId xmlns:a16="http://schemas.microsoft.com/office/drawing/2014/main" id="{88380E99-1BF6-49D4-B357-3CEE04F4002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1538" name="Text Box 192">
          <a:extLst>
            <a:ext uri="{FF2B5EF4-FFF2-40B4-BE49-F238E27FC236}">
              <a16:creationId xmlns:a16="http://schemas.microsoft.com/office/drawing/2014/main" id="{C180AD91-2117-479D-A461-B14AC17715E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1539" name="Text Box 192">
          <a:extLst>
            <a:ext uri="{FF2B5EF4-FFF2-40B4-BE49-F238E27FC236}">
              <a16:creationId xmlns:a16="http://schemas.microsoft.com/office/drawing/2014/main" id="{42390E77-0162-447E-96E7-10EDD6605E9F}"/>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1540" name="Text Box 192">
          <a:extLst>
            <a:ext uri="{FF2B5EF4-FFF2-40B4-BE49-F238E27FC236}">
              <a16:creationId xmlns:a16="http://schemas.microsoft.com/office/drawing/2014/main" id="{8513B074-2488-40E7-866B-A6DF8D0F0C7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1541" name="Text Box 192">
          <a:extLst>
            <a:ext uri="{FF2B5EF4-FFF2-40B4-BE49-F238E27FC236}">
              <a16:creationId xmlns:a16="http://schemas.microsoft.com/office/drawing/2014/main" id="{DEA8578B-B687-4B79-B87E-7E1E2BE9777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1542" name="Text Box 192">
          <a:extLst>
            <a:ext uri="{FF2B5EF4-FFF2-40B4-BE49-F238E27FC236}">
              <a16:creationId xmlns:a16="http://schemas.microsoft.com/office/drawing/2014/main" id="{1EEAE08B-541B-4EEC-BCB2-0C93D8F5CF5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1543" name="Text Box 192">
          <a:extLst>
            <a:ext uri="{FF2B5EF4-FFF2-40B4-BE49-F238E27FC236}">
              <a16:creationId xmlns:a16="http://schemas.microsoft.com/office/drawing/2014/main" id="{7DC0CE60-4B68-4AA1-A993-299093CFCED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1544" name="Text Box 192">
          <a:extLst>
            <a:ext uri="{FF2B5EF4-FFF2-40B4-BE49-F238E27FC236}">
              <a16:creationId xmlns:a16="http://schemas.microsoft.com/office/drawing/2014/main" id="{27C79E3A-509C-4EFA-8A8D-8F0D967A9B1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1545" name="Text Box 192">
          <a:extLst>
            <a:ext uri="{FF2B5EF4-FFF2-40B4-BE49-F238E27FC236}">
              <a16:creationId xmlns:a16="http://schemas.microsoft.com/office/drawing/2014/main" id="{4E890103-2667-42AF-9497-6F3C803DADE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1546" name="Text Box 192">
          <a:extLst>
            <a:ext uri="{FF2B5EF4-FFF2-40B4-BE49-F238E27FC236}">
              <a16:creationId xmlns:a16="http://schemas.microsoft.com/office/drawing/2014/main" id="{C864C30A-90C4-4EB4-BF8D-C1AF9958083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1547" name="Text Box 192">
          <a:extLst>
            <a:ext uri="{FF2B5EF4-FFF2-40B4-BE49-F238E27FC236}">
              <a16:creationId xmlns:a16="http://schemas.microsoft.com/office/drawing/2014/main" id="{481F6143-ECE7-48D4-8A15-229350ABAC5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1548" name="Text Box 192">
          <a:extLst>
            <a:ext uri="{FF2B5EF4-FFF2-40B4-BE49-F238E27FC236}">
              <a16:creationId xmlns:a16="http://schemas.microsoft.com/office/drawing/2014/main" id="{AE12DEDD-706F-4A82-9E75-CCB6CF653BB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1549" name="Text Box 192">
          <a:extLst>
            <a:ext uri="{FF2B5EF4-FFF2-40B4-BE49-F238E27FC236}">
              <a16:creationId xmlns:a16="http://schemas.microsoft.com/office/drawing/2014/main" id="{F32B886D-4465-45ED-920F-2D03FA3DE1FC}"/>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1550" name="Text Box 192">
          <a:extLst>
            <a:ext uri="{FF2B5EF4-FFF2-40B4-BE49-F238E27FC236}">
              <a16:creationId xmlns:a16="http://schemas.microsoft.com/office/drawing/2014/main" id="{3C73B3B5-39D7-4CD5-830B-317B32820EC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1551" name="Text Box 192">
          <a:extLst>
            <a:ext uri="{FF2B5EF4-FFF2-40B4-BE49-F238E27FC236}">
              <a16:creationId xmlns:a16="http://schemas.microsoft.com/office/drawing/2014/main" id="{0E12267B-329E-4191-8102-689BEDA42F2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1552" name="Text Box 192">
          <a:extLst>
            <a:ext uri="{FF2B5EF4-FFF2-40B4-BE49-F238E27FC236}">
              <a16:creationId xmlns:a16="http://schemas.microsoft.com/office/drawing/2014/main" id="{067D9606-A5E2-4C9D-8593-EC31BA53B59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1553" name="Text Box 192">
          <a:extLst>
            <a:ext uri="{FF2B5EF4-FFF2-40B4-BE49-F238E27FC236}">
              <a16:creationId xmlns:a16="http://schemas.microsoft.com/office/drawing/2014/main" id="{74A66070-AF62-402F-9CA6-1D907A3B6C9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1554" name="Text Box 192">
          <a:extLst>
            <a:ext uri="{FF2B5EF4-FFF2-40B4-BE49-F238E27FC236}">
              <a16:creationId xmlns:a16="http://schemas.microsoft.com/office/drawing/2014/main" id="{BE78D24D-7FBC-43E8-8CDA-2B0D575B277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1555" name="Text Box 192">
          <a:extLst>
            <a:ext uri="{FF2B5EF4-FFF2-40B4-BE49-F238E27FC236}">
              <a16:creationId xmlns:a16="http://schemas.microsoft.com/office/drawing/2014/main" id="{F0A0F3C6-D42A-4370-9B34-B8A04FD841E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1556" name="Text Box 192">
          <a:extLst>
            <a:ext uri="{FF2B5EF4-FFF2-40B4-BE49-F238E27FC236}">
              <a16:creationId xmlns:a16="http://schemas.microsoft.com/office/drawing/2014/main" id="{17470556-4A00-48EA-9248-32649C443BB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1557" name="Text Box 192">
          <a:extLst>
            <a:ext uri="{FF2B5EF4-FFF2-40B4-BE49-F238E27FC236}">
              <a16:creationId xmlns:a16="http://schemas.microsoft.com/office/drawing/2014/main" id="{E49E4369-5F89-4E75-AF77-7BE5D633D7E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1558" name="Text Box 192">
          <a:extLst>
            <a:ext uri="{FF2B5EF4-FFF2-40B4-BE49-F238E27FC236}">
              <a16:creationId xmlns:a16="http://schemas.microsoft.com/office/drawing/2014/main" id="{F2436660-3771-4DD6-B763-E2110EABCCD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1559" name="Text Box 192">
          <a:extLst>
            <a:ext uri="{FF2B5EF4-FFF2-40B4-BE49-F238E27FC236}">
              <a16:creationId xmlns:a16="http://schemas.microsoft.com/office/drawing/2014/main" id="{545A7053-7430-4B29-B9CA-09177270CAEF}"/>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1560" name="Text Box 192">
          <a:extLst>
            <a:ext uri="{FF2B5EF4-FFF2-40B4-BE49-F238E27FC236}">
              <a16:creationId xmlns:a16="http://schemas.microsoft.com/office/drawing/2014/main" id="{511DE654-639E-4A03-8808-9B02D014FF1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1561" name="Text Box 192">
          <a:extLst>
            <a:ext uri="{FF2B5EF4-FFF2-40B4-BE49-F238E27FC236}">
              <a16:creationId xmlns:a16="http://schemas.microsoft.com/office/drawing/2014/main" id="{131E571C-4A60-487D-A812-89127D19981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1562" name="Text Box 192">
          <a:extLst>
            <a:ext uri="{FF2B5EF4-FFF2-40B4-BE49-F238E27FC236}">
              <a16:creationId xmlns:a16="http://schemas.microsoft.com/office/drawing/2014/main" id="{FEC259C0-16E2-4D82-97E3-C8F51C1AC90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1563" name="Text Box 192">
          <a:extLst>
            <a:ext uri="{FF2B5EF4-FFF2-40B4-BE49-F238E27FC236}">
              <a16:creationId xmlns:a16="http://schemas.microsoft.com/office/drawing/2014/main" id="{92ADCAEB-AC78-4200-8C20-6D465112625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1564" name="Text Box 192">
          <a:extLst>
            <a:ext uri="{FF2B5EF4-FFF2-40B4-BE49-F238E27FC236}">
              <a16:creationId xmlns:a16="http://schemas.microsoft.com/office/drawing/2014/main" id="{6BE47D55-C7BC-42DD-B9F1-F34C864F080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1565" name="Text Box 192">
          <a:extLst>
            <a:ext uri="{FF2B5EF4-FFF2-40B4-BE49-F238E27FC236}">
              <a16:creationId xmlns:a16="http://schemas.microsoft.com/office/drawing/2014/main" id="{45F15958-30EC-4E51-A6FE-FF35A73B909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1566" name="Text Box 192">
          <a:extLst>
            <a:ext uri="{FF2B5EF4-FFF2-40B4-BE49-F238E27FC236}">
              <a16:creationId xmlns:a16="http://schemas.microsoft.com/office/drawing/2014/main" id="{70456185-8B39-4D37-9160-41468BD60FE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1567" name="Text Box 192">
          <a:extLst>
            <a:ext uri="{FF2B5EF4-FFF2-40B4-BE49-F238E27FC236}">
              <a16:creationId xmlns:a16="http://schemas.microsoft.com/office/drawing/2014/main" id="{74FD0231-80E7-4D94-8AEB-45414D0317E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1568" name="Text Box 192">
          <a:extLst>
            <a:ext uri="{FF2B5EF4-FFF2-40B4-BE49-F238E27FC236}">
              <a16:creationId xmlns:a16="http://schemas.microsoft.com/office/drawing/2014/main" id="{0401FAB4-CADB-468D-B6FE-869C66DF255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1569" name="Text Box 192">
          <a:extLst>
            <a:ext uri="{FF2B5EF4-FFF2-40B4-BE49-F238E27FC236}">
              <a16:creationId xmlns:a16="http://schemas.microsoft.com/office/drawing/2014/main" id="{3B0D986B-6E9B-47E8-8A7F-D7ECF95644FE}"/>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1570" name="Text Box 192">
          <a:extLst>
            <a:ext uri="{FF2B5EF4-FFF2-40B4-BE49-F238E27FC236}">
              <a16:creationId xmlns:a16="http://schemas.microsoft.com/office/drawing/2014/main" id="{470D8333-909A-41D6-86F5-FEDE3A367E3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1571" name="Text Box 192">
          <a:extLst>
            <a:ext uri="{FF2B5EF4-FFF2-40B4-BE49-F238E27FC236}">
              <a16:creationId xmlns:a16="http://schemas.microsoft.com/office/drawing/2014/main" id="{3B888C02-2D7F-4624-AD67-D2492F7404B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1572" name="Text Box 192">
          <a:extLst>
            <a:ext uri="{FF2B5EF4-FFF2-40B4-BE49-F238E27FC236}">
              <a16:creationId xmlns:a16="http://schemas.microsoft.com/office/drawing/2014/main" id="{FACE61AC-0C50-44C3-A26A-8AA3130898B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1573" name="Text Box 192">
          <a:extLst>
            <a:ext uri="{FF2B5EF4-FFF2-40B4-BE49-F238E27FC236}">
              <a16:creationId xmlns:a16="http://schemas.microsoft.com/office/drawing/2014/main" id="{DB7AD3C7-EE96-4CDA-A17E-49EF5E49D83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1574" name="Text Box 192">
          <a:extLst>
            <a:ext uri="{FF2B5EF4-FFF2-40B4-BE49-F238E27FC236}">
              <a16:creationId xmlns:a16="http://schemas.microsoft.com/office/drawing/2014/main" id="{C69853E7-2BED-414F-BB90-94BB0EFD56B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1575" name="Text Box 192">
          <a:extLst>
            <a:ext uri="{FF2B5EF4-FFF2-40B4-BE49-F238E27FC236}">
              <a16:creationId xmlns:a16="http://schemas.microsoft.com/office/drawing/2014/main" id="{90F54D7F-62A4-4F7D-8343-5E3B9072963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1576" name="Text Box 192">
          <a:extLst>
            <a:ext uri="{FF2B5EF4-FFF2-40B4-BE49-F238E27FC236}">
              <a16:creationId xmlns:a16="http://schemas.microsoft.com/office/drawing/2014/main" id="{AFCDC424-4CAA-4475-9091-C3534E1E7BF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1577" name="Text Box 192">
          <a:extLst>
            <a:ext uri="{FF2B5EF4-FFF2-40B4-BE49-F238E27FC236}">
              <a16:creationId xmlns:a16="http://schemas.microsoft.com/office/drawing/2014/main" id="{3208A211-FB2B-47AD-A6AE-80C18B51137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1578" name="Text Box 192">
          <a:extLst>
            <a:ext uri="{FF2B5EF4-FFF2-40B4-BE49-F238E27FC236}">
              <a16:creationId xmlns:a16="http://schemas.microsoft.com/office/drawing/2014/main" id="{2F1C6C85-2A5A-4DD9-999B-52FA5A7720D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182</xdr:row>
      <xdr:rowOff>0</xdr:rowOff>
    </xdr:from>
    <xdr:ext cx="10372" cy="228955"/>
    <xdr:sp macro="" textlink="">
      <xdr:nvSpPr>
        <xdr:cNvPr id="1579" name="Text Box 192">
          <a:extLst>
            <a:ext uri="{FF2B5EF4-FFF2-40B4-BE49-F238E27FC236}">
              <a16:creationId xmlns:a16="http://schemas.microsoft.com/office/drawing/2014/main" id="{B08E66F0-BF2C-489B-AA8A-2D3F1BE4CD89}"/>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1580" name="Text Box 192">
          <a:extLst>
            <a:ext uri="{FF2B5EF4-FFF2-40B4-BE49-F238E27FC236}">
              <a16:creationId xmlns:a16="http://schemas.microsoft.com/office/drawing/2014/main" id="{A65464AA-D848-486D-9DC1-FDC890C945C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1581" name="Text Box 192">
          <a:extLst>
            <a:ext uri="{FF2B5EF4-FFF2-40B4-BE49-F238E27FC236}">
              <a16:creationId xmlns:a16="http://schemas.microsoft.com/office/drawing/2014/main" id="{557D7AB9-79FA-4A9C-BE4F-677E8EB85E1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1582" name="Text Box 192">
          <a:extLst>
            <a:ext uri="{FF2B5EF4-FFF2-40B4-BE49-F238E27FC236}">
              <a16:creationId xmlns:a16="http://schemas.microsoft.com/office/drawing/2014/main" id="{ECA8CC7F-D3A9-4957-9984-38606615B6E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1583" name="Text Box 192">
          <a:extLst>
            <a:ext uri="{FF2B5EF4-FFF2-40B4-BE49-F238E27FC236}">
              <a16:creationId xmlns:a16="http://schemas.microsoft.com/office/drawing/2014/main" id="{B685C3B9-32DF-4198-88E4-AFA70795CA4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1584" name="Text Box 192">
          <a:extLst>
            <a:ext uri="{FF2B5EF4-FFF2-40B4-BE49-F238E27FC236}">
              <a16:creationId xmlns:a16="http://schemas.microsoft.com/office/drawing/2014/main" id="{9DAE6FB7-0052-4BDC-A11F-5DDE93D45BF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1585" name="Text Box 192">
          <a:extLst>
            <a:ext uri="{FF2B5EF4-FFF2-40B4-BE49-F238E27FC236}">
              <a16:creationId xmlns:a16="http://schemas.microsoft.com/office/drawing/2014/main" id="{4BC3F9BD-3B82-4B9E-8D1D-63C39DA26E3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1586" name="Text Box 192">
          <a:extLst>
            <a:ext uri="{FF2B5EF4-FFF2-40B4-BE49-F238E27FC236}">
              <a16:creationId xmlns:a16="http://schemas.microsoft.com/office/drawing/2014/main" id="{A51E7420-37B9-4034-804C-7D5FE09E7E0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1587" name="Text Box 192">
          <a:extLst>
            <a:ext uri="{FF2B5EF4-FFF2-40B4-BE49-F238E27FC236}">
              <a16:creationId xmlns:a16="http://schemas.microsoft.com/office/drawing/2014/main" id="{49D536ED-5203-4EFF-86D8-5710353038C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1588" name="Text Box 192">
          <a:extLst>
            <a:ext uri="{FF2B5EF4-FFF2-40B4-BE49-F238E27FC236}">
              <a16:creationId xmlns:a16="http://schemas.microsoft.com/office/drawing/2014/main" id="{9D3EEEEA-E0F3-408D-B2BB-2AA0EEEF542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1589" name="Text Box 192">
          <a:extLst>
            <a:ext uri="{FF2B5EF4-FFF2-40B4-BE49-F238E27FC236}">
              <a16:creationId xmlns:a16="http://schemas.microsoft.com/office/drawing/2014/main" id="{980C03CA-7643-43E2-8FF7-699C7AA09228}"/>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1590" name="Text Box 192">
          <a:extLst>
            <a:ext uri="{FF2B5EF4-FFF2-40B4-BE49-F238E27FC236}">
              <a16:creationId xmlns:a16="http://schemas.microsoft.com/office/drawing/2014/main" id="{4080A427-E262-4498-B024-55514CCDE11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1591" name="Text Box 192">
          <a:extLst>
            <a:ext uri="{FF2B5EF4-FFF2-40B4-BE49-F238E27FC236}">
              <a16:creationId xmlns:a16="http://schemas.microsoft.com/office/drawing/2014/main" id="{489AA28B-E666-47A6-BEA2-65132028EE8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1592" name="Text Box 192">
          <a:extLst>
            <a:ext uri="{FF2B5EF4-FFF2-40B4-BE49-F238E27FC236}">
              <a16:creationId xmlns:a16="http://schemas.microsoft.com/office/drawing/2014/main" id="{2ABAD184-C2E8-4620-BF5B-C8AB3E1F841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1593" name="Text Box 192">
          <a:extLst>
            <a:ext uri="{FF2B5EF4-FFF2-40B4-BE49-F238E27FC236}">
              <a16:creationId xmlns:a16="http://schemas.microsoft.com/office/drawing/2014/main" id="{2FB8806C-DED5-4386-948A-EAE86481B8F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1594" name="Text Box 192">
          <a:extLst>
            <a:ext uri="{FF2B5EF4-FFF2-40B4-BE49-F238E27FC236}">
              <a16:creationId xmlns:a16="http://schemas.microsoft.com/office/drawing/2014/main" id="{A31BDAB4-EB78-4D6F-A5F3-59149D254BC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1595" name="Text Box 192">
          <a:extLst>
            <a:ext uri="{FF2B5EF4-FFF2-40B4-BE49-F238E27FC236}">
              <a16:creationId xmlns:a16="http://schemas.microsoft.com/office/drawing/2014/main" id="{4DEEF0DF-2BBE-44C3-91ED-B1A72D58A34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1596" name="Text Box 192">
          <a:extLst>
            <a:ext uri="{FF2B5EF4-FFF2-40B4-BE49-F238E27FC236}">
              <a16:creationId xmlns:a16="http://schemas.microsoft.com/office/drawing/2014/main" id="{9922D8B0-D601-402A-9FD6-743C707F22A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1597" name="Text Box 192">
          <a:extLst>
            <a:ext uri="{FF2B5EF4-FFF2-40B4-BE49-F238E27FC236}">
              <a16:creationId xmlns:a16="http://schemas.microsoft.com/office/drawing/2014/main" id="{AB3BCC92-DAF8-45DA-AC64-F1D3803412C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1598" name="Text Box 192">
          <a:extLst>
            <a:ext uri="{FF2B5EF4-FFF2-40B4-BE49-F238E27FC236}">
              <a16:creationId xmlns:a16="http://schemas.microsoft.com/office/drawing/2014/main" id="{F2B21C31-1002-4849-95A1-2B2A28B4964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1599" name="Text Box 192">
          <a:extLst>
            <a:ext uri="{FF2B5EF4-FFF2-40B4-BE49-F238E27FC236}">
              <a16:creationId xmlns:a16="http://schemas.microsoft.com/office/drawing/2014/main" id="{E05A3CEC-E8B5-41E1-A5F0-17EA16EA0619}"/>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1600" name="Text Box 192">
          <a:extLst>
            <a:ext uri="{FF2B5EF4-FFF2-40B4-BE49-F238E27FC236}">
              <a16:creationId xmlns:a16="http://schemas.microsoft.com/office/drawing/2014/main" id="{DEA30325-DE8A-4BBB-9578-5503DED6DB0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1601" name="Text Box 192">
          <a:extLst>
            <a:ext uri="{FF2B5EF4-FFF2-40B4-BE49-F238E27FC236}">
              <a16:creationId xmlns:a16="http://schemas.microsoft.com/office/drawing/2014/main" id="{29F08E9A-7947-4F4D-B3B5-066F22ACC68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1602" name="Text Box 192">
          <a:extLst>
            <a:ext uri="{FF2B5EF4-FFF2-40B4-BE49-F238E27FC236}">
              <a16:creationId xmlns:a16="http://schemas.microsoft.com/office/drawing/2014/main" id="{89BB06B7-5B14-45E1-A213-0AE6BDE4F7C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1603" name="Text Box 192">
          <a:extLst>
            <a:ext uri="{FF2B5EF4-FFF2-40B4-BE49-F238E27FC236}">
              <a16:creationId xmlns:a16="http://schemas.microsoft.com/office/drawing/2014/main" id="{2511F149-74AE-4A32-A4C5-854575CDB73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1604" name="Text Box 192">
          <a:extLst>
            <a:ext uri="{FF2B5EF4-FFF2-40B4-BE49-F238E27FC236}">
              <a16:creationId xmlns:a16="http://schemas.microsoft.com/office/drawing/2014/main" id="{9FECCD0F-AFB9-4608-8480-B48DDEF899B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1605" name="Text Box 192">
          <a:extLst>
            <a:ext uri="{FF2B5EF4-FFF2-40B4-BE49-F238E27FC236}">
              <a16:creationId xmlns:a16="http://schemas.microsoft.com/office/drawing/2014/main" id="{525971C8-C245-4E4F-9731-223F49F641E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1606" name="Text Box 192">
          <a:extLst>
            <a:ext uri="{FF2B5EF4-FFF2-40B4-BE49-F238E27FC236}">
              <a16:creationId xmlns:a16="http://schemas.microsoft.com/office/drawing/2014/main" id="{63A619D3-3F72-4495-8750-408249746BB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1607" name="Text Box 192">
          <a:extLst>
            <a:ext uri="{FF2B5EF4-FFF2-40B4-BE49-F238E27FC236}">
              <a16:creationId xmlns:a16="http://schemas.microsoft.com/office/drawing/2014/main" id="{9859D8A4-2B17-46F0-98A5-2972BAC908D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1608" name="Text Box 192">
          <a:extLst>
            <a:ext uri="{FF2B5EF4-FFF2-40B4-BE49-F238E27FC236}">
              <a16:creationId xmlns:a16="http://schemas.microsoft.com/office/drawing/2014/main" id="{D9D0EF44-5AE6-43F7-8E43-B79BBAE7E73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1609" name="Text Box 192">
          <a:extLst>
            <a:ext uri="{FF2B5EF4-FFF2-40B4-BE49-F238E27FC236}">
              <a16:creationId xmlns:a16="http://schemas.microsoft.com/office/drawing/2014/main" id="{24E2127E-6F1F-491E-85CF-6C6C723787DA}"/>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1610" name="Text Box 192">
          <a:extLst>
            <a:ext uri="{FF2B5EF4-FFF2-40B4-BE49-F238E27FC236}">
              <a16:creationId xmlns:a16="http://schemas.microsoft.com/office/drawing/2014/main" id="{AD617A7D-300D-441E-A6FD-63167841822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1611" name="Text Box 192">
          <a:extLst>
            <a:ext uri="{FF2B5EF4-FFF2-40B4-BE49-F238E27FC236}">
              <a16:creationId xmlns:a16="http://schemas.microsoft.com/office/drawing/2014/main" id="{B7C2C1ED-F64E-4B22-8FD8-5516F59AFBE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1612" name="Text Box 192">
          <a:extLst>
            <a:ext uri="{FF2B5EF4-FFF2-40B4-BE49-F238E27FC236}">
              <a16:creationId xmlns:a16="http://schemas.microsoft.com/office/drawing/2014/main" id="{FDEB3581-F6AE-4BB1-9B2E-57AF07EC5C9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1613" name="Text Box 192">
          <a:extLst>
            <a:ext uri="{FF2B5EF4-FFF2-40B4-BE49-F238E27FC236}">
              <a16:creationId xmlns:a16="http://schemas.microsoft.com/office/drawing/2014/main" id="{C237BD84-781B-48E2-953F-A7777635CC0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1614" name="Text Box 192">
          <a:extLst>
            <a:ext uri="{FF2B5EF4-FFF2-40B4-BE49-F238E27FC236}">
              <a16:creationId xmlns:a16="http://schemas.microsoft.com/office/drawing/2014/main" id="{0392359F-826A-4238-B3FC-1E62BC34532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1615" name="Text Box 192">
          <a:extLst>
            <a:ext uri="{FF2B5EF4-FFF2-40B4-BE49-F238E27FC236}">
              <a16:creationId xmlns:a16="http://schemas.microsoft.com/office/drawing/2014/main" id="{05E2C819-4649-4B26-8103-80BD67BEE6E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1616" name="Text Box 192">
          <a:extLst>
            <a:ext uri="{FF2B5EF4-FFF2-40B4-BE49-F238E27FC236}">
              <a16:creationId xmlns:a16="http://schemas.microsoft.com/office/drawing/2014/main" id="{74F2BD68-F4CF-47E2-8CF9-1E30D85A27D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1617" name="Text Box 192">
          <a:extLst>
            <a:ext uri="{FF2B5EF4-FFF2-40B4-BE49-F238E27FC236}">
              <a16:creationId xmlns:a16="http://schemas.microsoft.com/office/drawing/2014/main" id="{0D4C2E91-E824-45EB-AB90-EA308DBF2CB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1618" name="Text Box 192">
          <a:extLst>
            <a:ext uri="{FF2B5EF4-FFF2-40B4-BE49-F238E27FC236}">
              <a16:creationId xmlns:a16="http://schemas.microsoft.com/office/drawing/2014/main" id="{2B06B846-6954-4810-8006-FC13239B830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1619" name="Text Box 192">
          <a:extLst>
            <a:ext uri="{FF2B5EF4-FFF2-40B4-BE49-F238E27FC236}">
              <a16:creationId xmlns:a16="http://schemas.microsoft.com/office/drawing/2014/main" id="{9025371C-0A0B-4A07-B7D8-0C6297B8C52F}"/>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1620" name="Text Box 192">
          <a:extLst>
            <a:ext uri="{FF2B5EF4-FFF2-40B4-BE49-F238E27FC236}">
              <a16:creationId xmlns:a16="http://schemas.microsoft.com/office/drawing/2014/main" id="{4059F285-171C-41C3-B227-4910C227529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1621" name="Text Box 192">
          <a:extLst>
            <a:ext uri="{FF2B5EF4-FFF2-40B4-BE49-F238E27FC236}">
              <a16:creationId xmlns:a16="http://schemas.microsoft.com/office/drawing/2014/main" id="{1F615CEA-A6FC-422B-ACF5-93461202567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1622" name="Text Box 192">
          <a:extLst>
            <a:ext uri="{FF2B5EF4-FFF2-40B4-BE49-F238E27FC236}">
              <a16:creationId xmlns:a16="http://schemas.microsoft.com/office/drawing/2014/main" id="{DFB51DB3-0953-4DF7-BB7D-CF307B6BF99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1623" name="Text Box 192">
          <a:extLst>
            <a:ext uri="{FF2B5EF4-FFF2-40B4-BE49-F238E27FC236}">
              <a16:creationId xmlns:a16="http://schemas.microsoft.com/office/drawing/2014/main" id="{6583CDA1-2DF2-4A28-99E5-5BBF771D5E1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1624" name="Text Box 192">
          <a:extLst>
            <a:ext uri="{FF2B5EF4-FFF2-40B4-BE49-F238E27FC236}">
              <a16:creationId xmlns:a16="http://schemas.microsoft.com/office/drawing/2014/main" id="{BBF35DDE-FF71-4015-A4AF-24581869187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1625" name="Text Box 192">
          <a:extLst>
            <a:ext uri="{FF2B5EF4-FFF2-40B4-BE49-F238E27FC236}">
              <a16:creationId xmlns:a16="http://schemas.microsoft.com/office/drawing/2014/main" id="{137BAAB2-CF32-4191-9457-DED5F30BE98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1626" name="Text Box 192">
          <a:extLst>
            <a:ext uri="{FF2B5EF4-FFF2-40B4-BE49-F238E27FC236}">
              <a16:creationId xmlns:a16="http://schemas.microsoft.com/office/drawing/2014/main" id="{E0C4C384-6483-43CC-A5E9-E95D233A50E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1627" name="Text Box 192">
          <a:extLst>
            <a:ext uri="{FF2B5EF4-FFF2-40B4-BE49-F238E27FC236}">
              <a16:creationId xmlns:a16="http://schemas.microsoft.com/office/drawing/2014/main" id="{16A4606D-6587-428B-B4D3-F004651C2F5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1628" name="Text Box 192">
          <a:extLst>
            <a:ext uri="{FF2B5EF4-FFF2-40B4-BE49-F238E27FC236}">
              <a16:creationId xmlns:a16="http://schemas.microsoft.com/office/drawing/2014/main" id="{A075CA9F-FE1C-4296-A3B1-97954366B79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1629" name="Text Box 192">
          <a:extLst>
            <a:ext uri="{FF2B5EF4-FFF2-40B4-BE49-F238E27FC236}">
              <a16:creationId xmlns:a16="http://schemas.microsoft.com/office/drawing/2014/main" id="{7387BA1E-431B-4EF8-BF7D-D0CF4B3821B2}"/>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1630" name="Text Box 192">
          <a:extLst>
            <a:ext uri="{FF2B5EF4-FFF2-40B4-BE49-F238E27FC236}">
              <a16:creationId xmlns:a16="http://schemas.microsoft.com/office/drawing/2014/main" id="{3DE3B2EA-F1F8-44C4-B952-25C161E40EC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1631" name="Text Box 192">
          <a:extLst>
            <a:ext uri="{FF2B5EF4-FFF2-40B4-BE49-F238E27FC236}">
              <a16:creationId xmlns:a16="http://schemas.microsoft.com/office/drawing/2014/main" id="{5381A5F6-1539-4DA4-A782-BD3F6C27237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1632" name="Text Box 192">
          <a:extLst>
            <a:ext uri="{FF2B5EF4-FFF2-40B4-BE49-F238E27FC236}">
              <a16:creationId xmlns:a16="http://schemas.microsoft.com/office/drawing/2014/main" id="{E29DE0DA-3438-4058-8689-ED7E0A6A06B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1633" name="Text Box 192">
          <a:extLst>
            <a:ext uri="{FF2B5EF4-FFF2-40B4-BE49-F238E27FC236}">
              <a16:creationId xmlns:a16="http://schemas.microsoft.com/office/drawing/2014/main" id="{E60C007B-7528-46A4-A5B8-86C9A3EE43B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1634" name="Text Box 192">
          <a:extLst>
            <a:ext uri="{FF2B5EF4-FFF2-40B4-BE49-F238E27FC236}">
              <a16:creationId xmlns:a16="http://schemas.microsoft.com/office/drawing/2014/main" id="{0B969FFA-143A-449D-835C-B98BDE9A807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1635" name="Text Box 192">
          <a:extLst>
            <a:ext uri="{FF2B5EF4-FFF2-40B4-BE49-F238E27FC236}">
              <a16:creationId xmlns:a16="http://schemas.microsoft.com/office/drawing/2014/main" id="{5A84F431-B6BE-46D1-9B5E-C26A6F8CFB6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1636" name="Text Box 192">
          <a:extLst>
            <a:ext uri="{FF2B5EF4-FFF2-40B4-BE49-F238E27FC236}">
              <a16:creationId xmlns:a16="http://schemas.microsoft.com/office/drawing/2014/main" id="{45C27A4F-38B8-48B2-B134-D561C5DD024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1637" name="Text Box 192">
          <a:extLst>
            <a:ext uri="{FF2B5EF4-FFF2-40B4-BE49-F238E27FC236}">
              <a16:creationId xmlns:a16="http://schemas.microsoft.com/office/drawing/2014/main" id="{D5921175-ED62-4F56-A1E5-D6B1CB1013F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1638" name="Text Box 192">
          <a:extLst>
            <a:ext uri="{FF2B5EF4-FFF2-40B4-BE49-F238E27FC236}">
              <a16:creationId xmlns:a16="http://schemas.microsoft.com/office/drawing/2014/main" id="{ED7C17FB-3213-4C17-931F-F0C58024B9D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1639" name="Text Box 192">
          <a:extLst>
            <a:ext uri="{FF2B5EF4-FFF2-40B4-BE49-F238E27FC236}">
              <a16:creationId xmlns:a16="http://schemas.microsoft.com/office/drawing/2014/main" id="{08960759-0776-45FA-9C10-F71C971BBE58}"/>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1640" name="Text Box 192">
          <a:extLst>
            <a:ext uri="{FF2B5EF4-FFF2-40B4-BE49-F238E27FC236}">
              <a16:creationId xmlns:a16="http://schemas.microsoft.com/office/drawing/2014/main" id="{90C8DF38-790E-4663-9762-DD144533066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1641" name="Text Box 192">
          <a:extLst>
            <a:ext uri="{FF2B5EF4-FFF2-40B4-BE49-F238E27FC236}">
              <a16:creationId xmlns:a16="http://schemas.microsoft.com/office/drawing/2014/main" id="{29463C1B-D18A-4EC5-940A-F6D5086B7E9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1642" name="Text Box 192">
          <a:extLst>
            <a:ext uri="{FF2B5EF4-FFF2-40B4-BE49-F238E27FC236}">
              <a16:creationId xmlns:a16="http://schemas.microsoft.com/office/drawing/2014/main" id="{96FD4170-E660-4122-B425-9A0CB436D8A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1643" name="Text Box 192">
          <a:extLst>
            <a:ext uri="{FF2B5EF4-FFF2-40B4-BE49-F238E27FC236}">
              <a16:creationId xmlns:a16="http://schemas.microsoft.com/office/drawing/2014/main" id="{4204F001-1F3F-44D3-A4B3-CD70A937D44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1644" name="Text Box 192">
          <a:extLst>
            <a:ext uri="{FF2B5EF4-FFF2-40B4-BE49-F238E27FC236}">
              <a16:creationId xmlns:a16="http://schemas.microsoft.com/office/drawing/2014/main" id="{EB20D653-0CE4-415A-A252-F87A99ACFEE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1645" name="Text Box 192">
          <a:extLst>
            <a:ext uri="{FF2B5EF4-FFF2-40B4-BE49-F238E27FC236}">
              <a16:creationId xmlns:a16="http://schemas.microsoft.com/office/drawing/2014/main" id="{BC319455-8E6E-4ED2-A433-395AF961489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1646" name="Text Box 192">
          <a:extLst>
            <a:ext uri="{FF2B5EF4-FFF2-40B4-BE49-F238E27FC236}">
              <a16:creationId xmlns:a16="http://schemas.microsoft.com/office/drawing/2014/main" id="{9B3661E3-A935-4577-B884-584D7C49996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1647" name="Text Box 192">
          <a:extLst>
            <a:ext uri="{FF2B5EF4-FFF2-40B4-BE49-F238E27FC236}">
              <a16:creationId xmlns:a16="http://schemas.microsoft.com/office/drawing/2014/main" id="{76D51DDA-C29E-4CC5-8E3C-B29492C98A8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1648" name="Text Box 192">
          <a:extLst>
            <a:ext uri="{FF2B5EF4-FFF2-40B4-BE49-F238E27FC236}">
              <a16:creationId xmlns:a16="http://schemas.microsoft.com/office/drawing/2014/main" id="{16BF7A74-64A4-49D7-AAB4-CBC5879D732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1649" name="Text Box 192">
          <a:extLst>
            <a:ext uri="{FF2B5EF4-FFF2-40B4-BE49-F238E27FC236}">
              <a16:creationId xmlns:a16="http://schemas.microsoft.com/office/drawing/2014/main" id="{327665D8-8349-4DCD-98B1-BA6D8F4DA140}"/>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1650" name="Text Box 192">
          <a:extLst>
            <a:ext uri="{FF2B5EF4-FFF2-40B4-BE49-F238E27FC236}">
              <a16:creationId xmlns:a16="http://schemas.microsoft.com/office/drawing/2014/main" id="{0A079939-ED86-4F5C-A9C4-B3327A3119F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1651" name="Text Box 192">
          <a:extLst>
            <a:ext uri="{FF2B5EF4-FFF2-40B4-BE49-F238E27FC236}">
              <a16:creationId xmlns:a16="http://schemas.microsoft.com/office/drawing/2014/main" id="{0D0AD90E-683E-4FB4-BD8B-8E5A7398E3F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1652" name="Text Box 192">
          <a:extLst>
            <a:ext uri="{FF2B5EF4-FFF2-40B4-BE49-F238E27FC236}">
              <a16:creationId xmlns:a16="http://schemas.microsoft.com/office/drawing/2014/main" id="{01980AFB-5360-4EF4-9A8C-2486789E468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1653" name="Text Box 192">
          <a:extLst>
            <a:ext uri="{FF2B5EF4-FFF2-40B4-BE49-F238E27FC236}">
              <a16:creationId xmlns:a16="http://schemas.microsoft.com/office/drawing/2014/main" id="{5388D739-7F9B-4EEC-A9D3-B11D8FC65C8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1654" name="Text Box 192">
          <a:extLst>
            <a:ext uri="{FF2B5EF4-FFF2-40B4-BE49-F238E27FC236}">
              <a16:creationId xmlns:a16="http://schemas.microsoft.com/office/drawing/2014/main" id="{297C58B9-9F22-475F-986B-C12B4C823D4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1655" name="Text Box 192">
          <a:extLst>
            <a:ext uri="{FF2B5EF4-FFF2-40B4-BE49-F238E27FC236}">
              <a16:creationId xmlns:a16="http://schemas.microsoft.com/office/drawing/2014/main" id="{1EC4987E-9F31-403C-87E3-B89F8759E26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1656" name="Text Box 192">
          <a:extLst>
            <a:ext uri="{FF2B5EF4-FFF2-40B4-BE49-F238E27FC236}">
              <a16:creationId xmlns:a16="http://schemas.microsoft.com/office/drawing/2014/main" id="{AF451D5B-040C-490F-8EBC-2285AB452E7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1657" name="Text Box 192">
          <a:extLst>
            <a:ext uri="{FF2B5EF4-FFF2-40B4-BE49-F238E27FC236}">
              <a16:creationId xmlns:a16="http://schemas.microsoft.com/office/drawing/2014/main" id="{5FABB732-A196-4F2A-85DE-921C8A6437C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1658" name="Text Box 192">
          <a:extLst>
            <a:ext uri="{FF2B5EF4-FFF2-40B4-BE49-F238E27FC236}">
              <a16:creationId xmlns:a16="http://schemas.microsoft.com/office/drawing/2014/main" id="{F349E1FF-87D5-418D-87B2-926DF87D4B6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1659" name="Text Box 192">
          <a:extLst>
            <a:ext uri="{FF2B5EF4-FFF2-40B4-BE49-F238E27FC236}">
              <a16:creationId xmlns:a16="http://schemas.microsoft.com/office/drawing/2014/main" id="{79FC71B5-06C9-4484-BF71-6CDD13659246}"/>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1660" name="Text Box 192">
          <a:extLst>
            <a:ext uri="{FF2B5EF4-FFF2-40B4-BE49-F238E27FC236}">
              <a16:creationId xmlns:a16="http://schemas.microsoft.com/office/drawing/2014/main" id="{758AD809-61CD-40EF-BC22-F54B54F2C6F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1661" name="Text Box 192">
          <a:extLst>
            <a:ext uri="{FF2B5EF4-FFF2-40B4-BE49-F238E27FC236}">
              <a16:creationId xmlns:a16="http://schemas.microsoft.com/office/drawing/2014/main" id="{590DD560-F72A-4895-B2CE-1B96AE99057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1662" name="Text Box 192">
          <a:extLst>
            <a:ext uri="{FF2B5EF4-FFF2-40B4-BE49-F238E27FC236}">
              <a16:creationId xmlns:a16="http://schemas.microsoft.com/office/drawing/2014/main" id="{DA18EA9B-BF0D-4DFD-8B16-C77039E9435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1663" name="Text Box 192">
          <a:extLst>
            <a:ext uri="{FF2B5EF4-FFF2-40B4-BE49-F238E27FC236}">
              <a16:creationId xmlns:a16="http://schemas.microsoft.com/office/drawing/2014/main" id="{D92FC8F7-A8B0-4974-B217-09624AB56FB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1664" name="Text Box 192">
          <a:extLst>
            <a:ext uri="{FF2B5EF4-FFF2-40B4-BE49-F238E27FC236}">
              <a16:creationId xmlns:a16="http://schemas.microsoft.com/office/drawing/2014/main" id="{4855366C-E0D4-4D22-9D8D-B2C7102B33F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1665" name="Text Box 192">
          <a:extLst>
            <a:ext uri="{FF2B5EF4-FFF2-40B4-BE49-F238E27FC236}">
              <a16:creationId xmlns:a16="http://schemas.microsoft.com/office/drawing/2014/main" id="{ACA21DDF-2110-4D81-A764-5A463E41568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1666" name="Text Box 192">
          <a:extLst>
            <a:ext uri="{FF2B5EF4-FFF2-40B4-BE49-F238E27FC236}">
              <a16:creationId xmlns:a16="http://schemas.microsoft.com/office/drawing/2014/main" id="{C63DD75C-5775-440B-9E1C-800E39C0C6F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1667" name="Text Box 192">
          <a:extLst>
            <a:ext uri="{FF2B5EF4-FFF2-40B4-BE49-F238E27FC236}">
              <a16:creationId xmlns:a16="http://schemas.microsoft.com/office/drawing/2014/main" id="{18D3F2D8-6675-4108-98A0-72FE191EB94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1668" name="Text Box 192">
          <a:extLst>
            <a:ext uri="{FF2B5EF4-FFF2-40B4-BE49-F238E27FC236}">
              <a16:creationId xmlns:a16="http://schemas.microsoft.com/office/drawing/2014/main" id="{245A9285-DA37-4841-92A1-8AF0C8EA43B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1669" name="Text Box 192">
          <a:extLst>
            <a:ext uri="{FF2B5EF4-FFF2-40B4-BE49-F238E27FC236}">
              <a16:creationId xmlns:a16="http://schemas.microsoft.com/office/drawing/2014/main" id="{0921FB81-B62C-472C-BF97-6D9C3CB2FB99}"/>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1670" name="Text Box 192">
          <a:extLst>
            <a:ext uri="{FF2B5EF4-FFF2-40B4-BE49-F238E27FC236}">
              <a16:creationId xmlns:a16="http://schemas.microsoft.com/office/drawing/2014/main" id="{F4ED8131-CBA0-47E7-B561-6277CF243DB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1671" name="Text Box 192">
          <a:extLst>
            <a:ext uri="{FF2B5EF4-FFF2-40B4-BE49-F238E27FC236}">
              <a16:creationId xmlns:a16="http://schemas.microsoft.com/office/drawing/2014/main" id="{BD6252AC-07A5-4554-A58A-598B2E32F4C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1672" name="Text Box 192">
          <a:extLst>
            <a:ext uri="{FF2B5EF4-FFF2-40B4-BE49-F238E27FC236}">
              <a16:creationId xmlns:a16="http://schemas.microsoft.com/office/drawing/2014/main" id="{15A7EFC1-141B-467A-B217-BFAF38D60BF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1673" name="Text Box 192">
          <a:extLst>
            <a:ext uri="{FF2B5EF4-FFF2-40B4-BE49-F238E27FC236}">
              <a16:creationId xmlns:a16="http://schemas.microsoft.com/office/drawing/2014/main" id="{201CDE35-38E5-4325-96D8-1FC4AB44338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1674" name="Text Box 192">
          <a:extLst>
            <a:ext uri="{FF2B5EF4-FFF2-40B4-BE49-F238E27FC236}">
              <a16:creationId xmlns:a16="http://schemas.microsoft.com/office/drawing/2014/main" id="{2B72813D-1A35-4017-B47F-8653731370E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1675" name="Text Box 192">
          <a:extLst>
            <a:ext uri="{FF2B5EF4-FFF2-40B4-BE49-F238E27FC236}">
              <a16:creationId xmlns:a16="http://schemas.microsoft.com/office/drawing/2014/main" id="{C89CF70B-E166-486F-B415-3DDE724B1A1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1676" name="Text Box 192">
          <a:extLst>
            <a:ext uri="{FF2B5EF4-FFF2-40B4-BE49-F238E27FC236}">
              <a16:creationId xmlns:a16="http://schemas.microsoft.com/office/drawing/2014/main" id="{7A3FC588-7B9F-4F2F-AA04-2453B870880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1677" name="Text Box 192">
          <a:extLst>
            <a:ext uri="{FF2B5EF4-FFF2-40B4-BE49-F238E27FC236}">
              <a16:creationId xmlns:a16="http://schemas.microsoft.com/office/drawing/2014/main" id="{41B4B9B9-E03B-4A5C-B4D4-C0E70DB967D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1678" name="Text Box 192">
          <a:extLst>
            <a:ext uri="{FF2B5EF4-FFF2-40B4-BE49-F238E27FC236}">
              <a16:creationId xmlns:a16="http://schemas.microsoft.com/office/drawing/2014/main" id="{01C7C302-1CEE-40DB-9FA4-C75D673459D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194</xdr:row>
      <xdr:rowOff>0</xdr:rowOff>
    </xdr:from>
    <xdr:ext cx="10372" cy="228955"/>
    <xdr:sp macro="" textlink="">
      <xdr:nvSpPr>
        <xdr:cNvPr id="1679" name="Text Box 192">
          <a:extLst>
            <a:ext uri="{FF2B5EF4-FFF2-40B4-BE49-F238E27FC236}">
              <a16:creationId xmlns:a16="http://schemas.microsoft.com/office/drawing/2014/main" id="{105795B0-5605-436C-9DB2-845C474F1E4B}"/>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1680" name="Text Box 192">
          <a:extLst>
            <a:ext uri="{FF2B5EF4-FFF2-40B4-BE49-F238E27FC236}">
              <a16:creationId xmlns:a16="http://schemas.microsoft.com/office/drawing/2014/main" id="{F1206D24-3BD7-4C76-A35C-97BDFFC55BE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1681" name="Text Box 192">
          <a:extLst>
            <a:ext uri="{FF2B5EF4-FFF2-40B4-BE49-F238E27FC236}">
              <a16:creationId xmlns:a16="http://schemas.microsoft.com/office/drawing/2014/main" id="{6576316A-D5E1-45AF-9C5E-E09E1CC687F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1682" name="Text Box 192">
          <a:extLst>
            <a:ext uri="{FF2B5EF4-FFF2-40B4-BE49-F238E27FC236}">
              <a16:creationId xmlns:a16="http://schemas.microsoft.com/office/drawing/2014/main" id="{7FE6172B-DEFC-4ED2-909F-3C6DF6B600E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1683" name="Text Box 192">
          <a:extLst>
            <a:ext uri="{FF2B5EF4-FFF2-40B4-BE49-F238E27FC236}">
              <a16:creationId xmlns:a16="http://schemas.microsoft.com/office/drawing/2014/main" id="{B5B99C8B-B2F6-481F-A526-1B4DED93663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1684" name="Text Box 192">
          <a:extLst>
            <a:ext uri="{FF2B5EF4-FFF2-40B4-BE49-F238E27FC236}">
              <a16:creationId xmlns:a16="http://schemas.microsoft.com/office/drawing/2014/main" id="{C75F4288-4939-4BD8-87E4-592F2DAD200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1685" name="Text Box 192">
          <a:extLst>
            <a:ext uri="{FF2B5EF4-FFF2-40B4-BE49-F238E27FC236}">
              <a16:creationId xmlns:a16="http://schemas.microsoft.com/office/drawing/2014/main" id="{D2102368-24C9-450A-A954-C9D603AF3C3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1686" name="Text Box 192">
          <a:extLst>
            <a:ext uri="{FF2B5EF4-FFF2-40B4-BE49-F238E27FC236}">
              <a16:creationId xmlns:a16="http://schemas.microsoft.com/office/drawing/2014/main" id="{E7EA724B-3FC9-4E95-8E31-09D26082FF6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1687" name="Text Box 192">
          <a:extLst>
            <a:ext uri="{FF2B5EF4-FFF2-40B4-BE49-F238E27FC236}">
              <a16:creationId xmlns:a16="http://schemas.microsoft.com/office/drawing/2014/main" id="{337DAA32-4C67-49FC-A796-24B9423761A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1688" name="Text Box 192">
          <a:extLst>
            <a:ext uri="{FF2B5EF4-FFF2-40B4-BE49-F238E27FC236}">
              <a16:creationId xmlns:a16="http://schemas.microsoft.com/office/drawing/2014/main" id="{383D14D4-2B69-4274-AAC9-A1CE7DF7A98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1689" name="Text Box 192">
          <a:extLst>
            <a:ext uri="{FF2B5EF4-FFF2-40B4-BE49-F238E27FC236}">
              <a16:creationId xmlns:a16="http://schemas.microsoft.com/office/drawing/2014/main" id="{12200B53-3979-4DAB-B5D0-9A8E9A6E7045}"/>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1690" name="Text Box 192">
          <a:extLst>
            <a:ext uri="{FF2B5EF4-FFF2-40B4-BE49-F238E27FC236}">
              <a16:creationId xmlns:a16="http://schemas.microsoft.com/office/drawing/2014/main" id="{C26E0694-EA17-489E-9AC7-67D3089F39B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1691" name="Text Box 192">
          <a:extLst>
            <a:ext uri="{FF2B5EF4-FFF2-40B4-BE49-F238E27FC236}">
              <a16:creationId xmlns:a16="http://schemas.microsoft.com/office/drawing/2014/main" id="{A5B850F5-0D60-4703-8A06-12D46BED749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1692" name="Text Box 192">
          <a:extLst>
            <a:ext uri="{FF2B5EF4-FFF2-40B4-BE49-F238E27FC236}">
              <a16:creationId xmlns:a16="http://schemas.microsoft.com/office/drawing/2014/main" id="{FA60A7AE-6B09-4DB2-B502-81443EA7CB7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1693" name="Text Box 192">
          <a:extLst>
            <a:ext uri="{FF2B5EF4-FFF2-40B4-BE49-F238E27FC236}">
              <a16:creationId xmlns:a16="http://schemas.microsoft.com/office/drawing/2014/main" id="{7D333CAE-7B93-441B-9B94-BAD14B62771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1694" name="Text Box 192">
          <a:extLst>
            <a:ext uri="{FF2B5EF4-FFF2-40B4-BE49-F238E27FC236}">
              <a16:creationId xmlns:a16="http://schemas.microsoft.com/office/drawing/2014/main" id="{61E2985F-106F-43C9-A409-AD29F0C4A91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1695" name="Text Box 192">
          <a:extLst>
            <a:ext uri="{FF2B5EF4-FFF2-40B4-BE49-F238E27FC236}">
              <a16:creationId xmlns:a16="http://schemas.microsoft.com/office/drawing/2014/main" id="{8DBBA55A-6696-47DD-95CB-8071DBF55B3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1696" name="Text Box 192">
          <a:extLst>
            <a:ext uri="{FF2B5EF4-FFF2-40B4-BE49-F238E27FC236}">
              <a16:creationId xmlns:a16="http://schemas.microsoft.com/office/drawing/2014/main" id="{2A300B79-AA4F-41AC-ACFA-A0B2ED56A35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1697" name="Text Box 192">
          <a:extLst>
            <a:ext uri="{FF2B5EF4-FFF2-40B4-BE49-F238E27FC236}">
              <a16:creationId xmlns:a16="http://schemas.microsoft.com/office/drawing/2014/main" id="{09F9866A-39ED-4B37-9F5C-6989A720127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1698" name="Text Box 192">
          <a:extLst>
            <a:ext uri="{FF2B5EF4-FFF2-40B4-BE49-F238E27FC236}">
              <a16:creationId xmlns:a16="http://schemas.microsoft.com/office/drawing/2014/main" id="{41D71D15-44F4-49BD-8CD2-7FB39B7BA2D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198</xdr:row>
      <xdr:rowOff>0</xdr:rowOff>
    </xdr:from>
    <xdr:ext cx="10372" cy="228955"/>
    <xdr:sp macro="" textlink="">
      <xdr:nvSpPr>
        <xdr:cNvPr id="1699" name="Text Box 192">
          <a:extLst>
            <a:ext uri="{FF2B5EF4-FFF2-40B4-BE49-F238E27FC236}">
              <a16:creationId xmlns:a16="http://schemas.microsoft.com/office/drawing/2014/main" id="{44684202-6D78-4CC4-B9CF-714E73EAD8CB}"/>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1700" name="Text Box 192">
          <a:extLst>
            <a:ext uri="{FF2B5EF4-FFF2-40B4-BE49-F238E27FC236}">
              <a16:creationId xmlns:a16="http://schemas.microsoft.com/office/drawing/2014/main" id="{66E018FA-54B2-45AB-B7D9-E8EF497D413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1701" name="Text Box 192">
          <a:extLst>
            <a:ext uri="{FF2B5EF4-FFF2-40B4-BE49-F238E27FC236}">
              <a16:creationId xmlns:a16="http://schemas.microsoft.com/office/drawing/2014/main" id="{73A7C161-7FDD-4B87-AE1C-76502BD34F8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1702" name="Text Box 192">
          <a:extLst>
            <a:ext uri="{FF2B5EF4-FFF2-40B4-BE49-F238E27FC236}">
              <a16:creationId xmlns:a16="http://schemas.microsoft.com/office/drawing/2014/main" id="{CC6683B9-F584-4C5C-B796-6B855C68363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1703" name="Text Box 192">
          <a:extLst>
            <a:ext uri="{FF2B5EF4-FFF2-40B4-BE49-F238E27FC236}">
              <a16:creationId xmlns:a16="http://schemas.microsoft.com/office/drawing/2014/main" id="{A812AB2B-A179-42B6-99D0-C04852E81FA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1704" name="Text Box 192">
          <a:extLst>
            <a:ext uri="{FF2B5EF4-FFF2-40B4-BE49-F238E27FC236}">
              <a16:creationId xmlns:a16="http://schemas.microsoft.com/office/drawing/2014/main" id="{F715CD1C-2F9A-4733-9952-99D56A97994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1705" name="Text Box 192">
          <a:extLst>
            <a:ext uri="{FF2B5EF4-FFF2-40B4-BE49-F238E27FC236}">
              <a16:creationId xmlns:a16="http://schemas.microsoft.com/office/drawing/2014/main" id="{B59F7EC3-A3BF-45AF-8C4B-5579C51B205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1706" name="Text Box 192">
          <a:extLst>
            <a:ext uri="{FF2B5EF4-FFF2-40B4-BE49-F238E27FC236}">
              <a16:creationId xmlns:a16="http://schemas.microsoft.com/office/drawing/2014/main" id="{7AB21F4E-7C8E-442B-A055-FEB22D89B03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1707" name="Text Box 192">
          <a:extLst>
            <a:ext uri="{FF2B5EF4-FFF2-40B4-BE49-F238E27FC236}">
              <a16:creationId xmlns:a16="http://schemas.microsoft.com/office/drawing/2014/main" id="{F1ED6F3D-588F-4DBC-9A84-789284E7469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1708" name="Text Box 192">
          <a:extLst>
            <a:ext uri="{FF2B5EF4-FFF2-40B4-BE49-F238E27FC236}">
              <a16:creationId xmlns:a16="http://schemas.microsoft.com/office/drawing/2014/main" id="{1E694824-7571-43FB-B588-F8656E75A4E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1709" name="Text Box 192">
          <a:extLst>
            <a:ext uri="{FF2B5EF4-FFF2-40B4-BE49-F238E27FC236}">
              <a16:creationId xmlns:a16="http://schemas.microsoft.com/office/drawing/2014/main" id="{79DCFBA7-F9F1-473A-821C-FEA1F32177CE}"/>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1710" name="Text Box 192">
          <a:extLst>
            <a:ext uri="{FF2B5EF4-FFF2-40B4-BE49-F238E27FC236}">
              <a16:creationId xmlns:a16="http://schemas.microsoft.com/office/drawing/2014/main" id="{6474E126-8109-44B1-933E-206E304D683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1711" name="Text Box 192">
          <a:extLst>
            <a:ext uri="{FF2B5EF4-FFF2-40B4-BE49-F238E27FC236}">
              <a16:creationId xmlns:a16="http://schemas.microsoft.com/office/drawing/2014/main" id="{6E09B73A-D946-4EEE-A6A6-5C6FCD19D73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1712" name="Text Box 192">
          <a:extLst>
            <a:ext uri="{FF2B5EF4-FFF2-40B4-BE49-F238E27FC236}">
              <a16:creationId xmlns:a16="http://schemas.microsoft.com/office/drawing/2014/main" id="{28734C39-D5DF-494D-B4CB-1236079960F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1713" name="Text Box 192">
          <a:extLst>
            <a:ext uri="{FF2B5EF4-FFF2-40B4-BE49-F238E27FC236}">
              <a16:creationId xmlns:a16="http://schemas.microsoft.com/office/drawing/2014/main" id="{C799FF53-D5FF-425E-B77A-CFBFE5E0B96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1714" name="Text Box 192">
          <a:extLst>
            <a:ext uri="{FF2B5EF4-FFF2-40B4-BE49-F238E27FC236}">
              <a16:creationId xmlns:a16="http://schemas.microsoft.com/office/drawing/2014/main" id="{54E0C4FD-DFAC-412F-89B0-48E17BAA70D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1715" name="Text Box 192">
          <a:extLst>
            <a:ext uri="{FF2B5EF4-FFF2-40B4-BE49-F238E27FC236}">
              <a16:creationId xmlns:a16="http://schemas.microsoft.com/office/drawing/2014/main" id="{29915DD6-D65B-436B-8A29-FA5F2C2838C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1716" name="Text Box 192">
          <a:extLst>
            <a:ext uri="{FF2B5EF4-FFF2-40B4-BE49-F238E27FC236}">
              <a16:creationId xmlns:a16="http://schemas.microsoft.com/office/drawing/2014/main" id="{0A75F712-1AE7-418C-A177-073668BEB86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1717" name="Text Box 192">
          <a:extLst>
            <a:ext uri="{FF2B5EF4-FFF2-40B4-BE49-F238E27FC236}">
              <a16:creationId xmlns:a16="http://schemas.microsoft.com/office/drawing/2014/main" id="{A793F8B0-2273-4B30-9CD3-5A5A474EB28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1718" name="Text Box 192">
          <a:extLst>
            <a:ext uri="{FF2B5EF4-FFF2-40B4-BE49-F238E27FC236}">
              <a16:creationId xmlns:a16="http://schemas.microsoft.com/office/drawing/2014/main" id="{44D36BCC-C6AB-468D-A55A-94DA5A4355B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1719" name="Text Box 192">
          <a:extLst>
            <a:ext uri="{FF2B5EF4-FFF2-40B4-BE49-F238E27FC236}">
              <a16:creationId xmlns:a16="http://schemas.microsoft.com/office/drawing/2014/main" id="{86A10E08-51BD-45D3-8EE3-DA1554D541A5}"/>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1720" name="Text Box 192">
          <a:extLst>
            <a:ext uri="{FF2B5EF4-FFF2-40B4-BE49-F238E27FC236}">
              <a16:creationId xmlns:a16="http://schemas.microsoft.com/office/drawing/2014/main" id="{D174921D-2B53-4ECD-B3E8-605692ABA54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1721" name="Text Box 192">
          <a:extLst>
            <a:ext uri="{FF2B5EF4-FFF2-40B4-BE49-F238E27FC236}">
              <a16:creationId xmlns:a16="http://schemas.microsoft.com/office/drawing/2014/main" id="{81DD6546-425F-4C31-87D8-4FBD02A3749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1722" name="Text Box 192">
          <a:extLst>
            <a:ext uri="{FF2B5EF4-FFF2-40B4-BE49-F238E27FC236}">
              <a16:creationId xmlns:a16="http://schemas.microsoft.com/office/drawing/2014/main" id="{3DA7AAFA-A0B3-46CC-9979-D1442B6553E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1723" name="Text Box 192">
          <a:extLst>
            <a:ext uri="{FF2B5EF4-FFF2-40B4-BE49-F238E27FC236}">
              <a16:creationId xmlns:a16="http://schemas.microsoft.com/office/drawing/2014/main" id="{C8976BFD-F415-49F2-B7BF-5C5F5EB2E76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1724" name="Text Box 192">
          <a:extLst>
            <a:ext uri="{FF2B5EF4-FFF2-40B4-BE49-F238E27FC236}">
              <a16:creationId xmlns:a16="http://schemas.microsoft.com/office/drawing/2014/main" id="{2DA878B6-E281-42D2-8036-B584DED36FB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1725" name="Text Box 192">
          <a:extLst>
            <a:ext uri="{FF2B5EF4-FFF2-40B4-BE49-F238E27FC236}">
              <a16:creationId xmlns:a16="http://schemas.microsoft.com/office/drawing/2014/main" id="{F9D82987-ABAA-41CD-B00E-AF09EB6C59D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1726" name="Text Box 192">
          <a:extLst>
            <a:ext uri="{FF2B5EF4-FFF2-40B4-BE49-F238E27FC236}">
              <a16:creationId xmlns:a16="http://schemas.microsoft.com/office/drawing/2014/main" id="{10861523-A98A-4D5D-81EA-3284FA1428F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1727" name="Text Box 192">
          <a:extLst>
            <a:ext uri="{FF2B5EF4-FFF2-40B4-BE49-F238E27FC236}">
              <a16:creationId xmlns:a16="http://schemas.microsoft.com/office/drawing/2014/main" id="{70D13FCA-D491-47E6-ACF9-668B48411BA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1728" name="Text Box 192">
          <a:extLst>
            <a:ext uri="{FF2B5EF4-FFF2-40B4-BE49-F238E27FC236}">
              <a16:creationId xmlns:a16="http://schemas.microsoft.com/office/drawing/2014/main" id="{813553B5-BDEC-4905-BC2A-73D59DCAE0C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1729" name="Text Box 192">
          <a:extLst>
            <a:ext uri="{FF2B5EF4-FFF2-40B4-BE49-F238E27FC236}">
              <a16:creationId xmlns:a16="http://schemas.microsoft.com/office/drawing/2014/main" id="{A2F9730F-212C-44EC-913E-7DC2A8781D8C}"/>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1730" name="Text Box 192">
          <a:extLst>
            <a:ext uri="{FF2B5EF4-FFF2-40B4-BE49-F238E27FC236}">
              <a16:creationId xmlns:a16="http://schemas.microsoft.com/office/drawing/2014/main" id="{F4733133-F02B-41A1-A552-9AF52F26E45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1731" name="Text Box 192">
          <a:extLst>
            <a:ext uri="{FF2B5EF4-FFF2-40B4-BE49-F238E27FC236}">
              <a16:creationId xmlns:a16="http://schemas.microsoft.com/office/drawing/2014/main" id="{876D13E2-DE86-4D29-A7A3-E296BE0B2C7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1732" name="Text Box 192">
          <a:extLst>
            <a:ext uri="{FF2B5EF4-FFF2-40B4-BE49-F238E27FC236}">
              <a16:creationId xmlns:a16="http://schemas.microsoft.com/office/drawing/2014/main" id="{F239B4EE-20C2-4C30-95D9-3265F2F3205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1733" name="Text Box 192">
          <a:extLst>
            <a:ext uri="{FF2B5EF4-FFF2-40B4-BE49-F238E27FC236}">
              <a16:creationId xmlns:a16="http://schemas.microsoft.com/office/drawing/2014/main" id="{0F868823-5EB2-466D-BC1E-D3B7FB9E901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1734" name="Text Box 192">
          <a:extLst>
            <a:ext uri="{FF2B5EF4-FFF2-40B4-BE49-F238E27FC236}">
              <a16:creationId xmlns:a16="http://schemas.microsoft.com/office/drawing/2014/main" id="{2F2A4704-460D-42BD-A943-890F86EB328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1735" name="Text Box 192">
          <a:extLst>
            <a:ext uri="{FF2B5EF4-FFF2-40B4-BE49-F238E27FC236}">
              <a16:creationId xmlns:a16="http://schemas.microsoft.com/office/drawing/2014/main" id="{04C11CF1-057F-4FAC-AAEF-A98F3E51F40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1736" name="Text Box 192">
          <a:extLst>
            <a:ext uri="{FF2B5EF4-FFF2-40B4-BE49-F238E27FC236}">
              <a16:creationId xmlns:a16="http://schemas.microsoft.com/office/drawing/2014/main" id="{F2EE955C-5764-4108-A411-38FE5D3957C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1737" name="Text Box 192">
          <a:extLst>
            <a:ext uri="{FF2B5EF4-FFF2-40B4-BE49-F238E27FC236}">
              <a16:creationId xmlns:a16="http://schemas.microsoft.com/office/drawing/2014/main" id="{E7637BDE-F878-4BD0-9774-BB052E8D5E5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1738" name="Text Box 192">
          <a:extLst>
            <a:ext uri="{FF2B5EF4-FFF2-40B4-BE49-F238E27FC236}">
              <a16:creationId xmlns:a16="http://schemas.microsoft.com/office/drawing/2014/main" id="{59C3880B-B711-4955-807B-9BDA2DF3F1A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1739" name="Text Box 192">
          <a:extLst>
            <a:ext uri="{FF2B5EF4-FFF2-40B4-BE49-F238E27FC236}">
              <a16:creationId xmlns:a16="http://schemas.microsoft.com/office/drawing/2014/main" id="{BCB3A4A4-A36C-4614-A190-C2768BA173B2}"/>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1740" name="Text Box 192">
          <a:extLst>
            <a:ext uri="{FF2B5EF4-FFF2-40B4-BE49-F238E27FC236}">
              <a16:creationId xmlns:a16="http://schemas.microsoft.com/office/drawing/2014/main" id="{1FD86D17-EA3C-4033-A3E1-791EE4BCAAA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1741" name="Text Box 192">
          <a:extLst>
            <a:ext uri="{FF2B5EF4-FFF2-40B4-BE49-F238E27FC236}">
              <a16:creationId xmlns:a16="http://schemas.microsoft.com/office/drawing/2014/main" id="{8B00E046-D591-4806-ABDD-02B26F5FBB7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1742" name="Text Box 192">
          <a:extLst>
            <a:ext uri="{FF2B5EF4-FFF2-40B4-BE49-F238E27FC236}">
              <a16:creationId xmlns:a16="http://schemas.microsoft.com/office/drawing/2014/main" id="{12CD9AE0-2813-4C0C-9222-20814094A92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1743" name="Text Box 192">
          <a:extLst>
            <a:ext uri="{FF2B5EF4-FFF2-40B4-BE49-F238E27FC236}">
              <a16:creationId xmlns:a16="http://schemas.microsoft.com/office/drawing/2014/main" id="{6479B4AE-60BB-4A55-8265-8A89255B62D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1744" name="Text Box 192">
          <a:extLst>
            <a:ext uri="{FF2B5EF4-FFF2-40B4-BE49-F238E27FC236}">
              <a16:creationId xmlns:a16="http://schemas.microsoft.com/office/drawing/2014/main" id="{9FDD8C0A-D55A-4FCD-AC45-98963B18BF3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1745" name="Text Box 192">
          <a:extLst>
            <a:ext uri="{FF2B5EF4-FFF2-40B4-BE49-F238E27FC236}">
              <a16:creationId xmlns:a16="http://schemas.microsoft.com/office/drawing/2014/main" id="{EFF39977-9EEA-4DF2-98A5-B771FB97B42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1746" name="Text Box 192">
          <a:extLst>
            <a:ext uri="{FF2B5EF4-FFF2-40B4-BE49-F238E27FC236}">
              <a16:creationId xmlns:a16="http://schemas.microsoft.com/office/drawing/2014/main" id="{D5716209-B03F-48AF-99B5-669D67118BA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1747" name="Text Box 192">
          <a:extLst>
            <a:ext uri="{FF2B5EF4-FFF2-40B4-BE49-F238E27FC236}">
              <a16:creationId xmlns:a16="http://schemas.microsoft.com/office/drawing/2014/main" id="{5D6418FE-5423-481D-8EC8-4EA62A68D39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1748" name="Text Box 192">
          <a:extLst>
            <a:ext uri="{FF2B5EF4-FFF2-40B4-BE49-F238E27FC236}">
              <a16:creationId xmlns:a16="http://schemas.microsoft.com/office/drawing/2014/main" id="{E305317D-CDBD-4E68-A927-EA780AFCB90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1749" name="Text Box 192">
          <a:extLst>
            <a:ext uri="{FF2B5EF4-FFF2-40B4-BE49-F238E27FC236}">
              <a16:creationId xmlns:a16="http://schemas.microsoft.com/office/drawing/2014/main" id="{3672954B-AB47-4AB0-AF1C-EFA7D8A4B5C4}"/>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1750" name="Text Box 192">
          <a:extLst>
            <a:ext uri="{FF2B5EF4-FFF2-40B4-BE49-F238E27FC236}">
              <a16:creationId xmlns:a16="http://schemas.microsoft.com/office/drawing/2014/main" id="{6430AF91-7AF9-4AAF-8C25-E696AC11A5C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1751" name="Text Box 192">
          <a:extLst>
            <a:ext uri="{FF2B5EF4-FFF2-40B4-BE49-F238E27FC236}">
              <a16:creationId xmlns:a16="http://schemas.microsoft.com/office/drawing/2014/main" id="{78CC6B1B-204F-4A5F-9DC4-E7A441A5D6F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1752" name="Text Box 192">
          <a:extLst>
            <a:ext uri="{FF2B5EF4-FFF2-40B4-BE49-F238E27FC236}">
              <a16:creationId xmlns:a16="http://schemas.microsoft.com/office/drawing/2014/main" id="{B40C7900-A052-4FF7-AC08-7F1424974BB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1753" name="Text Box 192">
          <a:extLst>
            <a:ext uri="{FF2B5EF4-FFF2-40B4-BE49-F238E27FC236}">
              <a16:creationId xmlns:a16="http://schemas.microsoft.com/office/drawing/2014/main" id="{0759977E-F52A-4F95-941E-A5B2DFC8815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1754" name="Text Box 192">
          <a:extLst>
            <a:ext uri="{FF2B5EF4-FFF2-40B4-BE49-F238E27FC236}">
              <a16:creationId xmlns:a16="http://schemas.microsoft.com/office/drawing/2014/main" id="{E7EBA3A5-1AE0-408F-A96C-D7153EBD7EA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1755" name="Text Box 192">
          <a:extLst>
            <a:ext uri="{FF2B5EF4-FFF2-40B4-BE49-F238E27FC236}">
              <a16:creationId xmlns:a16="http://schemas.microsoft.com/office/drawing/2014/main" id="{9CFFFCC9-949D-48A4-B125-7FE0C9C0F7B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1756" name="Text Box 192">
          <a:extLst>
            <a:ext uri="{FF2B5EF4-FFF2-40B4-BE49-F238E27FC236}">
              <a16:creationId xmlns:a16="http://schemas.microsoft.com/office/drawing/2014/main" id="{8850A59E-B7EA-453C-9359-CBDE6DC7667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1757" name="Text Box 192">
          <a:extLst>
            <a:ext uri="{FF2B5EF4-FFF2-40B4-BE49-F238E27FC236}">
              <a16:creationId xmlns:a16="http://schemas.microsoft.com/office/drawing/2014/main" id="{DDA50F2C-4C71-44C8-824D-4833DE3F021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1758" name="Text Box 192">
          <a:extLst>
            <a:ext uri="{FF2B5EF4-FFF2-40B4-BE49-F238E27FC236}">
              <a16:creationId xmlns:a16="http://schemas.microsoft.com/office/drawing/2014/main" id="{26B4497C-1D98-4810-A449-291CB8E36FD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1759" name="Text Box 192">
          <a:extLst>
            <a:ext uri="{FF2B5EF4-FFF2-40B4-BE49-F238E27FC236}">
              <a16:creationId xmlns:a16="http://schemas.microsoft.com/office/drawing/2014/main" id="{4B2440A2-BF5E-44D5-8E45-73A485CBC2E1}"/>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1760" name="Text Box 192">
          <a:extLst>
            <a:ext uri="{FF2B5EF4-FFF2-40B4-BE49-F238E27FC236}">
              <a16:creationId xmlns:a16="http://schemas.microsoft.com/office/drawing/2014/main" id="{1405D53E-C715-44CF-8367-94BEF8594E5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1761" name="Text Box 192">
          <a:extLst>
            <a:ext uri="{FF2B5EF4-FFF2-40B4-BE49-F238E27FC236}">
              <a16:creationId xmlns:a16="http://schemas.microsoft.com/office/drawing/2014/main" id="{055DDA01-AA5F-4B9E-AB3A-A20B8BA1663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1762" name="Text Box 192">
          <a:extLst>
            <a:ext uri="{FF2B5EF4-FFF2-40B4-BE49-F238E27FC236}">
              <a16:creationId xmlns:a16="http://schemas.microsoft.com/office/drawing/2014/main" id="{F8B55457-A9AF-4D2F-8A40-7A9ECD7A854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1763" name="Text Box 192">
          <a:extLst>
            <a:ext uri="{FF2B5EF4-FFF2-40B4-BE49-F238E27FC236}">
              <a16:creationId xmlns:a16="http://schemas.microsoft.com/office/drawing/2014/main" id="{4CF3BCFE-8AED-4842-B423-08582638955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1764" name="Text Box 192">
          <a:extLst>
            <a:ext uri="{FF2B5EF4-FFF2-40B4-BE49-F238E27FC236}">
              <a16:creationId xmlns:a16="http://schemas.microsoft.com/office/drawing/2014/main" id="{A7170292-9212-48E8-8B46-90BDB1BF2AE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1765" name="Text Box 192">
          <a:extLst>
            <a:ext uri="{FF2B5EF4-FFF2-40B4-BE49-F238E27FC236}">
              <a16:creationId xmlns:a16="http://schemas.microsoft.com/office/drawing/2014/main" id="{23A3C602-D8CD-4A29-843A-AD9B3429FCB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1766" name="Text Box 192">
          <a:extLst>
            <a:ext uri="{FF2B5EF4-FFF2-40B4-BE49-F238E27FC236}">
              <a16:creationId xmlns:a16="http://schemas.microsoft.com/office/drawing/2014/main" id="{A6B275D9-0FB6-4734-BF72-F0CF9CE871A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1767" name="Text Box 192">
          <a:extLst>
            <a:ext uri="{FF2B5EF4-FFF2-40B4-BE49-F238E27FC236}">
              <a16:creationId xmlns:a16="http://schemas.microsoft.com/office/drawing/2014/main" id="{ED53C8AE-F75F-4BBA-BF48-009C16EBBD9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1768" name="Text Box 192">
          <a:extLst>
            <a:ext uri="{FF2B5EF4-FFF2-40B4-BE49-F238E27FC236}">
              <a16:creationId xmlns:a16="http://schemas.microsoft.com/office/drawing/2014/main" id="{1A83CA90-DE79-43D9-A33F-AF959CDE8CB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1769" name="Text Box 192">
          <a:extLst>
            <a:ext uri="{FF2B5EF4-FFF2-40B4-BE49-F238E27FC236}">
              <a16:creationId xmlns:a16="http://schemas.microsoft.com/office/drawing/2014/main" id="{9958F757-DD53-4AA1-AC4A-D62DD84D86B4}"/>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1770" name="Text Box 192">
          <a:extLst>
            <a:ext uri="{FF2B5EF4-FFF2-40B4-BE49-F238E27FC236}">
              <a16:creationId xmlns:a16="http://schemas.microsoft.com/office/drawing/2014/main" id="{6DCF74C7-4EE8-446F-B336-812D7193C60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1771" name="Text Box 192">
          <a:extLst>
            <a:ext uri="{FF2B5EF4-FFF2-40B4-BE49-F238E27FC236}">
              <a16:creationId xmlns:a16="http://schemas.microsoft.com/office/drawing/2014/main" id="{5D6E577A-49C7-4C74-B2D7-476EB091F4E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1772" name="Text Box 192">
          <a:extLst>
            <a:ext uri="{FF2B5EF4-FFF2-40B4-BE49-F238E27FC236}">
              <a16:creationId xmlns:a16="http://schemas.microsoft.com/office/drawing/2014/main" id="{8C83CCEE-98A1-43E5-B83B-05B07AB7FBF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1773" name="Text Box 192">
          <a:extLst>
            <a:ext uri="{FF2B5EF4-FFF2-40B4-BE49-F238E27FC236}">
              <a16:creationId xmlns:a16="http://schemas.microsoft.com/office/drawing/2014/main" id="{CA87F3BF-2726-4BA7-9A6A-5561F7BC5D6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1774" name="Text Box 192">
          <a:extLst>
            <a:ext uri="{FF2B5EF4-FFF2-40B4-BE49-F238E27FC236}">
              <a16:creationId xmlns:a16="http://schemas.microsoft.com/office/drawing/2014/main" id="{D31B7C60-9D64-41F2-A34D-C0E1C6D26B7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1775" name="Text Box 192">
          <a:extLst>
            <a:ext uri="{FF2B5EF4-FFF2-40B4-BE49-F238E27FC236}">
              <a16:creationId xmlns:a16="http://schemas.microsoft.com/office/drawing/2014/main" id="{CE9DF30E-F1F9-4079-8FA5-E2F85E4D51D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1776" name="Text Box 192">
          <a:extLst>
            <a:ext uri="{FF2B5EF4-FFF2-40B4-BE49-F238E27FC236}">
              <a16:creationId xmlns:a16="http://schemas.microsoft.com/office/drawing/2014/main" id="{CEA42AF4-B814-4599-93B4-BAB64910AB1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1777" name="Text Box 192">
          <a:extLst>
            <a:ext uri="{FF2B5EF4-FFF2-40B4-BE49-F238E27FC236}">
              <a16:creationId xmlns:a16="http://schemas.microsoft.com/office/drawing/2014/main" id="{1251D910-FFFB-491B-8047-B478A19F29E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1778" name="Text Box 192">
          <a:extLst>
            <a:ext uri="{FF2B5EF4-FFF2-40B4-BE49-F238E27FC236}">
              <a16:creationId xmlns:a16="http://schemas.microsoft.com/office/drawing/2014/main" id="{09018EC5-A044-4DD4-8C11-EF29F6240CC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1779" name="Text Box 192">
          <a:extLst>
            <a:ext uri="{FF2B5EF4-FFF2-40B4-BE49-F238E27FC236}">
              <a16:creationId xmlns:a16="http://schemas.microsoft.com/office/drawing/2014/main" id="{45D897EF-70CE-4271-A677-EF2DF6192ACF}"/>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1780" name="Text Box 192">
          <a:extLst>
            <a:ext uri="{FF2B5EF4-FFF2-40B4-BE49-F238E27FC236}">
              <a16:creationId xmlns:a16="http://schemas.microsoft.com/office/drawing/2014/main" id="{CC8FC779-B809-4097-9517-A8D98B8F24C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1781" name="Text Box 192">
          <a:extLst>
            <a:ext uri="{FF2B5EF4-FFF2-40B4-BE49-F238E27FC236}">
              <a16:creationId xmlns:a16="http://schemas.microsoft.com/office/drawing/2014/main" id="{BC210F33-B8C5-46CD-92F3-0A6CDA076AF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1782" name="Text Box 192">
          <a:extLst>
            <a:ext uri="{FF2B5EF4-FFF2-40B4-BE49-F238E27FC236}">
              <a16:creationId xmlns:a16="http://schemas.microsoft.com/office/drawing/2014/main" id="{1BDE66E9-8643-4ACB-BEBB-D822180AFCE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1783" name="Text Box 192">
          <a:extLst>
            <a:ext uri="{FF2B5EF4-FFF2-40B4-BE49-F238E27FC236}">
              <a16:creationId xmlns:a16="http://schemas.microsoft.com/office/drawing/2014/main" id="{958788E2-93E6-4704-8D35-4EEFD128874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1784" name="Text Box 192">
          <a:extLst>
            <a:ext uri="{FF2B5EF4-FFF2-40B4-BE49-F238E27FC236}">
              <a16:creationId xmlns:a16="http://schemas.microsoft.com/office/drawing/2014/main" id="{766F51B3-4BC2-4E26-A098-75145A5664E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1785" name="Text Box 192">
          <a:extLst>
            <a:ext uri="{FF2B5EF4-FFF2-40B4-BE49-F238E27FC236}">
              <a16:creationId xmlns:a16="http://schemas.microsoft.com/office/drawing/2014/main" id="{CB257979-E93D-49B2-9C75-A9728D753B7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1786" name="Text Box 192">
          <a:extLst>
            <a:ext uri="{FF2B5EF4-FFF2-40B4-BE49-F238E27FC236}">
              <a16:creationId xmlns:a16="http://schemas.microsoft.com/office/drawing/2014/main" id="{B2626A7C-2AE7-4CB4-8598-64E43232F80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1787" name="Text Box 192">
          <a:extLst>
            <a:ext uri="{FF2B5EF4-FFF2-40B4-BE49-F238E27FC236}">
              <a16:creationId xmlns:a16="http://schemas.microsoft.com/office/drawing/2014/main" id="{0891EBAC-D1B7-4C46-A189-F542776B328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1788" name="Text Box 192">
          <a:extLst>
            <a:ext uri="{FF2B5EF4-FFF2-40B4-BE49-F238E27FC236}">
              <a16:creationId xmlns:a16="http://schemas.microsoft.com/office/drawing/2014/main" id="{88F569E8-E53F-45B6-A7B4-314B17CD7D2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1789" name="Text Box 192">
          <a:extLst>
            <a:ext uri="{FF2B5EF4-FFF2-40B4-BE49-F238E27FC236}">
              <a16:creationId xmlns:a16="http://schemas.microsoft.com/office/drawing/2014/main" id="{ADB723E1-D91A-4BFC-A753-14C7FFBC1F00}"/>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1790" name="Text Box 192">
          <a:extLst>
            <a:ext uri="{FF2B5EF4-FFF2-40B4-BE49-F238E27FC236}">
              <a16:creationId xmlns:a16="http://schemas.microsoft.com/office/drawing/2014/main" id="{B90BE92C-AB29-4C3F-AC98-89CC77604F4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1791" name="Text Box 192">
          <a:extLst>
            <a:ext uri="{FF2B5EF4-FFF2-40B4-BE49-F238E27FC236}">
              <a16:creationId xmlns:a16="http://schemas.microsoft.com/office/drawing/2014/main" id="{3DFDDB34-41C7-40A8-B28B-E4AE8B44DC4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1792" name="Text Box 192">
          <a:extLst>
            <a:ext uri="{FF2B5EF4-FFF2-40B4-BE49-F238E27FC236}">
              <a16:creationId xmlns:a16="http://schemas.microsoft.com/office/drawing/2014/main" id="{B2CAF727-93C3-4DB3-8B53-71B8BD12081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1793" name="Text Box 192">
          <a:extLst>
            <a:ext uri="{FF2B5EF4-FFF2-40B4-BE49-F238E27FC236}">
              <a16:creationId xmlns:a16="http://schemas.microsoft.com/office/drawing/2014/main" id="{BFCF0594-C5B0-4CE2-9077-8D70590E55A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1794" name="Text Box 192">
          <a:extLst>
            <a:ext uri="{FF2B5EF4-FFF2-40B4-BE49-F238E27FC236}">
              <a16:creationId xmlns:a16="http://schemas.microsoft.com/office/drawing/2014/main" id="{E3A8F973-3C6D-48B6-8EAD-3F4041A9982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1795" name="Text Box 192">
          <a:extLst>
            <a:ext uri="{FF2B5EF4-FFF2-40B4-BE49-F238E27FC236}">
              <a16:creationId xmlns:a16="http://schemas.microsoft.com/office/drawing/2014/main" id="{C373D393-4714-43F5-A6BE-133B27396F2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1796" name="Text Box 192">
          <a:extLst>
            <a:ext uri="{FF2B5EF4-FFF2-40B4-BE49-F238E27FC236}">
              <a16:creationId xmlns:a16="http://schemas.microsoft.com/office/drawing/2014/main" id="{821DD64C-35DB-4AC1-9B34-730A41F1626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1797" name="Text Box 192">
          <a:extLst>
            <a:ext uri="{FF2B5EF4-FFF2-40B4-BE49-F238E27FC236}">
              <a16:creationId xmlns:a16="http://schemas.microsoft.com/office/drawing/2014/main" id="{791E1728-0D55-4286-92B7-8A2878BC98C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1798" name="Text Box 192">
          <a:extLst>
            <a:ext uri="{FF2B5EF4-FFF2-40B4-BE49-F238E27FC236}">
              <a16:creationId xmlns:a16="http://schemas.microsoft.com/office/drawing/2014/main" id="{87F475DB-1E1D-4E32-96A5-1A853E200C1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1799" name="Text Box 192">
          <a:extLst>
            <a:ext uri="{FF2B5EF4-FFF2-40B4-BE49-F238E27FC236}">
              <a16:creationId xmlns:a16="http://schemas.microsoft.com/office/drawing/2014/main" id="{1F18C0F0-628D-48D7-8AEB-25924BCF4F78}"/>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1800" name="Text Box 192">
          <a:extLst>
            <a:ext uri="{FF2B5EF4-FFF2-40B4-BE49-F238E27FC236}">
              <a16:creationId xmlns:a16="http://schemas.microsoft.com/office/drawing/2014/main" id="{216ACC76-30B5-495F-A084-0269F159FC7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1801" name="Text Box 192">
          <a:extLst>
            <a:ext uri="{FF2B5EF4-FFF2-40B4-BE49-F238E27FC236}">
              <a16:creationId xmlns:a16="http://schemas.microsoft.com/office/drawing/2014/main" id="{1C7DEEAA-0294-4537-8A37-827469DEAB2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1802" name="Text Box 192">
          <a:extLst>
            <a:ext uri="{FF2B5EF4-FFF2-40B4-BE49-F238E27FC236}">
              <a16:creationId xmlns:a16="http://schemas.microsoft.com/office/drawing/2014/main" id="{D258E104-2EAF-4AB6-AA5D-EA6816F304E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1803" name="Text Box 192">
          <a:extLst>
            <a:ext uri="{FF2B5EF4-FFF2-40B4-BE49-F238E27FC236}">
              <a16:creationId xmlns:a16="http://schemas.microsoft.com/office/drawing/2014/main" id="{C94EA357-D29C-40E0-A6F9-FDB96A1703D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1804" name="Text Box 192">
          <a:extLst>
            <a:ext uri="{FF2B5EF4-FFF2-40B4-BE49-F238E27FC236}">
              <a16:creationId xmlns:a16="http://schemas.microsoft.com/office/drawing/2014/main" id="{D0265E3A-87EC-4548-8E51-079591660E6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1805" name="Text Box 192">
          <a:extLst>
            <a:ext uri="{FF2B5EF4-FFF2-40B4-BE49-F238E27FC236}">
              <a16:creationId xmlns:a16="http://schemas.microsoft.com/office/drawing/2014/main" id="{AB672C17-2188-4D3B-B8A9-14935820799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1806" name="Text Box 192">
          <a:extLst>
            <a:ext uri="{FF2B5EF4-FFF2-40B4-BE49-F238E27FC236}">
              <a16:creationId xmlns:a16="http://schemas.microsoft.com/office/drawing/2014/main" id="{1431D1D2-CB1B-4973-A27E-3E8AFCC6492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1807" name="Text Box 192">
          <a:extLst>
            <a:ext uri="{FF2B5EF4-FFF2-40B4-BE49-F238E27FC236}">
              <a16:creationId xmlns:a16="http://schemas.microsoft.com/office/drawing/2014/main" id="{127B5352-A5D2-436E-B64F-DE6655B2147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1808" name="Text Box 192">
          <a:extLst>
            <a:ext uri="{FF2B5EF4-FFF2-40B4-BE49-F238E27FC236}">
              <a16:creationId xmlns:a16="http://schemas.microsoft.com/office/drawing/2014/main" id="{279D1C0C-A86F-4733-9586-E9A30852230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1809" name="Text Box 192">
          <a:extLst>
            <a:ext uri="{FF2B5EF4-FFF2-40B4-BE49-F238E27FC236}">
              <a16:creationId xmlns:a16="http://schemas.microsoft.com/office/drawing/2014/main" id="{1F13DF2A-05F3-4443-A062-526720F6A41F}"/>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1810" name="Text Box 192">
          <a:extLst>
            <a:ext uri="{FF2B5EF4-FFF2-40B4-BE49-F238E27FC236}">
              <a16:creationId xmlns:a16="http://schemas.microsoft.com/office/drawing/2014/main" id="{E29DB941-49B8-4C1D-9E90-D7D2796D37E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1811" name="Text Box 192">
          <a:extLst>
            <a:ext uri="{FF2B5EF4-FFF2-40B4-BE49-F238E27FC236}">
              <a16:creationId xmlns:a16="http://schemas.microsoft.com/office/drawing/2014/main" id="{C7A08F2F-3A0F-40DC-A947-D11AD51660F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1812" name="Text Box 192">
          <a:extLst>
            <a:ext uri="{FF2B5EF4-FFF2-40B4-BE49-F238E27FC236}">
              <a16:creationId xmlns:a16="http://schemas.microsoft.com/office/drawing/2014/main" id="{3D21AE28-77D9-4D2C-AF68-DF01D0927C8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1813" name="Text Box 192">
          <a:extLst>
            <a:ext uri="{FF2B5EF4-FFF2-40B4-BE49-F238E27FC236}">
              <a16:creationId xmlns:a16="http://schemas.microsoft.com/office/drawing/2014/main" id="{57D333DC-8422-4562-B424-C68AC09BECD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1814" name="Text Box 192">
          <a:extLst>
            <a:ext uri="{FF2B5EF4-FFF2-40B4-BE49-F238E27FC236}">
              <a16:creationId xmlns:a16="http://schemas.microsoft.com/office/drawing/2014/main" id="{2352190B-FC6E-4004-B9F6-30F045686F6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1815" name="Text Box 192">
          <a:extLst>
            <a:ext uri="{FF2B5EF4-FFF2-40B4-BE49-F238E27FC236}">
              <a16:creationId xmlns:a16="http://schemas.microsoft.com/office/drawing/2014/main" id="{5C5BD2E8-C7E6-476E-98AA-58AEA507335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1816" name="Text Box 192">
          <a:extLst>
            <a:ext uri="{FF2B5EF4-FFF2-40B4-BE49-F238E27FC236}">
              <a16:creationId xmlns:a16="http://schemas.microsoft.com/office/drawing/2014/main" id="{4FC7833F-095B-4B8A-B20E-6A3786ABC5E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1817" name="Text Box 192">
          <a:extLst>
            <a:ext uri="{FF2B5EF4-FFF2-40B4-BE49-F238E27FC236}">
              <a16:creationId xmlns:a16="http://schemas.microsoft.com/office/drawing/2014/main" id="{D730F0A7-C580-406A-A423-6B45D3C1688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1818" name="Text Box 192">
          <a:extLst>
            <a:ext uri="{FF2B5EF4-FFF2-40B4-BE49-F238E27FC236}">
              <a16:creationId xmlns:a16="http://schemas.microsoft.com/office/drawing/2014/main" id="{1CC8BF2B-6D2F-40F5-9DF6-C94DB24C99B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1819" name="Text Box 192">
          <a:extLst>
            <a:ext uri="{FF2B5EF4-FFF2-40B4-BE49-F238E27FC236}">
              <a16:creationId xmlns:a16="http://schemas.microsoft.com/office/drawing/2014/main" id="{064956AC-1865-4763-BE7F-758D7F6ADD69}"/>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1820" name="Text Box 192">
          <a:extLst>
            <a:ext uri="{FF2B5EF4-FFF2-40B4-BE49-F238E27FC236}">
              <a16:creationId xmlns:a16="http://schemas.microsoft.com/office/drawing/2014/main" id="{B57D2525-1B85-4CC7-8818-38E8910E274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1821" name="Text Box 192">
          <a:extLst>
            <a:ext uri="{FF2B5EF4-FFF2-40B4-BE49-F238E27FC236}">
              <a16:creationId xmlns:a16="http://schemas.microsoft.com/office/drawing/2014/main" id="{547342ED-8B15-45A0-918A-45B85A8197D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1822" name="Text Box 192">
          <a:extLst>
            <a:ext uri="{FF2B5EF4-FFF2-40B4-BE49-F238E27FC236}">
              <a16:creationId xmlns:a16="http://schemas.microsoft.com/office/drawing/2014/main" id="{BCCB6D33-29CE-4B18-8F02-8AC78A1C55B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1823" name="Text Box 192">
          <a:extLst>
            <a:ext uri="{FF2B5EF4-FFF2-40B4-BE49-F238E27FC236}">
              <a16:creationId xmlns:a16="http://schemas.microsoft.com/office/drawing/2014/main" id="{83CE6B7B-4734-4043-AB25-8643C49C72C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1824" name="Text Box 192">
          <a:extLst>
            <a:ext uri="{FF2B5EF4-FFF2-40B4-BE49-F238E27FC236}">
              <a16:creationId xmlns:a16="http://schemas.microsoft.com/office/drawing/2014/main" id="{3629FE77-EC85-4403-A544-F70E44833DA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1825" name="Text Box 192">
          <a:extLst>
            <a:ext uri="{FF2B5EF4-FFF2-40B4-BE49-F238E27FC236}">
              <a16:creationId xmlns:a16="http://schemas.microsoft.com/office/drawing/2014/main" id="{E6672C9D-4B32-4A49-B7B3-F77805B95C6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1826" name="Text Box 192">
          <a:extLst>
            <a:ext uri="{FF2B5EF4-FFF2-40B4-BE49-F238E27FC236}">
              <a16:creationId xmlns:a16="http://schemas.microsoft.com/office/drawing/2014/main" id="{CC248CB9-5911-4564-B816-ED3486A3B4A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1827" name="Text Box 192">
          <a:extLst>
            <a:ext uri="{FF2B5EF4-FFF2-40B4-BE49-F238E27FC236}">
              <a16:creationId xmlns:a16="http://schemas.microsoft.com/office/drawing/2014/main" id="{AB619CD3-59C1-4577-9EA7-A87268BF548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1828" name="Text Box 192">
          <a:extLst>
            <a:ext uri="{FF2B5EF4-FFF2-40B4-BE49-F238E27FC236}">
              <a16:creationId xmlns:a16="http://schemas.microsoft.com/office/drawing/2014/main" id="{41FDF995-9832-4301-83CB-303A9037635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213</xdr:row>
      <xdr:rowOff>0</xdr:rowOff>
    </xdr:from>
    <xdr:ext cx="10372" cy="228955"/>
    <xdr:sp macro="" textlink="">
      <xdr:nvSpPr>
        <xdr:cNvPr id="1829" name="Text Box 192">
          <a:extLst>
            <a:ext uri="{FF2B5EF4-FFF2-40B4-BE49-F238E27FC236}">
              <a16:creationId xmlns:a16="http://schemas.microsoft.com/office/drawing/2014/main" id="{3DAE2282-7B7E-4A64-A70C-829E3B287F83}"/>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1830" name="Text Box 192">
          <a:extLst>
            <a:ext uri="{FF2B5EF4-FFF2-40B4-BE49-F238E27FC236}">
              <a16:creationId xmlns:a16="http://schemas.microsoft.com/office/drawing/2014/main" id="{9926D293-B642-42ED-9C5E-D4669A5AFCC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1831" name="Text Box 192">
          <a:extLst>
            <a:ext uri="{FF2B5EF4-FFF2-40B4-BE49-F238E27FC236}">
              <a16:creationId xmlns:a16="http://schemas.microsoft.com/office/drawing/2014/main" id="{239D2D1F-243D-4E40-B478-6C7D1B9D3EF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1832" name="Text Box 192">
          <a:extLst>
            <a:ext uri="{FF2B5EF4-FFF2-40B4-BE49-F238E27FC236}">
              <a16:creationId xmlns:a16="http://schemas.microsoft.com/office/drawing/2014/main" id="{6AA1F24C-A1BF-4A72-8838-8D4B9AC432F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1833" name="Text Box 192">
          <a:extLst>
            <a:ext uri="{FF2B5EF4-FFF2-40B4-BE49-F238E27FC236}">
              <a16:creationId xmlns:a16="http://schemas.microsoft.com/office/drawing/2014/main" id="{53AB83A9-A9F9-4D51-BF7C-6CFE78AF111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1834" name="Text Box 192">
          <a:extLst>
            <a:ext uri="{FF2B5EF4-FFF2-40B4-BE49-F238E27FC236}">
              <a16:creationId xmlns:a16="http://schemas.microsoft.com/office/drawing/2014/main" id="{F246C341-91B7-4597-BAC5-8BF9055A7C1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1835" name="Text Box 192">
          <a:extLst>
            <a:ext uri="{FF2B5EF4-FFF2-40B4-BE49-F238E27FC236}">
              <a16:creationId xmlns:a16="http://schemas.microsoft.com/office/drawing/2014/main" id="{5ACEAAC8-4F40-4E9B-801B-5AAB76C35EF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1836" name="Text Box 192">
          <a:extLst>
            <a:ext uri="{FF2B5EF4-FFF2-40B4-BE49-F238E27FC236}">
              <a16:creationId xmlns:a16="http://schemas.microsoft.com/office/drawing/2014/main" id="{BF4A8FC4-7AF2-49B0-A415-A5420DEFCAA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1837" name="Text Box 192">
          <a:extLst>
            <a:ext uri="{FF2B5EF4-FFF2-40B4-BE49-F238E27FC236}">
              <a16:creationId xmlns:a16="http://schemas.microsoft.com/office/drawing/2014/main" id="{7E0AB22E-7842-4A55-A077-8C57E44CDD5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1838" name="Text Box 192">
          <a:extLst>
            <a:ext uri="{FF2B5EF4-FFF2-40B4-BE49-F238E27FC236}">
              <a16:creationId xmlns:a16="http://schemas.microsoft.com/office/drawing/2014/main" id="{0F402EE9-EAAE-431E-A5AC-D094647B42D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1839" name="Text Box 192">
          <a:extLst>
            <a:ext uri="{FF2B5EF4-FFF2-40B4-BE49-F238E27FC236}">
              <a16:creationId xmlns:a16="http://schemas.microsoft.com/office/drawing/2014/main" id="{27D44972-77C7-4453-BCF6-4DFDAB6775C5}"/>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1840" name="Text Box 192">
          <a:extLst>
            <a:ext uri="{FF2B5EF4-FFF2-40B4-BE49-F238E27FC236}">
              <a16:creationId xmlns:a16="http://schemas.microsoft.com/office/drawing/2014/main" id="{11C3705B-8A3C-4112-BF55-63D67C8C827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1841" name="Text Box 192">
          <a:extLst>
            <a:ext uri="{FF2B5EF4-FFF2-40B4-BE49-F238E27FC236}">
              <a16:creationId xmlns:a16="http://schemas.microsoft.com/office/drawing/2014/main" id="{195B6F02-A0EF-4155-B8DB-5154A2240E1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1842" name="Text Box 192">
          <a:extLst>
            <a:ext uri="{FF2B5EF4-FFF2-40B4-BE49-F238E27FC236}">
              <a16:creationId xmlns:a16="http://schemas.microsoft.com/office/drawing/2014/main" id="{B0799C65-AEEF-491B-82F3-FA0E29D70D5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1843" name="Text Box 192">
          <a:extLst>
            <a:ext uri="{FF2B5EF4-FFF2-40B4-BE49-F238E27FC236}">
              <a16:creationId xmlns:a16="http://schemas.microsoft.com/office/drawing/2014/main" id="{2B231447-F3E1-4CF9-B952-571078CF0DF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1844" name="Text Box 192">
          <a:extLst>
            <a:ext uri="{FF2B5EF4-FFF2-40B4-BE49-F238E27FC236}">
              <a16:creationId xmlns:a16="http://schemas.microsoft.com/office/drawing/2014/main" id="{62FD2AB8-98FD-46BB-A93B-C1F5FE41D5F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1845" name="Text Box 192">
          <a:extLst>
            <a:ext uri="{FF2B5EF4-FFF2-40B4-BE49-F238E27FC236}">
              <a16:creationId xmlns:a16="http://schemas.microsoft.com/office/drawing/2014/main" id="{2A2C1A8F-47AA-4DA8-A191-605BC1B7626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1846" name="Text Box 192">
          <a:extLst>
            <a:ext uri="{FF2B5EF4-FFF2-40B4-BE49-F238E27FC236}">
              <a16:creationId xmlns:a16="http://schemas.microsoft.com/office/drawing/2014/main" id="{CD0B3E9C-E0FD-481F-B722-618A1A9E72F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1847" name="Text Box 192">
          <a:extLst>
            <a:ext uri="{FF2B5EF4-FFF2-40B4-BE49-F238E27FC236}">
              <a16:creationId xmlns:a16="http://schemas.microsoft.com/office/drawing/2014/main" id="{ADC4FA3F-C240-42FB-8683-DC89B78848E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1848" name="Text Box 192">
          <a:extLst>
            <a:ext uri="{FF2B5EF4-FFF2-40B4-BE49-F238E27FC236}">
              <a16:creationId xmlns:a16="http://schemas.microsoft.com/office/drawing/2014/main" id="{32BB7B36-667D-4C60-AC65-B5E5EB8A66D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1849" name="Text Box 192">
          <a:extLst>
            <a:ext uri="{FF2B5EF4-FFF2-40B4-BE49-F238E27FC236}">
              <a16:creationId xmlns:a16="http://schemas.microsoft.com/office/drawing/2014/main" id="{9CFBD822-184C-45B9-8C82-F374AC7F7523}"/>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1850" name="Text Box 192">
          <a:extLst>
            <a:ext uri="{FF2B5EF4-FFF2-40B4-BE49-F238E27FC236}">
              <a16:creationId xmlns:a16="http://schemas.microsoft.com/office/drawing/2014/main" id="{0AAD2620-7CED-46DA-86AC-34CAE2ABA36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1851" name="Text Box 192">
          <a:extLst>
            <a:ext uri="{FF2B5EF4-FFF2-40B4-BE49-F238E27FC236}">
              <a16:creationId xmlns:a16="http://schemas.microsoft.com/office/drawing/2014/main" id="{41149700-2F67-4085-B09E-91C6BA5A20E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1852" name="Text Box 192">
          <a:extLst>
            <a:ext uri="{FF2B5EF4-FFF2-40B4-BE49-F238E27FC236}">
              <a16:creationId xmlns:a16="http://schemas.microsoft.com/office/drawing/2014/main" id="{4C0C866C-32F3-4510-BF67-611460CDD77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1853" name="Text Box 192">
          <a:extLst>
            <a:ext uri="{FF2B5EF4-FFF2-40B4-BE49-F238E27FC236}">
              <a16:creationId xmlns:a16="http://schemas.microsoft.com/office/drawing/2014/main" id="{C2CB827C-32FF-4AD8-A530-9C12FD7A1AF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1854" name="Text Box 192">
          <a:extLst>
            <a:ext uri="{FF2B5EF4-FFF2-40B4-BE49-F238E27FC236}">
              <a16:creationId xmlns:a16="http://schemas.microsoft.com/office/drawing/2014/main" id="{A1A4CBBF-37D8-48AB-A025-0B6FEC16140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1855" name="Text Box 192">
          <a:extLst>
            <a:ext uri="{FF2B5EF4-FFF2-40B4-BE49-F238E27FC236}">
              <a16:creationId xmlns:a16="http://schemas.microsoft.com/office/drawing/2014/main" id="{037BF152-9351-40CE-AE2E-96B965CBD80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1856" name="Text Box 192">
          <a:extLst>
            <a:ext uri="{FF2B5EF4-FFF2-40B4-BE49-F238E27FC236}">
              <a16:creationId xmlns:a16="http://schemas.microsoft.com/office/drawing/2014/main" id="{A68C43E6-B382-49BE-BEAE-D47D455B6A7C}"/>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1857" name="Text Box 192">
          <a:extLst>
            <a:ext uri="{FF2B5EF4-FFF2-40B4-BE49-F238E27FC236}">
              <a16:creationId xmlns:a16="http://schemas.microsoft.com/office/drawing/2014/main" id="{812F5092-60CC-4242-847B-5BAA0D018D2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1858" name="Text Box 192">
          <a:extLst>
            <a:ext uri="{FF2B5EF4-FFF2-40B4-BE49-F238E27FC236}">
              <a16:creationId xmlns:a16="http://schemas.microsoft.com/office/drawing/2014/main" id="{23A93094-3AB7-4E10-B86A-D0F4B38566D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1859" name="Text Box 192">
          <a:extLst>
            <a:ext uri="{FF2B5EF4-FFF2-40B4-BE49-F238E27FC236}">
              <a16:creationId xmlns:a16="http://schemas.microsoft.com/office/drawing/2014/main" id="{DC455D3A-02A6-460F-9895-1DE7C787C38B}"/>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1860" name="Text Box 192">
          <a:extLst>
            <a:ext uri="{FF2B5EF4-FFF2-40B4-BE49-F238E27FC236}">
              <a16:creationId xmlns:a16="http://schemas.microsoft.com/office/drawing/2014/main" id="{0F6C801D-5B25-4310-94B4-E61CE7B9905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1861" name="Text Box 192">
          <a:extLst>
            <a:ext uri="{FF2B5EF4-FFF2-40B4-BE49-F238E27FC236}">
              <a16:creationId xmlns:a16="http://schemas.microsoft.com/office/drawing/2014/main" id="{27B3B7E7-9DDB-4066-BD94-2BF3D3641ED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1862" name="Text Box 192">
          <a:extLst>
            <a:ext uri="{FF2B5EF4-FFF2-40B4-BE49-F238E27FC236}">
              <a16:creationId xmlns:a16="http://schemas.microsoft.com/office/drawing/2014/main" id="{D9EE0FD3-43FB-47D5-8117-EBDB45CFC72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1863" name="Text Box 192">
          <a:extLst>
            <a:ext uri="{FF2B5EF4-FFF2-40B4-BE49-F238E27FC236}">
              <a16:creationId xmlns:a16="http://schemas.microsoft.com/office/drawing/2014/main" id="{E00BD232-97D0-4D6B-A327-7251B437CBE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1864" name="Text Box 192">
          <a:extLst>
            <a:ext uri="{FF2B5EF4-FFF2-40B4-BE49-F238E27FC236}">
              <a16:creationId xmlns:a16="http://schemas.microsoft.com/office/drawing/2014/main" id="{FBA4F575-B4B5-41C1-ADB5-E2D0C4A8EC3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1865" name="Text Box 192">
          <a:extLst>
            <a:ext uri="{FF2B5EF4-FFF2-40B4-BE49-F238E27FC236}">
              <a16:creationId xmlns:a16="http://schemas.microsoft.com/office/drawing/2014/main" id="{E8CF41AE-76F6-4504-8E22-6886A6BFBF2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1866" name="Text Box 192">
          <a:extLst>
            <a:ext uri="{FF2B5EF4-FFF2-40B4-BE49-F238E27FC236}">
              <a16:creationId xmlns:a16="http://schemas.microsoft.com/office/drawing/2014/main" id="{9A7C4C7F-D7BE-43BA-9644-88DDD676D97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1867" name="Text Box 192">
          <a:extLst>
            <a:ext uri="{FF2B5EF4-FFF2-40B4-BE49-F238E27FC236}">
              <a16:creationId xmlns:a16="http://schemas.microsoft.com/office/drawing/2014/main" id="{FAE979EC-2C63-4C5F-A681-1F2A73852F6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1868" name="Text Box 192">
          <a:extLst>
            <a:ext uri="{FF2B5EF4-FFF2-40B4-BE49-F238E27FC236}">
              <a16:creationId xmlns:a16="http://schemas.microsoft.com/office/drawing/2014/main" id="{41F93E75-A89F-473C-8797-A2F481458F0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219</xdr:row>
      <xdr:rowOff>0</xdr:rowOff>
    </xdr:from>
    <xdr:ext cx="10372" cy="228955"/>
    <xdr:sp macro="" textlink="">
      <xdr:nvSpPr>
        <xdr:cNvPr id="1869" name="Text Box 192">
          <a:extLst>
            <a:ext uri="{FF2B5EF4-FFF2-40B4-BE49-F238E27FC236}">
              <a16:creationId xmlns:a16="http://schemas.microsoft.com/office/drawing/2014/main" id="{854AA8FF-78E8-43FB-B92E-B6A22529F0A4}"/>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1870" name="Text Box 192">
          <a:extLst>
            <a:ext uri="{FF2B5EF4-FFF2-40B4-BE49-F238E27FC236}">
              <a16:creationId xmlns:a16="http://schemas.microsoft.com/office/drawing/2014/main" id="{09A82FD7-2008-4D30-ADB2-E7FB8A282A8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1871" name="Text Box 192">
          <a:extLst>
            <a:ext uri="{FF2B5EF4-FFF2-40B4-BE49-F238E27FC236}">
              <a16:creationId xmlns:a16="http://schemas.microsoft.com/office/drawing/2014/main" id="{BF0A52F2-6569-4633-AFCA-CE6180C32A8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1872" name="Text Box 192">
          <a:extLst>
            <a:ext uri="{FF2B5EF4-FFF2-40B4-BE49-F238E27FC236}">
              <a16:creationId xmlns:a16="http://schemas.microsoft.com/office/drawing/2014/main" id="{B8B1322C-147D-46D6-B6A5-2AB4A76EC4D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1873" name="Text Box 192">
          <a:extLst>
            <a:ext uri="{FF2B5EF4-FFF2-40B4-BE49-F238E27FC236}">
              <a16:creationId xmlns:a16="http://schemas.microsoft.com/office/drawing/2014/main" id="{515F4E5F-15D6-4426-82FD-9378383402DE}"/>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1874" name="Text Box 192">
          <a:extLst>
            <a:ext uri="{FF2B5EF4-FFF2-40B4-BE49-F238E27FC236}">
              <a16:creationId xmlns:a16="http://schemas.microsoft.com/office/drawing/2014/main" id="{36218B99-29AC-4813-B2AD-1BF2D648232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1875" name="Text Box 192">
          <a:extLst>
            <a:ext uri="{FF2B5EF4-FFF2-40B4-BE49-F238E27FC236}">
              <a16:creationId xmlns:a16="http://schemas.microsoft.com/office/drawing/2014/main" id="{9B5081CC-45BB-4A2C-A3EF-2E1FD220E8A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1876" name="Text Box 192">
          <a:extLst>
            <a:ext uri="{FF2B5EF4-FFF2-40B4-BE49-F238E27FC236}">
              <a16:creationId xmlns:a16="http://schemas.microsoft.com/office/drawing/2014/main" id="{B8C7BC12-F657-4019-9DA9-6B7A4912E64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1877" name="Text Box 192">
          <a:extLst>
            <a:ext uri="{FF2B5EF4-FFF2-40B4-BE49-F238E27FC236}">
              <a16:creationId xmlns:a16="http://schemas.microsoft.com/office/drawing/2014/main" id="{E9ABDF09-7658-49EC-9DE8-D57032C7D3E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1878" name="Text Box 192">
          <a:extLst>
            <a:ext uri="{FF2B5EF4-FFF2-40B4-BE49-F238E27FC236}">
              <a16:creationId xmlns:a16="http://schemas.microsoft.com/office/drawing/2014/main" id="{29C93313-81C1-4CB8-80C1-CE85284EC77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1879" name="Text Box 192">
          <a:extLst>
            <a:ext uri="{FF2B5EF4-FFF2-40B4-BE49-F238E27FC236}">
              <a16:creationId xmlns:a16="http://schemas.microsoft.com/office/drawing/2014/main" id="{FB187D89-3262-4153-ACE4-CA92F98DA987}"/>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1880" name="Text Box 192">
          <a:extLst>
            <a:ext uri="{FF2B5EF4-FFF2-40B4-BE49-F238E27FC236}">
              <a16:creationId xmlns:a16="http://schemas.microsoft.com/office/drawing/2014/main" id="{CD5F0E82-3B24-4787-AD5E-3D60E3B3E10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1881" name="Text Box 192">
          <a:extLst>
            <a:ext uri="{FF2B5EF4-FFF2-40B4-BE49-F238E27FC236}">
              <a16:creationId xmlns:a16="http://schemas.microsoft.com/office/drawing/2014/main" id="{CBC7ED09-7D17-4A44-93F1-24CC679440B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1882" name="Text Box 192">
          <a:extLst>
            <a:ext uri="{FF2B5EF4-FFF2-40B4-BE49-F238E27FC236}">
              <a16:creationId xmlns:a16="http://schemas.microsoft.com/office/drawing/2014/main" id="{9EE73675-53FB-4B9F-8DCC-E2BDF76CAFD3}"/>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1883" name="Text Box 192">
          <a:extLst>
            <a:ext uri="{FF2B5EF4-FFF2-40B4-BE49-F238E27FC236}">
              <a16:creationId xmlns:a16="http://schemas.microsoft.com/office/drawing/2014/main" id="{D954F20F-0F73-476E-9D6D-90590C8A2465}"/>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1884" name="Text Box 192">
          <a:extLst>
            <a:ext uri="{FF2B5EF4-FFF2-40B4-BE49-F238E27FC236}">
              <a16:creationId xmlns:a16="http://schemas.microsoft.com/office/drawing/2014/main" id="{54CA6CBA-5ABA-42D7-9A5E-9713DFBE0CD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1885" name="Text Box 192">
          <a:extLst>
            <a:ext uri="{FF2B5EF4-FFF2-40B4-BE49-F238E27FC236}">
              <a16:creationId xmlns:a16="http://schemas.microsoft.com/office/drawing/2014/main" id="{9A16BF9F-75FA-4166-9826-79364658BC11}"/>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1886" name="Text Box 192">
          <a:extLst>
            <a:ext uri="{FF2B5EF4-FFF2-40B4-BE49-F238E27FC236}">
              <a16:creationId xmlns:a16="http://schemas.microsoft.com/office/drawing/2014/main" id="{CE7616CA-EBE4-446D-BEA5-D340D85C9A1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1887" name="Text Box 192">
          <a:extLst>
            <a:ext uri="{FF2B5EF4-FFF2-40B4-BE49-F238E27FC236}">
              <a16:creationId xmlns:a16="http://schemas.microsoft.com/office/drawing/2014/main" id="{B8ACD4E9-9C67-486A-B8BF-F2D10ECB5EC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1888" name="Text Box 192">
          <a:extLst>
            <a:ext uri="{FF2B5EF4-FFF2-40B4-BE49-F238E27FC236}">
              <a16:creationId xmlns:a16="http://schemas.microsoft.com/office/drawing/2014/main" id="{60561947-ECAA-4F53-B0FC-5A2C2AA934FD}"/>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1889" name="Text Box 192">
          <a:extLst>
            <a:ext uri="{FF2B5EF4-FFF2-40B4-BE49-F238E27FC236}">
              <a16:creationId xmlns:a16="http://schemas.microsoft.com/office/drawing/2014/main" id="{88BB79FD-C079-4695-8ADE-579EF03E72AD}"/>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1890" name="Text Box 192">
          <a:extLst>
            <a:ext uri="{FF2B5EF4-FFF2-40B4-BE49-F238E27FC236}">
              <a16:creationId xmlns:a16="http://schemas.microsoft.com/office/drawing/2014/main" id="{D08ECC84-8740-4E53-9838-E8E77BC231F9}"/>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1891" name="Text Box 192">
          <a:extLst>
            <a:ext uri="{FF2B5EF4-FFF2-40B4-BE49-F238E27FC236}">
              <a16:creationId xmlns:a16="http://schemas.microsoft.com/office/drawing/2014/main" id="{4DA985BA-5D61-4CE9-9D17-E38188C3E17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1892" name="Text Box 192">
          <a:extLst>
            <a:ext uri="{FF2B5EF4-FFF2-40B4-BE49-F238E27FC236}">
              <a16:creationId xmlns:a16="http://schemas.microsoft.com/office/drawing/2014/main" id="{99DBBA5D-3883-436A-919C-D1AF8E0C770B}"/>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1893" name="Text Box 192">
          <a:extLst>
            <a:ext uri="{FF2B5EF4-FFF2-40B4-BE49-F238E27FC236}">
              <a16:creationId xmlns:a16="http://schemas.microsoft.com/office/drawing/2014/main" id="{C96B9A73-67BD-42BE-BC79-11ACD294AAA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1894" name="Text Box 192">
          <a:extLst>
            <a:ext uri="{FF2B5EF4-FFF2-40B4-BE49-F238E27FC236}">
              <a16:creationId xmlns:a16="http://schemas.microsoft.com/office/drawing/2014/main" id="{CEC51608-A7C3-43E1-AE7C-AB135D4B03E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1895" name="Text Box 192">
          <a:extLst>
            <a:ext uri="{FF2B5EF4-FFF2-40B4-BE49-F238E27FC236}">
              <a16:creationId xmlns:a16="http://schemas.microsoft.com/office/drawing/2014/main" id="{E683E990-A5F4-4A1D-A750-10BCE607C96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1896" name="Text Box 192">
          <a:extLst>
            <a:ext uri="{FF2B5EF4-FFF2-40B4-BE49-F238E27FC236}">
              <a16:creationId xmlns:a16="http://schemas.microsoft.com/office/drawing/2014/main" id="{53C7E9AD-DA41-4A83-8214-3AED02A2B0A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1897" name="Text Box 192">
          <a:extLst>
            <a:ext uri="{FF2B5EF4-FFF2-40B4-BE49-F238E27FC236}">
              <a16:creationId xmlns:a16="http://schemas.microsoft.com/office/drawing/2014/main" id="{A8B995AF-D4F7-44E3-9D7E-6895258BAEF7}"/>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1898" name="Text Box 192">
          <a:extLst>
            <a:ext uri="{FF2B5EF4-FFF2-40B4-BE49-F238E27FC236}">
              <a16:creationId xmlns:a16="http://schemas.microsoft.com/office/drawing/2014/main" id="{EDD0EDBB-5C1E-4E9F-A60F-C84E7A4A800F}"/>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1899" name="Text Box 192">
          <a:extLst>
            <a:ext uri="{FF2B5EF4-FFF2-40B4-BE49-F238E27FC236}">
              <a16:creationId xmlns:a16="http://schemas.microsoft.com/office/drawing/2014/main" id="{9EE55416-A468-4BFC-8597-10E72ED407A5}"/>
            </a:ext>
          </a:extLst>
        </xdr:cNvPr>
        <xdr:cNvSpPr txBox="1">
          <a:spLocks noChangeArrowheads="1"/>
        </xdr:cNvSpPr>
      </xdr:nvSpPr>
      <xdr:spPr bwMode="auto">
        <a:xfrm>
          <a:off x="24718006" y="3657600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1900" name="Text Box 192">
          <a:extLst>
            <a:ext uri="{FF2B5EF4-FFF2-40B4-BE49-F238E27FC236}">
              <a16:creationId xmlns:a16="http://schemas.microsoft.com/office/drawing/2014/main" id="{A8D0B91E-7AEE-4B42-AEC8-F045AED74C8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1901" name="Text Box 192">
          <a:extLst>
            <a:ext uri="{FF2B5EF4-FFF2-40B4-BE49-F238E27FC236}">
              <a16:creationId xmlns:a16="http://schemas.microsoft.com/office/drawing/2014/main" id="{DE7630B3-2B5C-49DB-B50C-8C8ACC1D383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1902" name="Text Box 192">
          <a:extLst>
            <a:ext uri="{FF2B5EF4-FFF2-40B4-BE49-F238E27FC236}">
              <a16:creationId xmlns:a16="http://schemas.microsoft.com/office/drawing/2014/main" id="{92BB1A5C-254B-410D-9C02-EC934AAD19E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1903" name="Text Box 192">
          <a:extLst>
            <a:ext uri="{FF2B5EF4-FFF2-40B4-BE49-F238E27FC236}">
              <a16:creationId xmlns:a16="http://schemas.microsoft.com/office/drawing/2014/main" id="{FE492C88-B795-49AA-A5A9-2C2DACCC8F4A}"/>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1904" name="Text Box 192">
          <a:extLst>
            <a:ext uri="{FF2B5EF4-FFF2-40B4-BE49-F238E27FC236}">
              <a16:creationId xmlns:a16="http://schemas.microsoft.com/office/drawing/2014/main" id="{E54B9CBE-74E6-405A-8312-ABEB2B3D4550}"/>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1905" name="Text Box 192">
          <a:extLst>
            <a:ext uri="{FF2B5EF4-FFF2-40B4-BE49-F238E27FC236}">
              <a16:creationId xmlns:a16="http://schemas.microsoft.com/office/drawing/2014/main" id="{9F7F8121-AC2E-4209-808D-668FBA3978E6}"/>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1906" name="Text Box 192">
          <a:extLst>
            <a:ext uri="{FF2B5EF4-FFF2-40B4-BE49-F238E27FC236}">
              <a16:creationId xmlns:a16="http://schemas.microsoft.com/office/drawing/2014/main" id="{ABA6A884-A382-4491-A29F-EB84BBA564D2}"/>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1907" name="Text Box 192">
          <a:extLst>
            <a:ext uri="{FF2B5EF4-FFF2-40B4-BE49-F238E27FC236}">
              <a16:creationId xmlns:a16="http://schemas.microsoft.com/office/drawing/2014/main" id="{00C5A80D-B680-4975-BFDA-2F8C0F04C578}"/>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1908" name="Text Box 192">
          <a:extLst>
            <a:ext uri="{FF2B5EF4-FFF2-40B4-BE49-F238E27FC236}">
              <a16:creationId xmlns:a16="http://schemas.microsoft.com/office/drawing/2014/main" id="{1348EC92-8066-4835-9F1D-F249A36E4F84}"/>
            </a:ext>
          </a:extLst>
        </xdr:cNvPr>
        <xdr:cNvSpPr txBox="1">
          <a:spLocks noChangeArrowheads="1"/>
        </xdr:cNvSpPr>
      </xdr:nvSpPr>
      <xdr:spPr bwMode="auto">
        <a:xfrm>
          <a:off x="24718006" y="3674268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225</xdr:row>
      <xdr:rowOff>0</xdr:rowOff>
    </xdr:from>
    <xdr:ext cx="10372" cy="228955"/>
    <xdr:sp macro="" textlink="">
      <xdr:nvSpPr>
        <xdr:cNvPr id="1909" name="Text Box 192">
          <a:extLst>
            <a:ext uri="{FF2B5EF4-FFF2-40B4-BE49-F238E27FC236}">
              <a16:creationId xmlns:a16="http://schemas.microsoft.com/office/drawing/2014/main" id="{9AA77BB2-BEEF-4A09-9B46-3701E7A9FA90}"/>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10" name="Text Box 192">
          <a:extLst>
            <a:ext uri="{FF2B5EF4-FFF2-40B4-BE49-F238E27FC236}">
              <a16:creationId xmlns:a16="http://schemas.microsoft.com/office/drawing/2014/main" id="{24BFD703-5435-43B2-B21E-7D1A0A54AA5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11" name="Text Box 192">
          <a:extLst>
            <a:ext uri="{FF2B5EF4-FFF2-40B4-BE49-F238E27FC236}">
              <a16:creationId xmlns:a16="http://schemas.microsoft.com/office/drawing/2014/main" id="{F05D6E5F-FF18-4709-B447-A3744BEC444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12" name="Text Box 192">
          <a:extLst>
            <a:ext uri="{FF2B5EF4-FFF2-40B4-BE49-F238E27FC236}">
              <a16:creationId xmlns:a16="http://schemas.microsoft.com/office/drawing/2014/main" id="{4668EAB7-86EE-4F64-BF0D-35B15553893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13" name="Text Box 192">
          <a:extLst>
            <a:ext uri="{FF2B5EF4-FFF2-40B4-BE49-F238E27FC236}">
              <a16:creationId xmlns:a16="http://schemas.microsoft.com/office/drawing/2014/main" id="{B3CDC61E-F4F8-43C9-96CD-94FEF4B96E2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14" name="Text Box 192">
          <a:extLst>
            <a:ext uri="{FF2B5EF4-FFF2-40B4-BE49-F238E27FC236}">
              <a16:creationId xmlns:a16="http://schemas.microsoft.com/office/drawing/2014/main" id="{C78F432C-2221-4DCD-AE39-32A6CE7B3D3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15" name="Text Box 192">
          <a:extLst>
            <a:ext uri="{FF2B5EF4-FFF2-40B4-BE49-F238E27FC236}">
              <a16:creationId xmlns:a16="http://schemas.microsoft.com/office/drawing/2014/main" id="{67822B54-78FE-47E0-8AF4-E0D5FC6FAEB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16" name="Text Box 192">
          <a:extLst>
            <a:ext uri="{FF2B5EF4-FFF2-40B4-BE49-F238E27FC236}">
              <a16:creationId xmlns:a16="http://schemas.microsoft.com/office/drawing/2014/main" id="{7007B051-52CE-4C4A-A3C0-23222A78F4A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17" name="Text Box 192">
          <a:extLst>
            <a:ext uri="{FF2B5EF4-FFF2-40B4-BE49-F238E27FC236}">
              <a16:creationId xmlns:a16="http://schemas.microsoft.com/office/drawing/2014/main" id="{1771919A-F5E9-4B8B-ACD0-AF7C387B3B8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18" name="Text Box 192">
          <a:extLst>
            <a:ext uri="{FF2B5EF4-FFF2-40B4-BE49-F238E27FC236}">
              <a16:creationId xmlns:a16="http://schemas.microsoft.com/office/drawing/2014/main" id="{A7B23B0D-539A-41C9-B15A-733EBE0907D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19" name="Text Box 192">
          <a:extLst>
            <a:ext uri="{FF2B5EF4-FFF2-40B4-BE49-F238E27FC236}">
              <a16:creationId xmlns:a16="http://schemas.microsoft.com/office/drawing/2014/main" id="{DE34B0CE-9066-4B59-8E9C-E0050E6F815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1920" name="Text Box 192">
          <a:extLst>
            <a:ext uri="{FF2B5EF4-FFF2-40B4-BE49-F238E27FC236}">
              <a16:creationId xmlns:a16="http://schemas.microsoft.com/office/drawing/2014/main" id="{DAF60203-4AA7-44B9-94E1-7D8BC7F54216}"/>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21" name="Text Box 192">
          <a:extLst>
            <a:ext uri="{FF2B5EF4-FFF2-40B4-BE49-F238E27FC236}">
              <a16:creationId xmlns:a16="http://schemas.microsoft.com/office/drawing/2014/main" id="{E23B0847-8D16-481C-8C7B-B6D5221125B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22" name="Text Box 192">
          <a:extLst>
            <a:ext uri="{FF2B5EF4-FFF2-40B4-BE49-F238E27FC236}">
              <a16:creationId xmlns:a16="http://schemas.microsoft.com/office/drawing/2014/main" id="{8EFD217C-3DB5-4A5A-8CBE-2C25FECE8C5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23" name="Text Box 192">
          <a:extLst>
            <a:ext uri="{FF2B5EF4-FFF2-40B4-BE49-F238E27FC236}">
              <a16:creationId xmlns:a16="http://schemas.microsoft.com/office/drawing/2014/main" id="{1D4F2C12-ED73-413A-B434-1D12D687EB8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24" name="Text Box 192">
          <a:extLst>
            <a:ext uri="{FF2B5EF4-FFF2-40B4-BE49-F238E27FC236}">
              <a16:creationId xmlns:a16="http://schemas.microsoft.com/office/drawing/2014/main" id="{0DFCC14F-F7EC-4917-BC07-3219EA2BA2B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25" name="Text Box 192">
          <a:extLst>
            <a:ext uri="{FF2B5EF4-FFF2-40B4-BE49-F238E27FC236}">
              <a16:creationId xmlns:a16="http://schemas.microsoft.com/office/drawing/2014/main" id="{989E288A-692D-4B95-AEEC-95AD714B1E4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26" name="Text Box 192">
          <a:extLst>
            <a:ext uri="{FF2B5EF4-FFF2-40B4-BE49-F238E27FC236}">
              <a16:creationId xmlns:a16="http://schemas.microsoft.com/office/drawing/2014/main" id="{98EC7DAE-1A01-416E-8F7C-D66D0234394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27" name="Text Box 192">
          <a:extLst>
            <a:ext uri="{FF2B5EF4-FFF2-40B4-BE49-F238E27FC236}">
              <a16:creationId xmlns:a16="http://schemas.microsoft.com/office/drawing/2014/main" id="{7E9922DB-AAEA-4E81-B4C4-B3414B332DA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28" name="Text Box 192">
          <a:extLst>
            <a:ext uri="{FF2B5EF4-FFF2-40B4-BE49-F238E27FC236}">
              <a16:creationId xmlns:a16="http://schemas.microsoft.com/office/drawing/2014/main" id="{5D9DE866-1D3E-4B05-A9F5-A608E217CEC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29" name="Text Box 192">
          <a:extLst>
            <a:ext uri="{FF2B5EF4-FFF2-40B4-BE49-F238E27FC236}">
              <a16:creationId xmlns:a16="http://schemas.microsoft.com/office/drawing/2014/main" id="{B9F6011A-4CAB-48DA-BBAA-E16712D8C14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30" name="Text Box 192">
          <a:extLst>
            <a:ext uri="{FF2B5EF4-FFF2-40B4-BE49-F238E27FC236}">
              <a16:creationId xmlns:a16="http://schemas.microsoft.com/office/drawing/2014/main" id="{007C9671-A8FA-4F00-991F-89B6F188F37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1931" name="Text Box 192">
          <a:extLst>
            <a:ext uri="{FF2B5EF4-FFF2-40B4-BE49-F238E27FC236}">
              <a16:creationId xmlns:a16="http://schemas.microsoft.com/office/drawing/2014/main" id="{1CA87B02-AFC1-4ACA-BBAD-2440FFAC3F2F}"/>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1932" name="Text Box 192">
          <a:extLst>
            <a:ext uri="{FF2B5EF4-FFF2-40B4-BE49-F238E27FC236}">
              <a16:creationId xmlns:a16="http://schemas.microsoft.com/office/drawing/2014/main" id="{826B35ED-EA56-496A-9226-473D1098079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1933" name="Text Box 192">
          <a:extLst>
            <a:ext uri="{FF2B5EF4-FFF2-40B4-BE49-F238E27FC236}">
              <a16:creationId xmlns:a16="http://schemas.microsoft.com/office/drawing/2014/main" id="{E2BF8437-128D-4411-A99D-8B117843B93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1934" name="Text Box 192">
          <a:extLst>
            <a:ext uri="{FF2B5EF4-FFF2-40B4-BE49-F238E27FC236}">
              <a16:creationId xmlns:a16="http://schemas.microsoft.com/office/drawing/2014/main" id="{815C9365-02A3-4F95-8AB0-B8BF058B3EE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1935" name="Text Box 192">
          <a:extLst>
            <a:ext uri="{FF2B5EF4-FFF2-40B4-BE49-F238E27FC236}">
              <a16:creationId xmlns:a16="http://schemas.microsoft.com/office/drawing/2014/main" id="{C1B41A82-AD36-4860-ADE4-5F0F97F273A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1936" name="Text Box 192">
          <a:extLst>
            <a:ext uri="{FF2B5EF4-FFF2-40B4-BE49-F238E27FC236}">
              <a16:creationId xmlns:a16="http://schemas.microsoft.com/office/drawing/2014/main" id="{5039FAAA-8A7A-4F08-B4A4-89756603A91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1937" name="Text Box 192">
          <a:extLst>
            <a:ext uri="{FF2B5EF4-FFF2-40B4-BE49-F238E27FC236}">
              <a16:creationId xmlns:a16="http://schemas.microsoft.com/office/drawing/2014/main" id="{3C7FF6BF-AE41-4E4A-8FD8-15124C53C05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1938" name="Text Box 192">
          <a:extLst>
            <a:ext uri="{FF2B5EF4-FFF2-40B4-BE49-F238E27FC236}">
              <a16:creationId xmlns:a16="http://schemas.microsoft.com/office/drawing/2014/main" id="{AB372FC5-D27C-43B0-ABB2-33CD4E7E4D9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1939" name="Text Box 192">
          <a:extLst>
            <a:ext uri="{FF2B5EF4-FFF2-40B4-BE49-F238E27FC236}">
              <a16:creationId xmlns:a16="http://schemas.microsoft.com/office/drawing/2014/main" id="{14D6C71F-48C0-4C31-9AD4-2B56B1E8EE3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1940" name="Text Box 192">
          <a:extLst>
            <a:ext uri="{FF2B5EF4-FFF2-40B4-BE49-F238E27FC236}">
              <a16:creationId xmlns:a16="http://schemas.microsoft.com/office/drawing/2014/main" id="{B88A6491-8D57-40F7-9BBD-57341270E3A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1941" name="Text Box 192">
          <a:extLst>
            <a:ext uri="{FF2B5EF4-FFF2-40B4-BE49-F238E27FC236}">
              <a16:creationId xmlns:a16="http://schemas.microsoft.com/office/drawing/2014/main" id="{4604F793-3226-401B-9005-CACC454F253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230</xdr:row>
      <xdr:rowOff>0</xdr:rowOff>
    </xdr:from>
    <xdr:ext cx="10372" cy="228955"/>
    <xdr:sp macro="" textlink="">
      <xdr:nvSpPr>
        <xdr:cNvPr id="1942" name="Text Box 192">
          <a:extLst>
            <a:ext uri="{FF2B5EF4-FFF2-40B4-BE49-F238E27FC236}">
              <a16:creationId xmlns:a16="http://schemas.microsoft.com/office/drawing/2014/main" id="{D406A24F-531F-46F5-A8E9-0CABD1C26887}"/>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43" name="Text Box 192">
          <a:extLst>
            <a:ext uri="{FF2B5EF4-FFF2-40B4-BE49-F238E27FC236}">
              <a16:creationId xmlns:a16="http://schemas.microsoft.com/office/drawing/2014/main" id="{6C89D7AF-E5BD-409A-B7E7-46E441E25B9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44" name="Text Box 192">
          <a:extLst>
            <a:ext uri="{FF2B5EF4-FFF2-40B4-BE49-F238E27FC236}">
              <a16:creationId xmlns:a16="http://schemas.microsoft.com/office/drawing/2014/main" id="{9727BD01-7F90-41E7-85FB-0575578CDB6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45" name="Text Box 192">
          <a:extLst>
            <a:ext uri="{FF2B5EF4-FFF2-40B4-BE49-F238E27FC236}">
              <a16:creationId xmlns:a16="http://schemas.microsoft.com/office/drawing/2014/main" id="{C996C5D0-80B6-4950-87ED-D069B5594BD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46" name="Text Box 192">
          <a:extLst>
            <a:ext uri="{FF2B5EF4-FFF2-40B4-BE49-F238E27FC236}">
              <a16:creationId xmlns:a16="http://schemas.microsoft.com/office/drawing/2014/main" id="{C412EF42-AC9F-4AA3-BA95-A285499C27E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47" name="Text Box 192">
          <a:extLst>
            <a:ext uri="{FF2B5EF4-FFF2-40B4-BE49-F238E27FC236}">
              <a16:creationId xmlns:a16="http://schemas.microsoft.com/office/drawing/2014/main" id="{7ECDFBE0-2FBF-4095-B061-A80DFD52CBB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48" name="Text Box 192">
          <a:extLst>
            <a:ext uri="{FF2B5EF4-FFF2-40B4-BE49-F238E27FC236}">
              <a16:creationId xmlns:a16="http://schemas.microsoft.com/office/drawing/2014/main" id="{B6F29EC5-65AC-4155-B19C-1756B9D3AC8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49" name="Text Box 192">
          <a:extLst>
            <a:ext uri="{FF2B5EF4-FFF2-40B4-BE49-F238E27FC236}">
              <a16:creationId xmlns:a16="http://schemas.microsoft.com/office/drawing/2014/main" id="{D9551B07-4D7F-4AED-97DB-32C653CE423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50" name="Text Box 192">
          <a:extLst>
            <a:ext uri="{FF2B5EF4-FFF2-40B4-BE49-F238E27FC236}">
              <a16:creationId xmlns:a16="http://schemas.microsoft.com/office/drawing/2014/main" id="{D810EEDF-6C71-4336-9C5B-E9B71364829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51" name="Text Box 192">
          <a:extLst>
            <a:ext uri="{FF2B5EF4-FFF2-40B4-BE49-F238E27FC236}">
              <a16:creationId xmlns:a16="http://schemas.microsoft.com/office/drawing/2014/main" id="{16D4E8DA-FA79-4343-8BB6-D79B74C3776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52" name="Text Box 192">
          <a:extLst>
            <a:ext uri="{FF2B5EF4-FFF2-40B4-BE49-F238E27FC236}">
              <a16:creationId xmlns:a16="http://schemas.microsoft.com/office/drawing/2014/main" id="{2F89292C-CA9B-412F-923F-E928D12391A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1953" name="Text Box 192">
          <a:extLst>
            <a:ext uri="{FF2B5EF4-FFF2-40B4-BE49-F238E27FC236}">
              <a16:creationId xmlns:a16="http://schemas.microsoft.com/office/drawing/2014/main" id="{8045A314-FA08-4FD5-B63E-E8B35F732ACF}"/>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54" name="Text Box 192">
          <a:extLst>
            <a:ext uri="{FF2B5EF4-FFF2-40B4-BE49-F238E27FC236}">
              <a16:creationId xmlns:a16="http://schemas.microsoft.com/office/drawing/2014/main" id="{4F45AEF9-4941-4BEE-9E36-8CA1B8FD429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55" name="Text Box 192">
          <a:extLst>
            <a:ext uri="{FF2B5EF4-FFF2-40B4-BE49-F238E27FC236}">
              <a16:creationId xmlns:a16="http://schemas.microsoft.com/office/drawing/2014/main" id="{6C16074F-90C0-4383-841C-17C94E2A620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56" name="Text Box 192">
          <a:extLst>
            <a:ext uri="{FF2B5EF4-FFF2-40B4-BE49-F238E27FC236}">
              <a16:creationId xmlns:a16="http://schemas.microsoft.com/office/drawing/2014/main" id="{41B702CF-1541-47AB-8554-DB22891ED70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57" name="Text Box 192">
          <a:extLst>
            <a:ext uri="{FF2B5EF4-FFF2-40B4-BE49-F238E27FC236}">
              <a16:creationId xmlns:a16="http://schemas.microsoft.com/office/drawing/2014/main" id="{237EF2C1-D7FE-41DF-8DFA-76A34E434ED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58" name="Text Box 192">
          <a:extLst>
            <a:ext uri="{FF2B5EF4-FFF2-40B4-BE49-F238E27FC236}">
              <a16:creationId xmlns:a16="http://schemas.microsoft.com/office/drawing/2014/main" id="{FD468986-BAA8-4828-BBB4-3221F3BCAB0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59" name="Text Box 192">
          <a:extLst>
            <a:ext uri="{FF2B5EF4-FFF2-40B4-BE49-F238E27FC236}">
              <a16:creationId xmlns:a16="http://schemas.microsoft.com/office/drawing/2014/main" id="{69F46AB0-E29F-4845-9EF5-8A06E91ACC1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60" name="Text Box 192">
          <a:extLst>
            <a:ext uri="{FF2B5EF4-FFF2-40B4-BE49-F238E27FC236}">
              <a16:creationId xmlns:a16="http://schemas.microsoft.com/office/drawing/2014/main" id="{503ACE3E-F8B3-45C8-881D-822B8997AC5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61" name="Text Box 192">
          <a:extLst>
            <a:ext uri="{FF2B5EF4-FFF2-40B4-BE49-F238E27FC236}">
              <a16:creationId xmlns:a16="http://schemas.microsoft.com/office/drawing/2014/main" id="{E1FAA576-5AEC-4AA3-B687-444B8654F40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62" name="Text Box 192">
          <a:extLst>
            <a:ext uri="{FF2B5EF4-FFF2-40B4-BE49-F238E27FC236}">
              <a16:creationId xmlns:a16="http://schemas.microsoft.com/office/drawing/2014/main" id="{DBC2743A-6492-43B4-B05F-9168EB0C71D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63" name="Text Box 192">
          <a:extLst>
            <a:ext uri="{FF2B5EF4-FFF2-40B4-BE49-F238E27FC236}">
              <a16:creationId xmlns:a16="http://schemas.microsoft.com/office/drawing/2014/main" id="{FCD2D1C6-5C48-4E15-944D-9A3984CFAC1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1964" name="Text Box 192">
          <a:extLst>
            <a:ext uri="{FF2B5EF4-FFF2-40B4-BE49-F238E27FC236}">
              <a16:creationId xmlns:a16="http://schemas.microsoft.com/office/drawing/2014/main" id="{8F4F2F9E-5458-442F-BEC5-12ECFBE15430}"/>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65" name="Text Box 192">
          <a:extLst>
            <a:ext uri="{FF2B5EF4-FFF2-40B4-BE49-F238E27FC236}">
              <a16:creationId xmlns:a16="http://schemas.microsoft.com/office/drawing/2014/main" id="{04DB105F-32E8-472B-B150-FF0E0C15E05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66" name="Text Box 192">
          <a:extLst>
            <a:ext uri="{FF2B5EF4-FFF2-40B4-BE49-F238E27FC236}">
              <a16:creationId xmlns:a16="http://schemas.microsoft.com/office/drawing/2014/main" id="{C6073319-7A9C-46D9-9D6E-21C9C58A9A8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67" name="Text Box 192">
          <a:extLst>
            <a:ext uri="{FF2B5EF4-FFF2-40B4-BE49-F238E27FC236}">
              <a16:creationId xmlns:a16="http://schemas.microsoft.com/office/drawing/2014/main" id="{078E0ED8-805E-49F2-B307-5171E7008D4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68" name="Text Box 192">
          <a:extLst>
            <a:ext uri="{FF2B5EF4-FFF2-40B4-BE49-F238E27FC236}">
              <a16:creationId xmlns:a16="http://schemas.microsoft.com/office/drawing/2014/main" id="{A26F0FB4-BBB8-4A17-AD5C-EBD0434B044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69" name="Text Box 192">
          <a:extLst>
            <a:ext uri="{FF2B5EF4-FFF2-40B4-BE49-F238E27FC236}">
              <a16:creationId xmlns:a16="http://schemas.microsoft.com/office/drawing/2014/main" id="{1BF1E08C-45E1-460D-888C-BC514BD0F16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70" name="Text Box 192">
          <a:extLst>
            <a:ext uri="{FF2B5EF4-FFF2-40B4-BE49-F238E27FC236}">
              <a16:creationId xmlns:a16="http://schemas.microsoft.com/office/drawing/2014/main" id="{DD7CEAF7-B4FF-4EEA-A1F5-51EB43D7E2D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71" name="Text Box 192">
          <a:extLst>
            <a:ext uri="{FF2B5EF4-FFF2-40B4-BE49-F238E27FC236}">
              <a16:creationId xmlns:a16="http://schemas.microsoft.com/office/drawing/2014/main" id="{17EDBED3-4F31-4DA8-882F-F05DEDF4C15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72" name="Text Box 192">
          <a:extLst>
            <a:ext uri="{FF2B5EF4-FFF2-40B4-BE49-F238E27FC236}">
              <a16:creationId xmlns:a16="http://schemas.microsoft.com/office/drawing/2014/main" id="{82214592-E6E3-41AD-98E9-9118C1A51E6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73" name="Text Box 192">
          <a:extLst>
            <a:ext uri="{FF2B5EF4-FFF2-40B4-BE49-F238E27FC236}">
              <a16:creationId xmlns:a16="http://schemas.microsoft.com/office/drawing/2014/main" id="{B469955C-BF57-4E05-826E-78BF7E05147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74" name="Text Box 192">
          <a:extLst>
            <a:ext uri="{FF2B5EF4-FFF2-40B4-BE49-F238E27FC236}">
              <a16:creationId xmlns:a16="http://schemas.microsoft.com/office/drawing/2014/main" id="{5A1F71B8-A4AE-40A8-8987-847626B5EE9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1975" name="Text Box 192">
          <a:extLst>
            <a:ext uri="{FF2B5EF4-FFF2-40B4-BE49-F238E27FC236}">
              <a16:creationId xmlns:a16="http://schemas.microsoft.com/office/drawing/2014/main" id="{16549DA3-0A54-4787-85F6-5B5EBC2A2D28}"/>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76" name="Text Box 192">
          <a:extLst>
            <a:ext uri="{FF2B5EF4-FFF2-40B4-BE49-F238E27FC236}">
              <a16:creationId xmlns:a16="http://schemas.microsoft.com/office/drawing/2014/main" id="{E6C75825-F754-4580-A42B-3C381446874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77" name="Text Box 192">
          <a:extLst>
            <a:ext uri="{FF2B5EF4-FFF2-40B4-BE49-F238E27FC236}">
              <a16:creationId xmlns:a16="http://schemas.microsoft.com/office/drawing/2014/main" id="{580B8E86-3D34-42EA-93C9-5BDCEEA5943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78" name="Text Box 192">
          <a:extLst>
            <a:ext uri="{FF2B5EF4-FFF2-40B4-BE49-F238E27FC236}">
              <a16:creationId xmlns:a16="http://schemas.microsoft.com/office/drawing/2014/main" id="{37A7474B-9311-4877-8ED0-D871478C3CD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79" name="Text Box 192">
          <a:extLst>
            <a:ext uri="{FF2B5EF4-FFF2-40B4-BE49-F238E27FC236}">
              <a16:creationId xmlns:a16="http://schemas.microsoft.com/office/drawing/2014/main" id="{CD3F7566-F246-466F-A56D-23507321EA0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80" name="Text Box 192">
          <a:extLst>
            <a:ext uri="{FF2B5EF4-FFF2-40B4-BE49-F238E27FC236}">
              <a16:creationId xmlns:a16="http://schemas.microsoft.com/office/drawing/2014/main" id="{11B208EC-AF3D-4D31-BC7C-D992D181FE1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81" name="Text Box 192">
          <a:extLst>
            <a:ext uri="{FF2B5EF4-FFF2-40B4-BE49-F238E27FC236}">
              <a16:creationId xmlns:a16="http://schemas.microsoft.com/office/drawing/2014/main" id="{0F7AA527-E3A1-499C-9060-9428C1CB20B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82" name="Text Box 192">
          <a:extLst>
            <a:ext uri="{FF2B5EF4-FFF2-40B4-BE49-F238E27FC236}">
              <a16:creationId xmlns:a16="http://schemas.microsoft.com/office/drawing/2014/main" id="{2C631FD6-0B69-43A6-86B4-E92B6F136DC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83" name="Text Box 192">
          <a:extLst>
            <a:ext uri="{FF2B5EF4-FFF2-40B4-BE49-F238E27FC236}">
              <a16:creationId xmlns:a16="http://schemas.microsoft.com/office/drawing/2014/main" id="{F199B843-1719-44DE-9032-066C68E849A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84" name="Text Box 192">
          <a:extLst>
            <a:ext uri="{FF2B5EF4-FFF2-40B4-BE49-F238E27FC236}">
              <a16:creationId xmlns:a16="http://schemas.microsoft.com/office/drawing/2014/main" id="{57970F20-365F-40D5-865A-C2E750E02C2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85" name="Text Box 192">
          <a:extLst>
            <a:ext uri="{FF2B5EF4-FFF2-40B4-BE49-F238E27FC236}">
              <a16:creationId xmlns:a16="http://schemas.microsoft.com/office/drawing/2014/main" id="{147B8D71-1601-4439-977A-F2DFDDDF225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1986" name="Text Box 192">
          <a:extLst>
            <a:ext uri="{FF2B5EF4-FFF2-40B4-BE49-F238E27FC236}">
              <a16:creationId xmlns:a16="http://schemas.microsoft.com/office/drawing/2014/main" id="{1563C3A2-B187-4B95-A4BB-ADB130FCF9E1}"/>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87" name="Text Box 192">
          <a:extLst>
            <a:ext uri="{FF2B5EF4-FFF2-40B4-BE49-F238E27FC236}">
              <a16:creationId xmlns:a16="http://schemas.microsoft.com/office/drawing/2014/main" id="{52700043-6355-4C0F-8433-369AEAE798F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88" name="Text Box 192">
          <a:extLst>
            <a:ext uri="{FF2B5EF4-FFF2-40B4-BE49-F238E27FC236}">
              <a16:creationId xmlns:a16="http://schemas.microsoft.com/office/drawing/2014/main" id="{05C448E9-5EA5-4CD2-9EE4-800A437B729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89" name="Text Box 192">
          <a:extLst>
            <a:ext uri="{FF2B5EF4-FFF2-40B4-BE49-F238E27FC236}">
              <a16:creationId xmlns:a16="http://schemas.microsoft.com/office/drawing/2014/main" id="{B30BDC26-BA4F-4896-9C33-2ED3C794A2C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90" name="Text Box 192">
          <a:extLst>
            <a:ext uri="{FF2B5EF4-FFF2-40B4-BE49-F238E27FC236}">
              <a16:creationId xmlns:a16="http://schemas.microsoft.com/office/drawing/2014/main" id="{FC0DA4B3-4BAD-4378-AA60-5A9520001CF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91" name="Text Box 192">
          <a:extLst>
            <a:ext uri="{FF2B5EF4-FFF2-40B4-BE49-F238E27FC236}">
              <a16:creationId xmlns:a16="http://schemas.microsoft.com/office/drawing/2014/main" id="{7E70B72A-ED88-4E0B-8C7D-BE7668AFE5B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92" name="Text Box 192">
          <a:extLst>
            <a:ext uri="{FF2B5EF4-FFF2-40B4-BE49-F238E27FC236}">
              <a16:creationId xmlns:a16="http://schemas.microsoft.com/office/drawing/2014/main" id="{2C209033-70EA-47D3-BAEF-E46D88068BC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93" name="Text Box 192">
          <a:extLst>
            <a:ext uri="{FF2B5EF4-FFF2-40B4-BE49-F238E27FC236}">
              <a16:creationId xmlns:a16="http://schemas.microsoft.com/office/drawing/2014/main" id="{E00FAD6B-C880-4905-B019-66633E6B80B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94" name="Text Box 192">
          <a:extLst>
            <a:ext uri="{FF2B5EF4-FFF2-40B4-BE49-F238E27FC236}">
              <a16:creationId xmlns:a16="http://schemas.microsoft.com/office/drawing/2014/main" id="{6C88D9FD-27FF-485F-92EB-9F9CC8561E0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95" name="Text Box 192">
          <a:extLst>
            <a:ext uri="{FF2B5EF4-FFF2-40B4-BE49-F238E27FC236}">
              <a16:creationId xmlns:a16="http://schemas.microsoft.com/office/drawing/2014/main" id="{5313C805-3365-4E03-820B-BE84FD03CDD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96" name="Text Box 192">
          <a:extLst>
            <a:ext uri="{FF2B5EF4-FFF2-40B4-BE49-F238E27FC236}">
              <a16:creationId xmlns:a16="http://schemas.microsoft.com/office/drawing/2014/main" id="{6AD450F5-CD27-4851-8E83-D113082B616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1997" name="Text Box 192">
          <a:extLst>
            <a:ext uri="{FF2B5EF4-FFF2-40B4-BE49-F238E27FC236}">
              <a16:creationId xmlns:a16="http://schemas.microsoft.com/office/drawing/2014/main" id="{CC27ABDA-6896-4609-9ED9-7D5C8D89099D}"/>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1998" name="Text Box 192">
          <a:extLst>
            <a:ext uri="{FF2B5EF4-FFF2-40B4-BE49-F238E27FC236}">
              <a16:creationId xmlns:a16="http://schemas.microsoft.com/office/drawing/2014/main" id="{C9D1074C-11E1-4593-A932-06F1DB6F4D6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1999" name="Text Box 192">
          <a:extLst>
            <a:ext uri="{FF2B5EF4-FFF2-40B4-BE49-F238E27FC236}">
              <a16:creationId xmlns:a16="http://schemas.microsoft.com/office/drawing/2014/main" id="{43C4A3A7-E510-4F48-9402-6BD6F98F6E9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2000" name="Text Box 192">
          <a:extLst>
            <a:ext uri="{FF2B5EF4-FFF2-40B4-BE49-F238E27FC236}">
              <a16:creationId xmlns:a16="http://schemas.microsoft.com/office/drawing/2014/main" id="{5DBA8BC8-B726-419A-982F-BF27C81809E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2001" name="Text Box 192">
          <a:extLst>
            <a:ext uri="{FF2B5EF4-FFF2-40B4-BE49-F238E27FC236}">
              <a16:creationId xmlns:a16="http://schemas.microsoft.com/office/drawing/2014/main" id="{CF4846F3-D4F8-4982-91BC-21D259E5483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2002" name="Text Box 192">
          <a:extLst>
            <a:ext uri="{FF2B5EF4-FFF2-40B4-BE49-F238E27FC236}">
              <a16:creationId xmlns:a16="http://schemas.microsoft.com/office/drawing/2014/main" id="{4BDDE02C-8846-4A15-9F1F-514FCCF1BD4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2003" name="Text Box 192">
          <a:extLst>
            <a:ext uri="{FF2B5EF4-FFF2-40B4-BE49-F238E27FC236}">
              <a16:creationId xmlns:a16="http://schemas.microsoft.com/office/drawing/2014/main" id="{E067664E-E513-4981-B782-5F1F7C237EE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2004" name="Text Box 192">
          <a:extLst>
            <a:ext uri="{FF2B5EF4-FFF2-40B4-BE49-F238E27FC236}">
              <a16:creationId xmlns:a16="http://schemas.microsoft.com/office/drawing/2014/main" id="{D72E0A11-0EEB-47E8-83D4-1081A642BAD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2005" name="Text Box 192">
          <a:extLst>
            <a:ext uri="{FF2B5EF4-FFF2-40B4-BE49-F238E27FC236}">
              <a16:creationId xmlns:a16="http://schemas.microsoft.com/office/drawing/2014/main" id="{A1EA3AC4-05F1-438A-9479-EB524B9D672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2006" name="Text Box 192">
          <a:extLst>
            <a:ext uri="{FF2B5EF4-FFF2-40B4-BE49-F238E27FC236}">
              <a16:creationId xmlns:a16="http://schemas.microsoft.com/office/drawing/2014/main" id="{E0252367-36A9-45DC-8F1C-D4E8FB56A41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2007" name="Text Box 192">
          <a:extLst>
            <a:ext uri="{FF2B5EF4-FFF2-40B4-BE49-F238E27FC236}">
              <a16:creationId xmlns:a16="http://schemas.microsoft.com/office/drawing/2014/main" id="{EE202E5A-9BDF-4513-8866-4174ABBB411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2008" name="Text Box 192">
          <a:extLst>
            <a:ext uri="{FF2B5EF4-FFF2-40B4-BE49-F238E27FC236}">
              <a16:creationId xmlns:a16="http://schemas.microsoft.com/office/drawing/2014/main" id="{0467169F-3050-4A95-AC4A-FFCBBA53C456}"/>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09" name="Text Box 192">
          <a:extLst>
            <a:ext uri="{FF2B5EF4-FFF2-40B4-BE49-F238E27FC236}">
              <a16:creationId xmlns:a16="http://schemas.microsoft.com/office/drawing/2014/main" id="{9EE15928-D01A-45C8-81B5-0B87F2B9CA8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10" name="Text Box 192">
          <a:extLst>
            <a:ext uri="{FF2B5EF4-FFF2-40B4-BE49-F238E27FC236}">
              <a16:creationId xmlns:a16="http://schemas.microsoft.com/office/drawing/2014/main" id="{D94369B5-B941-4580-8927-269BBFDA951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11" name="Text Box 192">
          <a:extLst>
            <a:ext uri="{FF2B5EF4-FFF2-40B4-BE49-F238E27FC236}">
              <a16:creationId xmlns:a16="http://schemas.microsoft.com/office/drawing/2014/main" id="{7A85D72E-C60B-49F4-A795-040E944CB17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12" name="Text Box 192">
          <a:extLst>
            <a:ext uri="{FF2B5EF4-FFF2-40B4-BE49-F238E27FC236}">
              <a16:creationId xmlns:a16="http://schemas.microsoft.com/office/drawing/2014/main" id="{7E922883-B6FC-4F0E-AA9A-CDF08A810DB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13" name="Text Box 192">
          <a:extLst>
            <a:ext uri="{FF2B5EF4-FFF2-40B4-BE49-F238E27FC236}">
              <a16:creationId xmlns:a16="http://schemas.microsoft.com/office/drawing/2014/main" id="{78E36E79-F36D-4432-84B9-5BB8566BC7A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14" name="Text Box 192">
          <a:extLst>
            <a:ext uri="{FF2B5EF4-FFF2-40B4-BE49-F238E27FC236}">
              <a16:creationId xmlns:a16="http://schemas.microsoft.com/office/drawing/2014/main" id="{31EA4D79-83D3-4157-971E-69D87AEF89E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15" name="Text Box 192">
          <a:extLst>
            <a:ext uri="{FF2B5EF4-FFF2-40B4-BE49-F238E27FC236}">
              <a16:creationId xmlns:a16="http://schemas.microsoft.com/office/drawing/2014/main" id="{9EA27D68-B65C-4FDA-ACB3-6ECB870EFA9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16" name="Text Box 192">
          <a:extLst>
            <a:ext uri="{FF2B5EF4-FFF2-40B4-BE49-F238E27FC236}">
              <a16:creationId xmlns:a16="http://schemas.microsoft.com/office/drawing/2014/main" id="{CFFEAE00-9638-4500-8A32-1C62102E04D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17" name="Text Box 192">
          <a:extLst>
            <a:ext uri="{FF2B5EF4-FFF2-40B4-BE49-F238E27FC236}">
              <a16:creationId xmlns:a16="http://schemas.microsoft.com/office/drawing/2014/main" id="{4514C6C1-A70A-42FE-9663-6995A077F96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18" name="Text Box 192">
          <a:extLst>
            <a:ext uri="{FF2B5EF4-FFF2-40B4-BE49-F238E27FC236}">
              <a16:creationId xmlns:a16="http://schemas.microsoft.com/office/drawing/2014/main" id="{96BAE14C-92B1-4FC2-A678-094EC8DA2BF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2019" name="Text Box 192">
          <a:extLst>
            <a:ext uri="{FF2B5EF4-FFF2-40B4-BE49-F238E27FC236}">
              <a16:creationId xmlns:a16="http://schemas.microsoft.com/office/drawing/2014/main" id="{6ED88182-5311-45D2-B463-F1BB84F88E37}"/>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20" name="Text Box 192">
          <a:extLst>
            <a:ext uri="{FF2B5EF4-FFF2-40B4-BE49-F238E27FC236}">
              <a16:creationId xmlns:a16="http://schemas.microsoft.com/office/drawing/2014/main" id="{DEC127B9-8150-4470-9D8C-E125F7365BC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21" name="Text Box 192">
          <a:extLst>
            <a:ext uri="{FF2B5EF4-FFF2-40B4-BE49-F238E27FC236}">
              <a16:creationId xmlns:a16="http://schemas.microsoft.com/office/drawing/2014/main" id="{2D4C2767-3D43-4931-AAE0-94DE3B6D2B9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22" name="Text Box 192">
          <a:extLst>
            <a:ext uri="{FF2B5EF4-FFF2-40B4-BE49-F238E27FC236}">
              <a16:creationId xmlns:a16="http://schemas.microsoft.com/office/drawing/2014/main" id="{742E4F6B-BE9B-4A0A-A405-E417CC08E7B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23" name="Text Box 192">
          <a:extLst>
            <a:ext uri="{FF2B5EF4-FFF2-40B4-BE49-F238E27FC236}">
              <a16:creationId xmlns:a16="http://schemas.microsoft.com/office/drawing/2014/main" id="{1404E035-A72C-474B-9B3F-769B516B9C3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24" name="Text Box 192">
          <a:extLst>
            <a:ext uri="{FF2B5EF4-FFF2-40B4-BE49-F238E27FC236}">
              <a16:creationId xmlns:a16="http://schemas.microsoft.com/office/drawing/2014/main" id="{5259005B-533B-4C7F-85A2-60F691AA12A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25" name="Text Box 192">
          <a:extLst>
            <a:ext uri="{FF2B5EF4-FFF2-40B4-BE49-F238E27FC236}">
              <a16:creationId xmlns:a16="http://schemas.microsoft.com/office/drawing/2014/main" id="{9EF31DB9-A2F7-4B7C-AAE6-18704BDF27E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26" name="Text Box 192">
          <a:extLst>
            <a:ext uri="{FF2B5EF4-FFF2-40B4-BE49-F238E27FC236}">
              <a16:creationId xmlns:a16="http://schemas.microsoft.com/office/drawing/2014/main" id="{35E6A4CE-5489-4C97-A67B-8F6330180DB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27" name="Text Box 192">
          <a:extLst>
            <a:ext uri="{FF2B5EF4-FFF2-40B4-BE49-F238E27FC236}">
              <a16:creationId xmlns:a16="http://schemas.microsoft.com/office/drawing/2014/main" id="{C100E44E-B27E-4110-887E-B67D76E285F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28" name="Text Box 192">
          <a:extLst>
            <a:ext uri="{FF2B5EF4-FFF2-40B4-BE49-F238E27FC236}">
              <a16:creationId xmlns:a16="http://schemas.microsoft.com/office/drawing/2014/main" id="{08FDFAF8-2292-44B6-B073-13FE7ABEEBE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29" name="Text Box 192">
          <a:extLst>
            <a:ext uri="{FF2B5EF4-FFF2-40B4-BE49-F238E27FC236}">
              <a16:creationId xmlns:a16="http://schemas.microsoft.com/office/drawing/2014/main" id="{F485C58B-6C71-4290-8894-F8A1EFD6CFB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2030" name="Text Box 192">
          <a:extLst>
            <a:ext uri="{FF2B5EF4-FFF2-40B4-BE49-F238E27FC236}">
              <a16:creationId xmlns:a16="http://schemas.microsoft.com/office/drawing/2014/main" id="{7E92D129-B610-4D5F-BA9F-384B8207F4A9}"/>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31" name="Text Box 192">
          <a:extLst>
            <a:ext uri="{FF2B5EF4-FFF2-40B4-BE49-F238E27FC236}">
              <a16:creationId xmlns:a16="http://schemas.microsoft.com/office/drawing/2014/main" id="{127BAB0A-2E6F-4200-9F85-98ECEAC91E6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32" name="Text Box 192">
          <a:extLst>
            <a:ext uri="{FF2B5EF4-FFF2-40B4-BE49-F238E27FC236}">
              <a16:creationId xmlns:a16="http://schemas.microsoft.com/office/drawing/2014/main" id="{F3D95A24-0CA3-4260-85AB-14B59CE557D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33" name="Text Box 192">
          <a:extLst>
            <a:ext uri="{FF2B5EF4-FFF2-40B4-BE49-F238E27FC236}">
              <a16:creationId xmlns:a16="http://schemas.microsoft.com/office/drawing/2014/main" id="{F6A9CCCD-6A10-49B2-A1D4-77D62327612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34" name="Text Box 192">
          <a:extLst>
            <a:ext uri="{FF2B5EF4-FFF2-40B4-BE49-F238E27FC236}">
              <a16:creationId xmlns:a16="http://schemas.microsoft.com/office/drawing/2014/main" id="{F18F6A73-D8CD-4DC4-A752-7405BB1CCAF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35" name="Text Box 192">
          <a:extLst>
            <a:ext uri="{FF2B5EF4-FFF2-40B4-BE49-F238E27FC236}">
              <a16:creationId xmlns:a16="http://schemas.microsoft.com/office/drawing/2014/main" id="{0B3CD4C8-78BB-44BB-8F01-ED5F023EDC5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36" name="Text Box 192">
          <a:extLst>
            <a:ext uri="{FF2B5EF4-FFF2-40B4-BE49-F238E27FC236}">
              <a16:creationId xmlns:a16="http://schemas.microsoft.com/office/drawing/2014/main" id="{546D6264-173D-4A2D-B44C-EBFD9F753C6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37" name="Text Box 192">
          <a:extLst>
            <a:ext uri="{FF2B5EF4-FFF2-40B4-BE49-F238E27FC236}">
              <a16:creationId xmlns:a16="http://schemas.microsoft.com/office/drawing/2014/main" id="{C0BA2D99-78B6-4BB4-897F-BDC76E82A74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38" name="Text Box 192">
          <a:extLst>
            <a:ext uri="{FF2B5EF4-FFF2-40B4-BE49-F238E27FC236}">
              <a16:creationId xmlns:a16="http://schemas.microsoft.com/office/drawing/2014/main" id="{300ABB5F-7B20-4B72-8415-0D5F0B28AB9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39" name="Text Box 192">
          <a:extLst>
            <a:ext uri="{FF2B5EF4-FFF2-40B4-BE49-F238E27FC236}">
              <a16:creationId xmlns:a16="http://schemas.microsoft.com/office/drawing/2014/main" id="{8D17B311-BAE3-4ED2-849E-E24D954406E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40" name="Text Box 192">
          <a:extLst>
            <a:ext uri="{FF2B5EF4-FFF2-40B4-BE49-F238E27FC236}">
              <a16:creationId xmlns:a16="http://schemas.microsoft.com/office/drawing/2014/main" id="{C1163C1A-F1E9-451D-86F5-0BB03C6831C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2041" name="Text Box 192">
          <a:extLst>
            <a:ext uri="{FF2B5EF4-FFF2-40B4-BE49-F238E27FC236}">
              <a16:creationId xmlns:a16="http://schemas.microsoft.com/office/drawing/2014/main" id="{E177B039-EEEA-4C08-90FE-3AA0A2D7CD9A}"/>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42" name="Text Box 192">
          <a:extLst>
            <a:ext uri="{FF2B5EF4-FFF2-40B4-BE49-F238E27FC236}">
              <a16:creationId xmlns:a16="http://schemas.microsoft.com/office/drawing/2014/main" id="{CB4F8825-BFBE-40B9-B5EE-D06F848B117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43" name="Text Box 192">
          <a:extLst>
            <a:ext uri="{FF2B5EF4-FFF2-40B4-BE49-F238E27FC236}">
              <a16:creationId xmlns:a16="http://schemas.microsoft.com/office/drawing/2014/main" id="{28D15784-C444-4A80-91EE-12BB64D4484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44" name="Text Box 192">
          <a:extLst>
            <a:ext uri="{FF2B5EF4-FFF2-40B4-BE49-F238E27FC236}">
              <a16:creationId xmlns:a16="http://schemas.microsoft.com/office/drawing/2014/main" id="{5EA4B2D1-A5A4-4B06-8045-E853974AF73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45" name="Text Box 192">
          <a:extLst>
            <a:ext uri="{FF2B5EF4-FFF2-40B4-BE49-F238E27FC236}">
              <a16:creationId xmlns:a16="http://schemas.microsoft.com/office/drawing/2014/main" id="{40A55C62-E990-400A-A79F-9AB53E2D01E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46" name="Text Box 192">
          <a:extLst>
            <a:ext uri="{FF2B5EF4-FFF2-40B4-BE49-F238E27FC236}">
              <a16:creationId xmlns:a16="http://schemas.microsoft.com/office/drawing/2014/main" id="{67F979C6-4574-4129-B6D0-81C1A92BB65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47" name="Text Box 192">
          <a:extLst>
            <a:ext uri="{FF2B5EF4-FFF2-40B4-BE49-F238E27FC236}">
              <a16:creationId xmlns:a16="http://schemas.microsoft.com/office/drawing/2014/main" id="{A465A0A6-4437-4E36-8134-34020A87778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48" name="Text Box 192">
          <a:extLst>
            <a:ext uri="{FF2B5EF4-FFF2-40B4-BE49-F238E27FC236}">
              <a16:creationId xmlns:a16="http://schemas.microsoft.com/office/drawing/2014/main" id="{230A86B5-EAF3-403C-A557-C995D7E36F3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49" name="Text Box 192">
          <a:extLst>
            <a:ext uri="{FF2B5EF4-FFF2-40B4-BE49-F238E27FC236}">
              <a16:creationId xmlns:a16="http://schemas.microsoft.com/office/drawing/2014/main" id="{EC6DEF52-83BF-4412-92C6-CA59574738C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50" name="Text Box 192">
          <a:extLst>
            <a:ext uri="{FF2B5EF4-FFF2-40B4-BE49-F238E27FC236}">
              <a16:creationId xmlns:a16="http://schemas.microsoft.com/office/drawing/2014/main" id="{FC8D42F1-545B-4FC6-AA91-AC0B7F01E92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51" name="Text Box 192">
          <a:extLst>
            <a:ext uri="{FF2B5EF4-FFF2-40B4-BE49-F238E27FC236}">
              <a16:creationId xmlns:a16="http://schemas.microsoft.com/office/drawing/2014/main" id="{B0845689-63B0-41FC-9BA2-879FD44B4D6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2052" name="Text Box 192">
          <a:extLst>
            <a:ext uri="{FF2B5EF4-FFF2-40B4-BE49-F238E27FC236}">
              <a16:creationId xmlns:a16="http://schemas.microsoft.com/office/drawing/2014/main" id="{7A9DF4DA-DA99-4C73-ACDB-7B36324304B5}"/>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53" name="Text Box 192">
          <a:extLst>
            <a:ext uri="{FF2B5EF4-FFF2-40B4-BE49-F238E27FC236}">
              <a16:creationId xmlns:a16="http://schemas.microsoft.com/office/drawing/2014/main" id="{FF365D19-870D-43E8-9F2C-DBD59C53BA9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54" name="Text Box 192">
          <a:extLst>
            <a:ext uri="{FF2B5EF4-FFF2-40B4-BE49-F238E27FC236}">
              <a16:creationId xmlns:a16="http://schemas.microsoft.com/office/drawing/2014/main" id="{0BE4E7C8-3AA0-4CE7-B3A4-878A3858850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55" name="Text Box 192">
          <a:extLst>
            <a:ext uri="{FF2B5EF4-FFF2-40B4-BE49-F238E27FC236}">
              <a16:creationId xmlns:a16="http://schemas.microsoft.com/office/drawing/2014/main" id="{264510F1-6FC0-4A9E-8FE4-53A153FA8D4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56" name="Text Box 192">
          <a:extLst>
            <a:ext uri="{FF2B5EF4-FFF2-40B4-BE49-F238E27FC236}">
              <a16:creationId xmlns:a16="http://schemas.microsoft.com/office/drawing/2014/main" id="{544927EA-68B1-4633-821F-013ACDEACDF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57" name="Text Box 192">
          <a:extLst>
            <a:ext uri="{FF2B5EF4-FFF2-40B4-BE49-F238E27FC236}">
              <a16:creationId xmlns:a16="http://schemas.microsoft.com/office/drawing/2014/main" id="{55195D8D-3309-4354-8A36-380A646C143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58" name="Text Box 192">
          <a:extLst>
            <a:ext uri="{FF2B5EF4-FFF2-40B4-BE49-F238E27FC236}">
              <a16:creationId xmlns:a16="http://schemas.microsoft.com/office/drawing/2014/main" id="{89B6CFE3-D3CB-44DA-8387-5C09A0914C1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59" name="Text Box 192">
          <a:extLst>
            <a:ext uri="{FF2B5EF4-FFF2-40B4-BE49-F238E27FC236}">
              <a16:creationId xmlns:a16="http://schemas.microsoft.com/office/drawing/2014/main" id="{B9F81BA6-C7E4-4BC0-BD6C-5E05D8EC97F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60" name="Text Box 192">
          <a:extLst>
            <a:ext uri="{FF2B5EF4-FFF2-40B4-BE49-F238E27FC236}">
              <a16:creationId xmlns:a16="http://schemas.microsoft.com/office/drawing/2014/main" id="{A16DFB76-95B9-43A0-8789-5712D8132BA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61" name="Text Box 192">
          <a:extLst>
            <a:ext uri="{FF2B5EF4-FFF2-40B4-BE49-F238E27FC236}">
              <a16:creationId xmlns:a16="http://schemas.microsoft.com/office/drawing/2014/main" id="{314ABAA7-5656-43C3-92AF-F7B9FA5062B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62" name="Text Box 192">
          <a:extLst>
            <a:ext uri="{FF2B5EF4-FFF2-40B4-BE49-F238E27FC236}">
              <a16:creationId xmlns:a16="http://schemas.microsoft.com/office/drawing/2014/main" id="{BDC63D3D-CEDE-4D01-8289-FD1292E3C7D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2063" name="Text Box 192">
          <a:extLst>
            <a:ext uri="{FF2B5EF4-FFF2-40B4-BE49-F238E27FC236}">
              <a16:creationId xmlns:a16="http://schemas.microsoft.com/office/drawing/2014/main" id="{CA5FDB4F-8C4A-4DFF-83CA-D9AD081106C2}"/>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64" name="Text Box 192">
          <a:extLst>
            <a:ext uri="{FF2B5EF4-FFF2-40B4-BE49-F238E27FC236}">
              <a16:creationId xmlns:a16="http://schemas.microsoft.com/office/drawing/2014/main" id="{096D44BE-018B-4225-A748-25C449DF774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65" name="Text Box 192">
          <a:extLst>
            <a:ext uri="{FF2B5EF4-FFF2-40B4-BE49-F238E27FC236}">
              <a16:creationId xmlns:a16="http://schemas.microsoft.com/office/drawing/2014/main" id="{772C25E1-E06C-4B7D-B6E0-F1002F2A8E4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66" name="Text Box 192">
          <a:extLst>
            <a:ext uri="{FF2B5EF4-FFF2-40B4-BE49-F238E27FC236}">
              <a16:creationId xmlns:a16="http://schemas.microsoft.com/office/drawing/2014/main" id="{30F8CEA4-82BE-44CA-BC6F-F0450890594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67" name="Text Box 192">
          <a:extLst>
            <a:ext uri="{FF2B5EF4-FFF2-40B4-BE49-F238E27FC236}">
              <a16:creationId xmlns:a16="http://schemas.microsoft.com/office/drawing/2014/main" id="{F4689C25-BE7B-4110-AD47-0E05813AACC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68" name="Text Box 192">
          <a:extLst>
            <a:ext uri="{FF2B5EF4-FFF2-40B4-BE49-F238E27FC236}">
              <a16:creationId xmlns:a16="http://schemas.microsoft.com/office/drawing/2014/main" id="{EA6CFDA9-7D5D-471D-AA35-725819F3C58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69" name="Text Box 192">
          <a:extLst>
            <a:ext uri="{FF2B5EF4-FFF2-40B4-BE49-F238E27FC236}">
              <a16:creationId xmlns:a16="http://schemas.microsoft.com/office/drawing/2014/main" id="{3500D970-D1E2-4451-9712-A7FA47476B6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70" name="Text Box 192">
          <a:extLst>
            <a:ext uri="{FF2B5EF4-FFF2-40B4-BE49-F238E27FC236}">
              <a16:creationId xmlns:a16="http://schemas.microsoft.com/office/drawing/2014/main" id="{33E66C8C-9FC6-45BA-BD4E-2C918891192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71" name="Text Box 192">
          <a:extLst>
            <a:ext uri="{FF2B5EF4-FFF2-40B4-BE49-F238E27FC236}">
              <a16:creationId xmlns:a16="http://schemas.microsoft.com/office/drawing/2014/main" id="{68DABE2A-7A71-4103-ADF2-F5337012BBA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72" name="Text Box 192">
          <a:extLst>
            <a:ext uri="{FF2B5EF4-FFF2-40B4-BE49-F238E27FC236}">
              <a16:creationId xmlns:a16="http://schemas.microsoft.com/office/drawing/2014/main" id="{B88F8A19-9A81-4CD4-A2E2-66616942263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73" name="Text Box 192">
          <a:extLst>
            <a:ext uri="{FF2B5EF4-FFF2-40B4-BE49-F238E27FC236}">
              <a16:creationId xmlns:a16="http://schemas.microsoft.com/office/drawing/2014/main" id="{D4DF6D26-4B6A-445B-9C2C-6925BFC96C3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2074" name="Text Box 192">
          <a:extLst>
            <a:ext uri="{FF2B5EF4-FFF2-40B4-BE49-F238E27FC236}">
              <a16:creationId xmlns:a16="http://schemas.microsoft.com/office/drawing/2014/main" id="{BB3EBB6B-FF15-4AAE-BF4E-829102E175CC}"/>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75" name="Text Box 192">
          <a:extLst>
            <a:ext uri="{FF2B5EF4-FFF2-40B4-BE49-F238E27FC236}">
              <a16:creationId xmlns:a16="http://schemas.microsoft.com/office/drawing/2014/main" id="{4B4DD881-A945-49F2-9207-6C92ABF4BB3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76" name="Text Box 192">
          <a:extLst>
            <a:ext uri="{FF2B5EF4-FFF2-40B4-BE49-F238E27FC236}">
              <a16:creationId xmlns:a16="http://schemas.microsoft.com/office/drawing/2014/main" id="{6744B7B2-25DE-41D4-B80A-C14581015B1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77" name="Text Box 192">
          <a:extLst>
            <a:ext uri="{FF2B5EF4-FFF2-40B4-BE49-F238E27FC236}">
              <a16:creationId xmlns:a16="http://schemas.microsoft.com/office/drawing/2014/main" id="{F754E7B5-D0C2-44DC-A2F3-FE37F812EE6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78" name="Text Box 192">
          <a:extLst>
            <a:ext uri="{FF2B5EF4-FFF2-40B4-BE49-F238E27FC236}">
              <a16:creationId xmlns:a16="http://schemas.microsoft.com/office/drawing/2014/main" id="{E1DB18EB-F381-4067-A9FE-5696FDF1ABE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79" name="Text Box 192">
          <a:extLst>
            <a:ext uri="{FF2B5EF4-FFF2-40B4-BE49-F238E27FC236}">
              <a16:creationId xmlns:a16="http://schemas.microsoft.com/office/drawing/2014/main" id="{2BE355A0-9BC9-4897-A51D-DBD49311663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80" name="Text Box 192">
          <a:extLst>
            <a:ext uri="{FF2B5EF4-FFF2-40B4-BE49-F238E27FC236}">
              <a16:creationId xmlns:a16="http://schemas.microsoft.com/office/drawing/2014/main" id="{1EE7B7A8-6099-491A-974B-7E39B64AEFE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81" name="Text Box 192">
          <a:extLst>
            <a:ext uri="{FF2B5EF4-FFF2-40B4-BE49-F238E27FC236}">
              <a16:creationId xmlns:a16="http://schemas.microsoft.com/office/drawing/2014/main" id="{FECFC353-F846-4A41-B275-2A26FC08288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82" name="Text Box 192">
          <a:extLst>
            <a:ext uri="{FF2B5EF4-FFF2-40B4-BE49-F238E27FC236}">
              <a16:creationId xmlns:a16="http://schemas.microsoft.com/office/drawing/2014/main" id="{7A092E51-047A-4C87-8BA6-26884B4D878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83" name="Text Box 192">
          <a:extLst>
            <a:ext uri="{FF2B5EF4-FFF2-40B4-BE49-F238E27FC236}">
              <a16:creationId xmlns:a16="http://schemas.microsoft.com/office/drawing/2014/main" id="{266020E5-80C0-42C3-B69A-7791C84456D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84" name="Text Box 192">
          <a:extLst>
            <a:ext uri="{FF2B5EF4-FFF2-40B4-BE49-F238E27FC236}">
              <a16:creationId xmlns:a16="http://schemas.microsoft.com/office/drawing/2014/main" id="{9F6C3B34-9EA9-463D-A710-650159E26E3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2085" name="Text Box 192">
          <a:extLst>
            <a:ext uri="{FF2B5EF4-FFF2-40B4-BE49-F238E27FC236}">
              <a16:creationId xmlns:a16="http://schemas.microsoft.com/office/drawing/2014/main" id="{92289E69-4938-4E1A-BDCC-1A128DC38711}"/>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86" name="Text Box 192">
          <a:extLst>
            <a:ext uri="{FF2B5EF4-FFF2-40B4-BE49-F238E27FC236}">
              <a16:creationId xmlns:a16="http://schemas.microsoft.com/office/drawing/2014/main" id="{02EF2281-1C9C-4622-8F2A-7437798852F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87" name="Text Box 192">
          <a:extLst>
            <a:ext uri="{FF2B5EF4-FFF2-40B4-BE49-F238E27FC236}">
              <a16:creationId xmlns:a16="http://schemas.microsoft.com/office/drawing/2014/main" id="{B0713D29-8FE2-4832-9C9E-4D677F7C28B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88" name="Text Box 192">
          <a:extLst>
            <a:ext uri="{FF2B5EF4-FFF2-40B4-BE49-F238E27FC236}">
              <a16:creationId xmlns:a16="http://schemas.microsoft.com/office/drawing/2014/main" id="{CFD12A78-BC90-48DD-BCEA-0AC89A57C61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89" name="Text Box 192">
          <a:extLst>
            <a:ext uri="{FF2B5EF4-FFF2-40B4-BE49-F238E27FC236}">
              <a16:creationId xmlns:a16="http://schemas.microsoft.com/office/drawing/2014/main" id="{C0663DC8-D8A6-4AFC-9421-282A6497A63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90" name="Text Box 192">
          <a:extLst>
            <a:ext uri="{FF2B5EF4-FFF2-40B4-BE49-F238E27FC236}">
              <a16:creationId xmlns:a16="http://schemas.microsoft.com/office/drawing/2014/main" id="{0158ADD2-777C-4482-B14B-9378D5FEB1D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91" name="Text Box 192">
          <a:extLst>
            <a:ext uri="{FF2B5EF4-FFF2-40B4-BE49-F238E27FC236}">
              <a16:creationId xmlns:a16="http://schemas.microsoft.com/office/drawing/2014/main" id="{0E2FE9D2-4E32-47F4-92A5-7D86E6DD018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92" name="Text Box 192">
          <a:extLst>
            <a:ext uri="{FF2B5EF4-FFF2-40B4-BE49-F238E27FC236}">
              <a16:creationId xmlns:a16="http://schemas.microsoft.com/office/drawing/2014/main" id="{9393C1F9-9502-48DD-A5E1-368B26342AA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93" name="Text Box 192">
          <a:extLst>
            <a:ext uri="{FF2B5EF4-FFF2-40B4-BE49-F238E27FC236}">
              <a16:creationId xmlns:a16="http://schemas.microsoft.com/office/drawing/2014/main" id="{E9CBB987-8D40-486E-846D-704D85ADF00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94" name="Text Box 192">
          <a:extLst>
            <a:ext uri="{FF2B5EF4-FFF2-40B4-BE49-F238E27FC236}">
              <a16:creationId xmlns:a16="http://schemas.microsoft.com/office/drawing/2014/main" id="{C82139BF-DF25-4551-BB8C-BD8BF08D24A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95" name="Text Box 192">
          <a:extLst>
            <a:ext uri="{FF2B5EF4-FFF2-40B4-BE49-F238E27FC236}">
              <a16:creationId xmlns:a16="http://schemas.microsoft.com/office/drawing/2014/main" id="{583799A7-1228-4407-A29D-BAFF137A2CF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2096" name="Text Box 192">
          <a:extLst>
            <a:ext uri="{FF2B5EF4-FFF2-40B4-BE49-F238E27FC236}">
              <a16:creationId xmlns:a16="http://schemas.microsoft.com/office/drawing/2014/main" id="{92D3C5F1-71CD-4249-B253-FF4C6DE3C998}"/>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2097" name="Text Box 192">
          <a:extLst>
            <a:ext uri="{FF2B5EF4-FFF2-40B4-BE49-F238E27FC236}">
              <a16:creationId xmlns:a16="http://schemas.microsoft.com/office/drawing/2014/main" id="{D5138E8A-1246-4629-8859-F76FE91F037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2098" name="Text Box 192">
          <a:extLst>
            <a:ext uri="{FF2B5EF4-FFF2-40B4-BE49-F238E27FC236}">
              <a16:creationId xmlns:a16="http://schemas.microsoft.com/office/drawing/2014/main" id="{EDDB66FD-664A-4ECA-B6BD-93C6F69CCC3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2099" name="Text Box 192">
          <a:extLst>
            <a:ext uri="{FF2B5EF4-FFF2-40B4-BE49-F238E27FC236}">
              <a16:creationId xmlns:a16="http://schemas.microsoft.com/office/drawing/2014/main" id="{0835F078-E014-4F6C-871B-8114B481DB7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2100" name="Text Box 192">
          <a:extLst>
            <a:ext uri="{FF2B5EF4-FFF2-40B4-BE49-F238E27FC236}">
              <a16:creationId xmlns:a16="http://schemas.microsoft.com/office/drawing/2014/main" id="{2A3E316D-7F1C-4633-86F2-4904A573F5C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2101" name="Text Box 192">
          <a:extLst>
            <a:ext uri="{FF2B5EF4-FFF2-40B4-BE49-F238E27FC236}">
              <a16:creationId xmlns:a16="http://schemas.microsoft.com/office/drawing/2014/main" id="{F435430D-C728-47E8-9F82-81CD47A213D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2102" name="Text Box 192">
          <a:extLst>
            <a:ext uri="{FF2B5EF4-FFF2-40B4-BE49-F238E27FC236}">
              <a16:creationId xmlns:a16="http://schemas.microsoft.com/office/drawing/2014/main" id="{E6219B59-13EA-49EF-B950-2756F773B8D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2103" name="Text Box 192">
          <a:extLst>
            <a:ext uri="{FF2B5EF4-FFF2-40B4-BE49-F238E27FC236}">
              <a16:creationId xmlns:a16="http://schemas.microsoft.com/office/drawing/2014/main" id="{78E1FBFE-B24A-4804-85EB-571CFF4002D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2104" name="Text Box 192">
          <a:extLst>
            <a:ext uri="{FF2B5EF4-FFF2-40B4-BE49-F238E27FC236}">
              <a16:creationId xmlns:a16="http://schemas.microsoft.com/office/drawing/2014/main" id="{E5E177E1-C4DA-452A-A12E-C24708BD0EE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2105" name="Text Box 192">
          <a:extLst>
            <a:ext uri="{FF2B5EF4-FFF2-40B4-BE49-F238E27FC236}">
              <a16:creationId xmlns:a16="http://schemas.microsoft.com/office/drawing/2014/main" id="{2ED4A0AB-F227-4CAC-B0C2-DFC151FBE3F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2106" name="Text Box 192">
          <a:extLst>
            <a:ext uri="{FF2B5EF4-FFF2-40B4-BE49-F238E27FC236}">
              <a16:creationId xmlns:a16="http://schemas.microsoft.com/office/drawing/2014/main" id="{B5B8A6E2-17E2-4B20-A487-164DAF8FA8B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247</xdr:row>
      <xdr:rowOff>0</xdr:rowOff>
    </xdr:from>
    <xdr:ext cx="10372" cy="228955"/>
    <xdr:sp macro="" textlink="">
      <xdr:nvSpPr>
        <xdr:cNvPr id="2107" name="Text Box 192">
          <a:extLst>
            <a:ext uri="{FF2B5EF4-FFF2-40B4-BE49-F238E27FC236}">
              <a16:creationId xmlns:a16="http://schemas.microsoft.com/office/drawing/2014/main" id="{C22BE774-59D5-4638-9EFF-4921BF049ADF}"/>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08" name="Text Box 192">
          <a:extLst>
            <a:ext uri="{FF2B5EF4-FFF2-40B4-BE49-F238E27FC236}">
              <a16:creationId xmlns:a16="http://schemas.microsoft.com/office/drawing/2014/main" id="{0CD06EF1-00BA-45E0-9798-0A3EF8E69C6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09" name="Text Box 192">
          <a:extLst>
            <a:ext uri="{FF2B5EF4-FFF2-40B4-BE49-F238E27FC236}">
              <a16:creationId xmlns:a16="http://schemas.microsoft.com/office/drawing/2014/main" id="{1B5A5CBD-D5D9-4301-860B-DEB03E49E9C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10" name="Text Box 192">
          <a:extLst>
            <a:ext uri="{FF2B5EF4-FFF2-40B4-BE49-F238E27FC236}">
              <a16:creationId xmlns:a16="http://schemas.microsoft.com/office/drawing/2014/main" id="{73F1887B-FF5C-4171-9BF8-16B61087547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11" name="Text Box 192">
          <a:extLst>
            <a:ext uri="{FF2B5EF4-FFF2-40B4-BE49-F238E27FC236}">
              <a16:creationId xmlns:a16="http://schemas.microsoft.com/office/drawing/2014/main" id="{C2A1A55E-ECB6-42BB-86AF-11B0C1BAD28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12" name="Text Box 192">
          <a:extLst>
            <a:ext uri="{FF2B5EF4-FFF2-40B4-BE49-F238E27FC236}">
              <a16:creationId xmlns:a16="http://schemas.microsoft.com/office/drawing/2014/main" id="{7E8231C5-1F61-490C-88EA-F4A14AB47E9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13" name="Text Box 192">
          <a:extLst>
            <a:ext uri="{FF2B5EF4-FFF2-40B4-BE49-F238E27FC236}">
              <a16:creationId xmlns:a16="http://schemas.microsoft.com/office/drawing/2014/main" id="{57815B43-E80C-48C0-80DC-2699CD79398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14" name="Text Box 192">
          <a:extLst>
            <a:ext uri="{FF2B5EF4-FFF2-40B4-BE49-F238E27FC236}">
              <a16:creationId xmlns:a16="http://schemas.microsoft.com/office/drawing/2014/main" id="{09C4E518-9848-401B-9CCF-16D2297BDA1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15" name="Text Box 192">
          <a:extLst>
            <a:ext uri="{FF2B5EF4-FFF2-40B4-BE49-F238E27FC236}">
              <a16:creationId xmlns:a16="http://schemas.microsoft.com/office/drawing/2014/main" id="{DDC60A15-D797-42B0-9D3D-14441C116E9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16" name="Text Box 192">
          <a:extLst>
            <a:ext uri="{FF2B5EF4-FFF2-40B4-BE49-F238E27FC236}">
              <a16:creationId xmlns:a16="http://schemas.microsoft.com/office/drawing/2014/main" id="{F1331682-494E-4CE8-8207-E7B0EBD6063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17" name="Text Box 192">
          <a:extLst>
            <a:ext uri="{FF2B5EF4-FFF2-40B4-BE49-F238E27FC236}">
              <a16:creationId xmlns:a16="http://schemas.microsoft.com/office/drawing/2014/main" id="{3F9C95B7-CBDE-456A-B24B-A24397A20FC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2118" name="Text Box 192">
          <a:extLst>
            <a:ext uri="{FF2B5EF4-FFF2-40B4-BE49-F238E27FC236}">
              <a16:creationId xmlns:a16="http://schemas.microsoft.com/office/drawing/2014/main" id="{001DFBBB-5633-4021-B5AD-ACED44A5DF59}"/>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19" name="Text Box 192">
          <a:extLst>
            <a:ext uri="{FF2B5EF4-FFF2-40B4-BE49-F238E27FC236}">
              <a16:creationId xmlns:a16="http://schemas.microsoft.com/office/drawing/2014/main" id="{C953AFF1-85D4-4656-8EF3-6BB36486DA6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20" name="Text Box 192">
          <a:extLst>
            <a:ext uri="{FF2B5EF4-FFF2-40B4-BE49-F238E27FC236}">
              <a16:creationId xmlns:a16="http://schemas.microsoft.com/office/drawing/2014/main" id="{85CCE431-E448-4895-881E-89566E053EA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21" name="Text Box 192">
          <a:extLst>
            <a:ext uri="{FF2B5EF4-FFF2-40B4-BE49-F238E27FC236}">
              <a16:creationId xmlns:a16="http://schemas.microsoft.com/office/drawing/2014/main" id="{DA0684B3-45E9-4100-9A64-72AB07B8EC5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22" name="Text Box 192">
          <a:extLst>
            <a:ext uri="{FF2B5EF4-FFF2-40B4-BE49-F238E27FC236}">
              <a16:creationId xmlns:a16="http://schemas.microsoft.com/office/drawing/2014/main" id="{E2167ED0-0961-4ACD-AC94-A0493656C6D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23" name="Text Box 192">
          <a:extLst>
            <a:ext uri="{FF2B5EF4-FFF2-40B4-BE49-F238E27FC236}">
              <a16:creationId xmlns:a16="http://schemas.microsoft.com/office/drawing/2014/main" id="{8BD089F6-FAED-4EAF-A281-FBAFD764E42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24" name="Text Box 192">
          <a:extLst>
            <a:ext uri="{FF2B5EF4-FFF2-40B4-BE49-F238E27FC236}">
              <a16:creationId xmlns:a16="http://schemas.microsoft.com/office/drawing/2014/main" id="{2DBB0CF3-E402-4C15-B1F8-AC411ADC3C2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25" name="Text Box 192">
          <a:extLst>
            <a:ext uri="{FF2B5EF4-FFF2-40B4-BE49-F238E27FC236}">
              <a16:creationId xmlns:a16="http://schemas.microsoft.com/office/drawing/2014/main" id="{DEE9A4F1-1D11-4C27-B2C1-C473DBE53EE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26" name="Text Box 192">
          <a:extLst>
            <a:ext uri="{FF2B5EF4-FFF2-40B4-BE49-F238E27FC236}">
              <a16:creationId xmlns:a16="http://schemas.microsoft.com/office/drawing/2014/main" id="{3A1FE05D-B4BF-4698-8BC2-CD58B1DD185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27" name="Text Box 192">
          <a:extLst>
            <a:ext uri="{FF2B5EF4-FFF2-40B4-BE49-F238E27FC236}">
              <a16:creationId xmlns:a16="http://schemas.microsoft.com/office/drawing/2014/main" id="{3EDE732A-044A-4305-9E43-5014536CBBB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28" name="Text Box 192">
          <a:extLst>
            <a:ext uri="{FF2B5EF4-FFF2-40B4-BE49-F238E27FC236}">
              <a16:creationId xmlns:a16="http://schemas.microsoft.com/office/drawing/2014/main" id="{15A3946C-9BE2-418C-95C9-D199DAD6862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2129" name="Text Box 192">
          <a:extLst>
            <a:ext uri="{FF2B5EF4-FFF2-40B4-BE49-F238E27FC236}">
              <a16:creationId xmlns:a16="http://schemas.microsoft.com/office/drawing/2014/main" id="{6079BA68-B0B3-4B83-84C1-6703FC6C9E59}"/>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30" name="Text Box 192">
          <a:extLst>
            <a:ext uri="{FF2B5EF4-FFF2-40B4-BE49-F238E27FC236}">
              <a16:creationId xmlns:a16="http://schemas.microsoft.com/office/drawing/2014/main" id="{4B82DFC9-8FC8-41AB-8232-CE2ED9CF2FE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31" name="Text Box 192">
          <a:extLst>
            <a:ext uri="{FF2B5EF4-FFF2-40B4-BE49-F238E27FC236}">
              <a16:creationId xmlns:a16="http://schemas.microsoft.com/office/drawing/2014/main" id="{8DED3460-238A-419D-8B8F-908FE2E4DF8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32" name="Text Box 192">
          <a:extLst>
            <a:ext uri="{FF2B5EF4-FFF2-40B4-BE49-F238E27FC236}">
              <a16:creationId xmlns:a16="http://schemas.microsoft.com/office/drawing/2014/main" id="{458E3523-DE79-4170-9AE5-79F36FE62EF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33" name="Text Box 192">
          <a:extLst>
            <a:ext uri="{FF2B5EF4-FFF2-40B4-BE49-F238E27FC236}">
              <a16:creationId xmlns:a16="http://schemas.microsoft.com/office/drawing/2014/main" id="{29531A9A-AE47-4277-B003-9CA8A1B1937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34" name="Text Box 192">
          <a:extLst>
            <a:ext uri="{FF2B5EF4-FFF2-40B4-BE49-F238E27FC236}">
              <a16:creationId xmlns:a16="http://schemas.microsoft.com/office/drawing/2014/main" id="{55507746-7520-4765-A18A-3D0B4522933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35" name="Text Box 192">
          <a:extLst>
            <a:ext uri="{FF2B5EF4-FFF2-40B4-BE49-F238E27FC236}">
              <a16:creationId xmlns:a16="http://schemas.microsoft.com/office/drawing/2014/main" id="{F605E6A8-722B-4C4D-AC12-17A9B8EB510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36" name="Text Box 192">
          <a:extLst>
            <a:ext uri="{FF2B5EF4-FFF2-40B4-BE49-F238E27FC236}">
              <a16:creationId xmlns:a16="http://schemas.microsoft.com/office/drawing/2014/main" id="{344AB0CF-1441-45F5-AC7A-E32BE61051C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37" name="Text Box 192">
          <a:extLst>
            <a:ext uri="{FF2B5EF4-FFF2-40B4-BE49-F238E27FC236}">
              <a16:creationId xmlns:a16="http://schemas.microsoft.com/office/drawing/2014/main" id="{83E3E6B9-E88D-467D-B568-29B353E08FD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38" name="Text Box 192">
          <a:extLst>
            <a:ext uri="{FF2B5EF4-FFF2-40B4-BE49-F238E27FC236}">
              <a16:creationId xmlns:a16="http://schemas.microsoft.com/office/drawing/2014/main" id="{5CD948C3-27DE-4EEB-8DF1-BD10528D2DE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39" name="Text Box 192">
          <a:extLst>
            <a:ext uri="{FF2B5EF4-FFF2-40B4-BE49-F238E27FC236}">
              <a16:creationId xmlns:a16="http://schemas.microsoft.com/office/drawing/2014/main" id="{C06BCCAE-368C-4EC0-8D06-040FE1C2426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2140" name="Text Box 192">
          <a:extLst>
            <a:ext uri="{FF2B5EF4-FFF2-40B4-BE49-F238E27FC236}">
              <a16:creationId xmlns:a16="http://schemas.microsoft.com/office/drawing/2014/main" id="{84397009-33A6-4AC7-B667-57926583A389}"/>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41" name="Text Box 192">
          <a:extLst>
            <a:ext uri="{FF2B5EF4-FFF2-40B4-BE49-F238E27FC236}">
              <a16:creationId xmlns:a16="http://schemas.microsoft.com/office/drawing/2014/main" id="{C3B40CE8-CC39-4A27-B043-5E40B73F22E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42" name="Text Box 192">
          <a:extLst>
            <a:ext uri="{FF2B5EF4-FFF2-40B4-BE49-F238E27FC236}">
              <a16:creationId xmlns:a16="http://schemas.microsoft.com/office/drawing/2014/main" id="{82E4FF62-EEB9-48BC-AE5C-70022C55020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43" name="Text Box 192">
          <a:extLst>
            <a:ext uri="{FF2B5EF4-FFF2-40B4-BE49-F238E27FC236}">
              <a16:creationId xmlns:a16="http://schemas.microsoft.com/office/drawing/2014/main" id="{09247B2A-5AD0-44B2-B15B-14CB18C60BB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44" name="Text Box 192">
          <a:extLst>
            <a:ext uri="{FF2B5EF4-FFF2-40B4-BE49-F238E27FC236}">
              <a16:creationId xmlns:a16="http://schemas.microsoft.com/office/drawing/2014/main" id="{F92DDE87-964D-45E5-A395-1F9269022B9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45" name="Text Box 192">
          <a:extLst>
            <a:ext uri="{FF2B5EF4-FFF2-40B4-BE49-F238E27FC236}">
              <a16:creationId xmlns:a16="http://schemas.microsoft.com/office/drawing/2014/main" id="{0925F8C3-2708-43C1-904D-857566C9EBD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46" name="Text Box 192">
          <a:extLst>
            <a:ext uri="{FF2B5EF4-FFF2-40B4-BE49-F238E27FC236}">
              <a16:creationId xmlns:a16="http://schemas.microsoft.com/office/drawing/2014/main" id="{E9628FEC-35F0-48DE-8009-A97FF38E30F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47" name="Text Box 192">
          <a:extLst>
            <a:ext uri="{FF2B5EF4-FFF2-40B4-BE49-F238E27FC236}">
              <a16:creationId xmlns:a16="http://schemas.microsoft.com/office/drawing/2014/main" id="{9D7F6720-0730-4715-8BC6-E5C22C0ABD5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48" name="Text Box 192">
          <a:extLst>
            <a:ext uri="{FF2B5EF4-FFF2-40B4-BE49-F238E27FC236}">
              <a16:creationId xmlns:a16="http://schemas.microsoft.com/office/drawing/2014/main" id="{996A5352-64A9-4B70-B527-423910C8DCA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49" name="Text Box 192">
          <a:extLst>
            <a:ext uri="{FF2B5EF4-FFF2-40B4-BE49-F238E27FC236}">
              <a16:creationId xmlns:a16="http://schemas.microsoft.com/office/drawing/2014/main" id="{0E25ED10-5491-4583-A5C1-9C95FE0AC14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50" name="Text Box 192">
          <a:extLst>
            <a:ext uri="{FF2B5EF4-FFF2-40B4-BE49-F238E27FC236}">
              <a16:creationId xmlns:a16="http://schemas.microsoft.com/office/drawing/2014/main" id="{BC5088A5-8799-4A07-9423-8C883A8C386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2151" name="Text Box 192">
          <a:extLst>
            <a:ext uri="{FF2B5EF4-FFF2-40B4-BE49-F238E27FC236}">
              <a16:creationId xmlns:a16="http://schemas.microsoft.com/office/drawing/2014/main" id="{95B4DD5C-372A-49FD-BABA-1CE58AA68F0A}"/>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52" name="Text Box 192">
          <a:extLst>
            <a:ext uri="{FF2B5EF4-FFF2-40B4-BE49-F238E27FC236}">
              <a16:creationId xmlns:a16="http://schemas.microsoft.com/office/drawing/2014/main" id="{2AE2ED85-0985-45A9-AFF5-12993314744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53" name="Text Box 192">
          <a:extLst>
            <a:ext uri="{FF2B5EF4-FFF2-40B4-BE49-F238E27FC236}">
              <a16:creationId xmlns:a16="http://schemas.microsoft.com/office/drawing/2014/main" id="{A159D8D6-8C5A-4C84-AF05-86C29C9AB06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54" name="Text Box 192">
          <a:extLst>
            <a:ext uri="{FF2B5EF4-FFF2-40B4-BE49-F238E27FC236}">
              <a16:creationId xmlns:a16="http://schemas.microsoft.com/office/drawing/2014/main" id="{BB251FB5-6D68-4473-987D-E61C1D6A2E1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55" name="Text Box 192">
          <a:extLst>
            <a:ext uri="{FF2B5EF4-FFF2-40B4-BE49-F238E27FC236}">
              <a16:creationId xmlns:a16="http://schemas.microsoft.com/office/drawing/2014/main" id="{FC2F690E-9AE1-4FB3-95DA-420B5068CD8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56" name="Text Box 192">
          <a:extLst>
            <a:ext uri="{FF2B5EF4-FFF2-40B4-BE49-F238E27FC236}">
              <a16:creationId xmlns:a16="http://schemas.microsoft.com/office/drawing/2014/main" id="{A47F5ED6-F1FD-48E3-AF9E-6F3A2B11E31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57" name="Text Box 192">
          <a:extLst>
            <a:ext uri="{FF2B5EF4-FFF2-40B4-BE49-F238E27FC236}">
              <a16:creationId xmlns:a16="http://schemas.microsoft.com/office/drawing/2014/main" id="{8B064D76-7A5E-4D66-BE5B-D9155D43FB9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58" name="Text Box 192">
          <a:extLst>
            <a:ext uri="{FF2B5EF4-FFF2-40B4-BE49-F238E27FC236}">
              <a16:creationId xmlns:a16="http://schemas.microsoft.com/office/drawing/2014/main" id="{C430E75B-F317-4866-A660-6CE3ABD3F98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59" name="Text Box 192">
          <a:extLst>
            <a:ext uri="{FF2B5EF4-FFF2-40B4-BE49-F238E27FC236}">
              <a16:creationId xmlns:a16="http://schemas.microsoft.com/office/drawing/2014/main" id="{0C54A6F3-623A-4FED-AD41-4396A3A5D05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60" name="Text Box 192">
          <a:extLst>
            <a:ext uri="{FF2B5EF4-FFF2-40B4-BE49-F238E27FC236}">
              <a16:creationId xmlns:a16="http://schemas.microsoft.com/office/drawing/2014/main" id="{1CAA47B1-DE30-4F86-A090-D0C955E0FD2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61" name="Text Box 192">
          <a:extLst>
            <a:ext uri="{FF2B5EF4-FFF2-40B4-BE49-F238E27FC236}">
              <a16:creationId xmlns:a16="http://schemas.microsoft.com/office/drawing/2014/main" id="{EB879DE6-879A-449A-AA76-CE15BD3968C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2162" name="Text Box 192">
          <a:extLst>
            <a:ext uri="{FF2B5EF4-FFF2-40B4-BE49-F238E27FC236}">
              <a16:creationId xmlns:a16="http://schemas.microsoft.com/office/drawing/2014/main" id="{6822C4E3-C803-4E9F-99CC-7476D617F86F}"/>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63" name="Text Box 192">
          <a:extLst>
            <a:ext uri="{FF2B5EF4-FFF2-40B4-BE49-F238E27FC236}">
              <a16:creationId xmlns:a16="http://schemas.microsoft.com/office/drawing/2014/main" id="{F0D2A3A3-5B78-41C8-8C39-C54A26176CA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64" name="Text Box 192">
          <a:extLst>
            <a:ext uri="{FF2B5EF4-FFF2-40B4-BE49-F238E27FC236}">
              <a16:creationId xmlns:a16="http://schemas.microsoft.com/office/drawing/2014/main" id="{BEA379EC-E85A-41F2-855C-347B6C5147F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65" name="Text Box 192">
          <a:extLst>
            <a:ext uri="{FF2B5EF4-FFF2-40B4-BE49-F238E27FC236}">
              <a16:creationId xmlns:a16="http://schemas.microsoft.com/office/drawing/2014/main" id="{17E3361F-CCA0-47B2-B394-8D151DB32AD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66" name="Text Box 192">
          <a:extLst>
            <a:ext uri="{FF2B5EF4-FFF2-40B4-BE49-F238E27FC236}">
              <a16:creationId xmlns:a16="http://schemas.microsoft.com/office/drawing/2014/main" id="{493C7450-24F3-47FE-9033-916219690A3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67" name="Text Box 192">
          <a:extLst>
            <a:ext uri="{FF2B5EF4-FFF2-40B4-BE49-F238E27FC236}">
              <a16:creationId xmlns:a16="http://schemas.microsoft.com/office/drawing/2014/main" id="{50F51066-49C6-4BE0-9BCC-EFC794D3D40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68" name="Text Box 192">
          <a:extLst>
            <a:ext uri="{FF2B5EF4-FFF2-40B4-BE49-F238E27FC236}">
              <a16:creationId xmlns:a16="http://schemas.microsoft.com/office/drawing/2014/main" id="{E79E59A6-DA07-4DFC-9305-E7D620A7884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69" name="Text Box 192">
          <a:extLst>
            <a:ext uri="{FF2B5EF4-FFF2-40B4-BE49-F238E27FC236}">
              <a16:creationId xmlns:a16="http://schemas.microsoft.com/office/drawing/2014/main" id="{2E3212E3-9E63-4213-AAB8-11158B9D6A8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70" name="Text Box 192">
          <a:extLst>
            <a:ext uri="{FF2B5EF4-FFF2-40B4-BE49-F238E27FC236}">
              <a16:creationId xmlns:a16="http://schemas.microsoft.com/office/drawing/2014/main" id="{739CEDA2-DF1C-4B0F-BF56-2E5D53D6CB0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71" name="Text Box 192">
          <a:extLst>
            <a:ext uri="{FF2B5EF4-FFF2-40B4-BE49-F238E27FC236}">
              <a16:creationId xmlns:a16="http://schemas.microsoft.com/office/drawing/2014/main" id="{8A7C11D5-9013-43F8-AF6F-3094CFC1457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72" name="Text Box 192">
          <a:extLst>
            <a:ext uri="{FF2B5EF4-FFF2-40B4-BE49-F238E27FC236}">
              <a16:creationId xmlns:a16="http://schemas.microsoft.com/office/drawing/2014/main" id="{9A241D36-5DCD-470A-911F-501B1C51DC1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2173" name="Text Box 192">
          <a:extLst>
            <a:ext uri="{FF2B5EF4-FFF2-40B4-BE49-F238E27FC236}">
              <a16:creationId xmlns:a16="http://schemas.microsoft.com/office/drawing/2014/main" id="{4C0BEC97-004B-4C52-86E8-ED44F1EA91EB}"/>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74" name="Text Box 192">
          <a:extLst>
            <a:ext uri="{FF2B5EF4-FFF2-40B4-BE49-F238E27FC236}">
              <a16:creationId xmlns:a16="http://schemas.microsoft.com/office/drawing/2014/main" id="{0BAE9415-7388-40BA-A639-DA74AD17C8D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75" name="Text Box 192">
          <a:extLst>
            <a:ext uri="{FF2B5EF4-FFF2-40B4-BE49-F238E27FC236}">
              <a16:creationId xmlns:a16="http://schemas.microsoft.com/office/drawing/2014/main" id="{4EFC0D0B-0AE1-496C-9DA3-B71A55A0418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76" name="Text Box 192">
          <a:extLst>
            <a:ext uri="{FF2B5EF4-FFF2-40B4-BE49-F238E27FC236}">
              <a16:creationId xmlns:a16="http://schemas.microsoft.com/office/drawing/2014/main" id="{CFB7941E-0472-47A6-87CB-6A859F9C234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77" name="Text Box 192">
          <a:extLst>
            <a:ext uri="{FF2B5EF4-FFF2-40B4-BE49-F238E27FC236}">
              <a16:creationId xmlns:a16="http://schemas.microsoft.com/office/drawing/2014/main" id="{10FD9691-E211-41FB-AD1A-0A37779096C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78" name="Text Box 192">
          <a:extLst>
            <a:ext uri="{FF2B5EF4-FFF2-40B4-BE49-F238E27FC236}">
              <a16:creationId xmlns:a16="http://schemas.microsoft.com/office/drawing/2014/main" id="{5FF60A41-77DB-4A8D-9480-54D647FBB97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79" name="Text Box 192">
          <a:extLst>
            <a:ext uri="{FF2B5EF4-FFF2-40B4-BE49-F238E27FC236}">
              <a16:creationId xmlns:a16="http://schemas.microsoft.com/office/drawing/2014/main" id="{F9838B98-E701-4993-B66E-E11062B5F53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80" name="Text Box 192">
          <a:extLst>
            <a:ext uri="{FF2B5EF4-FFF2-40B4-BE49-F238E27FC236}">
              <a16:creationId xmlns:a16="http://schemas.microsoft.com/office/drawing/2014/main" id="{12F14CB4-F4A3-4E6C-BF88-14E38E4D5C0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81" name="Text Box 192">
          <a:extLst>
            <a:ext uri="{FF2B5EF4-FFF2-40B4-BE49-F238E27FC236}">
              <a16:creationId xmlns:a16="http://schemas.microsoft.com/office/drawing/2014/main" id="{5796D576-327E-4265-BBDD-1B9D50DA102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82" name="Text Box 192">
          <a:extLst>
            <a:ext uri="{FF2B5EF4-FFF2-40B4-BE49-F238E27FC236}">
              <a16:creationId xmlns:a16="http://schemas.microsoft.com/office/drawing/2014/main" id="{497C0C2E-7AA2-4551-B1CA-B5A7BFDB1CA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83" name="Text Box 192">
          <a:extLst>
            <a:ext uri="{FF2B5EF4-FFF2-40B4-BE49-F238E27FC236}">
              <a16:creationId xmlns:a16="http://schemas.microsoft.com/office/drawing/2014/main" id="{FBB8AF01-8587-4B3B-8B86-050C7CA35EE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2184" name="Text Box 192">
          <a:extLst>
            <a:ext uri="{FF2B5EF4-FFF2-40B4-BE49-F238E27FC236}">
              <a16:creationId xmlns:a16="http://schemas.microsoft.com/office/drawing/2014/main" id="{01C16816-2C49-48E9-9F54-D922667E2808}"/>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85" name="Text Box 192">
          <a:extLst>
            <a:ext uri="{FF2B5EF4-FFF2-40B4-BE49-F238E27FC236}">
              <a16:creationId xmlns:a16="http://schemas.microsoft.com/office/drawing/2014/main" id="{F6311C1A-A043-467F-9121-54315363FED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86" name="Text Box 192">
          <a:extLst>
            <a:ext uri="{FF2B5EF4-FFF2-40B4-BE49-F238E27FC236}">
              <a16:creationId xmlns:a16="http://schemas.microsoft.com/office/drawing/2014/main" id="{4B511D81-9658-4313-9214-0A32F4F27CD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87" name="Text Box 192">
          <a:extLst>
            <a:ext uri="{FF2B5EF4-FFF2-40B4-BE49-F238E27FC236}">
              <a16:creationId xmlns:a16="http://schemas.microsoft.com/office/drawing/2014/main" id="{51EAAF45-7546-4840-A6C7-6909AA4898C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88" name="Text Box 192">
          <a:extLst>
            <a:ext uri="{FF2B5EF4-FFF2-40B4-BE49-F238E27FC236}">
              <a16:creationId xmlns:a16="http://schemas.microsoft.com/office/drawing/2014/main" id="{099A675D-B89E-42A8-B7DC-509DEB0CD09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89" name="Text Box 192">
          <a:extLst>
            <a:ext uri="{FF2B5EF4-FFF2-40B4-BE49-F238E27FC236}">
              <a16:creationId xmlns:a16="http://schemas.microsoft.com/office/drawing/2014/main" id="{575B1B01-9B49-45B4-BE49-4F91EF31396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90" name="Text Box 192">
          <a:extLst>
            <a:ext uri="{FF2B5EF4-FFF2-40B4-BE49-F238E27FC236}">
              <a16:creationId xmlns:a16="http://schemas.microsoft.com/office/drawing/2014/main" id="{F4CE9F5E-E024-4654-8307-422E7F66AB4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91" name="Text Box 192">
          <a:extLst>
            <a:ext uri="{FF2B5EF4-FFF2-40B4-BE49-F238E27FC236}">
              <a16:creationId xmlns:a16="http://schemas.microsoft.com/office/drawing/2014/main" id="{F179F577-0CAC-4472-AFD1-417F295B013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92" name="Text Box 192">
          <a:extLst>
            <a:ext uri="{FF2B5EF4-FFF2-40B4-BE49-F238E27FC236}">
              <a16:creationId xmlns:a16="http://schemas.microsoft.com/office/drawing/2014/main" id="{07ED736C-213B-4974-8E6B-DFB8C3E6C1D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93" name="Text Box 192">
          <a:extLst>
            <a:ext uri="{FF2B5EF4-FFF2-40B4-BE49-F238E27FC236}">
              <a16:creationId xmlns:a16="http://schemas.microsoft.com/office/drawing/2014/main" id="{8AE63931-29DA-4E1A-BD74-BC5AA1C96D0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94" name="Text Box 192">
          <a:extLst>
            <a:ext uri="{FF2B5EF4-FFF2-40B4-BE49-F238E27FC236}">
              <a16:creationId xmlns:a16="http://schemas.microsoft.com/office/drawing/2014/main" id="{69CE1E70-C04E-4A7D-A872-82F720306C1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2195" name="Text Box 192">
          <a:extLst>
            <a:ext uri="{FF2B5EF4-FFF2-40B4-BE49-F238E27FC236}">
              <a16:creationId xmlns:a16="http://schemas.microsoft.com/office/drawing/2014/main" id="{7208843F-A179-4A92-A6A4-B014D7A1DB19}"/>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196" name="Text Box 192">
          <a:extLst>
            <a:ext uri="{FF2B5EF4-FFF2-40B4-BE49-F238E27FC236}">
              <a16:creationId xmlns:a16="http://schemas.microsoft.com/office/drawing/2014/main" id="{1DA3D084-6123-4444-8B59-77B35CEDC2D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197" name="Text Box 192">
          <a:extLst>
            <a:ext uri="{FF2B5EF4-FFF2-40B4-BE49-F238E27FC236}">
              <a16:creationId xmlns:a16="http://schemas.microsoft.com/office/drawing/2014/main" id="{34F712B3-0E24-482E-B454-A607B172950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198" name="Text Box 192">
          <a:extLst>
            <a:ext uri="{FF2B5EF4-FFF2-40B4-BE49-F238E27FC236}">
              <a16:creationId xmlns:a16="http://schemas.microsoft.com/office/drawing/2014/main" id="{D5709F0E-4828-41FE-88EC-F2435336759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199" name="Text Box 192">
          <a:extLst>
            <a:ext uri="{FF2B5EF4-FFF2-40B4-BE49-F238E27FC236}">
              <a16:creationId xmlns:a16="http://schemas.microsoft.com/office/drawing/2014/main" id="{00C42066-D1EE-45AD-A107-D7BEA40322C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200" name="Text Box 192">
          <a:extLst>
            <a:ext uri="{FF2B5EF4-FFF2-40B4-BE49-F238E27FC236}">
              <a16:creationId xmlns:a16="http://schemas.microsoft.com/office/drawing/2014/main" id="{28392D4E-6D15-47D3-9A5D-9CEF0D12EF5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201" name="Text Box 192">
          <a:extLst>
            <a:ext uri="{FF2B5EF4-FFF2-40B4-BE49-F238E27FC236}">
              <a16:creationId xmlns:a16="http://schemas.microsoft.com/office/drawing/2014/main" id="{5F116497-3FFA-44C4-BCE5-1BA74B9C749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202" name="Text Box 192">
          <a:extLst>
            <a:ext uri="{FF2B5EF4-FFF2-40B4-BE49-F238E27FC236}">
              <a16:creationId xmlns:a16="http://schemas.microsoft.com/office/drawing/2014/main" id="{59CAAF64-67BC-4A03-A26E-272FF4A4BF8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203" name="Text Box 192">
          <a:extLst>
            <a:ext uri="{FF2B5EF4-FFF2-40B4-BE49-F238E27FC236}">
              <a16:creationId xmlns:a16="http://schemas.microsoft.com/office/drawing/2014/main" id="{ADEFD9F4-A12D-4B50-A9C2-62E133988D9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204" name="Text Box 192">
          <a:extLst>
            <a:ext uri="{FF2B5EF4-FFF2-40B4-BE49-F238E27FC236}">
              <a16:creationId xmlns:a16="http://schemas.microsoft.com/office/drawing/2014/main" id="{96519333-8CB2-467B-A7A5-53BDE52490C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205" name="Text Box 192">
          <a:extLst>
            <a:ext uri="{FF2B5EF4-FFF2-40B4-BE49-F238E27FC236}">
              <a16:creationId xmlns:a16="http://schemas.microsoft.com/office/drawing/2014/main" id="{E837B1FB-D531-4F22-89F2-3E94ACB8A29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2206" name="Text Box 192">
          <a:extLst>
            <a:ext uri="{FF2B5EF4-FFF2-40B4-BE49-F238E27FC236}">
              <a16:creationId xmlns:a16="http://schemas.microsoft.com/office/drawing/2014/main" id="{C4EDCBE5-4C8F-4DB1-BA3E-7304C1A89B55}"/>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07" name="Text Box 192">
          <a:extLst>
            <a:ext uri="{FF2B5EF4-FFF2-40B4-BE49-F238E27FC236}">
              <a16:creationId xmlns:a16="http://schemas.microsoft.com/office/drawing/2014/main" id="{8EABF871-981F-49CB-A309-BED253A61F8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08" name="Text Box 192">
          <a:extLst>
            <a:ext uri="{FF2B5EF4-FFF2-40B4-BE49-F238E27FC236}">
              <a16:creationId xmlns:a16="http://schemas.microsoft.com/office/drawing/2014/main" id="{D629BAF2-7818-4DA5-983D-EBDDCD105DB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09" name="Text Box 192">
          <a:extLst>
            <a:ext uri="{FF2B5EF4-FFF2-40B4-BE49-F238E27FC236}">
              <a16:creationId xmlns:a16="http://schemas.microsoft.com/office/drawing/2014/main" id="{9D432DFB-5E73-4814-8B66-DA5CAD11B28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10" name="Text Box 192">
          <a:extLst>
            <a:ext uri="{FF2B5EF4-FFF2-40B4-BE49-F238E27FC236}">
              <a16:creationId xmlns:a16="http://schemas.microsoft.com/office/drawing/2014/main" id="{39C9C209-76DF-4358-A28B-A87FA2BD980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11" name="Text Box 192">
          <a:extLst>
            <a:ext uri="{FF2B5EF4-FFF2-40B4-BE49-F238E27FC236}">
              <a16:creationId xmlns:a16="http://schemas.microsoft.com/office/drawing/2014/main" id="{0B1A83FB-56E1-4EF3-8FCA-80A1F56D15C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12" name="Text Box 192">
          <a:extLst>
            <a:ext uri="{FF2B5EF4-FFF2-40B4-BE49-F238E27FC236}">
              <a16:creationId xmlns:a16="http://schemas.microsoft.com/office/drawing/2014/main" id="{E4D2A7BA-A3C1-4B62-83CF-6B35DF122A3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13" name="Text Box 192">
          <a:extLst>
            <a:ext uri="{FF2B5EF4-FFF2-40B4-BE49-F238E27FC236}">
              <a16:creationId xmlns:a16="http://schemas.microsoft.com/office/drawing/2014/main" id="{7478A19F-8C3D-4A9A-88B2-1DB1369AD08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14" name="Text Box 192">
          <a:extLst>
            <a:ext uri="{FF2B5EF4-FFF2-40B4-BE49-F238E27FC236}">
              <a16:creationId xmlns:a16="http://schemas.microsoft.com/office/drawing/2014/main" id="{8DF5A01A-F0B6-4ADD-9710-35C6FBC7C1B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15" name="Text Box 192">
          <a:extLst>
            <a:ext uri="{FF2B5EF4-FFF2-40B4-BE49-F238E27FC236}">
              <a16:creationId xmlns:a16="http://schemas.microsoft.com/office/drawing/2014/main" id="{2AE3F4E6-57D3-427A-83A9-71FDA7846C8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16" name="Text Box 192">
          <a:extLst>
            <a:ext uri="{FF2B5EF4-FFF2-40B4-BE49-F238E27FC236}">
              <a16:creationId xmlns:a16="http://schemas.microsoft.com/office/drawing/2014/main" id="{B607C3E8-CF1D-4FF9-B4A5-AC6498C9100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2217" name="Text Box 192">
          <a:extLst>
            <a:ext uri="{FF2B5EF4-FFF2-40B4-BE49-F238E27FC236}">
              <a16:creationId xmlns:a16="http://schemas.microsoft.com/office/drawing/2014/main" id="{84974908-B5D5-4F31-9E95-E5DF39932FFF}"/>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18" name="Text Box 192">
          <a:extLst>
            <a:ext uri="{FF2B5EF4-FFF2-40B4-BE49-F238E27FC236}">
              <a16:creationId xmlns:a16="http://schemas.microsoft.com/office/drawing/2014/main" id="{F65B55B3-8141-4189-9A3E-BBE27CEEB20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19" name="Text Box 192">
          <a:extLst>
            <a:ext uri="{FF2B5EF4-FFF2-40B4-BE49-F238E27FC236}">
              <a16:creationId xmlns:a16="http://schemas.microsoft.com/office/drawing/2014/main" id="{782DA03E-8C8E-4162-8F8E-E39C35024C7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20" name="Text Box 192">
          <a:extLst>
            <a:ext uri="{FF2B5EF4-FFF2-40B4-BE49-F238E27FC236}">
              <a16:creationId xmlns:a16="http://schemas.microsoft.com/office/drawing/2014/main" id="{E1BD2476-2B5C-491F-A750-DA724EBD6D1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21" name="Text Box 192">
          <a:extLst>
            <a:ext uri="{FF2B5EF4-FFF2-40B4-BE49-F238E27FC236}">
              <a16:creationId xmlns:a16="http://schemas.microsoft.com/office/drawing/2014/main" id="{94D3DDAA-7195-4195-8C08-E675268F6AB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22" name="Text Box 192">
          <a:extLst>
            <a:ext uri="{FF2B5EF4-FFF2-40B4-BE49-F238E27FC236}">
              <a16:creationId xmlns:a16="http://schemas.microsoft.com/office/drawing/2014/main" id="{7118EE48-408A-44E2-A2E0-498B6D7A98C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23" name="Text Box 192">
          <a:extLst>
            <a:ext uri="{FF2B5EF4-FFF2-40B4-BE49-F238E27FC236}">
              <a16:creationId xmlns:a16="http://schemas.microsoft.com/office/drawing/2014/main" id="{B61929E9-40DC-465E-A64A-6A3F12D37E0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24" name="Text Box 192">
          <a:extLst>
            <a:ext uri="{FF2B5EF4-FFF2-40B4-BE49-F238E27FC236}">
              <a16:creationId xmlns:a16="http://schemas.microsoft.com/office/drawing/2014/main" id="{22DF63A5-2E5E-47F9-A1A5-9EF87B0A2F0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25" name="Text Box 192">
          <a:extLst>
            <a:ext uri="{FF2B5EF4-FFF2-40B4-BE49-F238E27FC236}">
              <a16:creationId xmlns:a16="http://schemas.microsoft.com/office/drawing/2014/main" id="{02F0BFBD-CBEB-46ED-9444-344DD68EA60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26" name="Text Box 192">
          <a:extLst>
            <a:ext uri="{FF2B5EF4-FFF2-40B4-BE49-F238E27FC236}">
              <a16:creationId xmlns:a16="http://schemas.microsoft.com/office/drawing/2014/main" id="{B3E3AEDB-DC78-43BD-89E7-CC45D991DFD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27" name="Text Box 192">
          <a:extLst>
            <a:ext uri="{FF2B5EF4-FFF2-40B4-BE49-F238E27FC236}">
              <a16:creationId xmlns:a16="http://schemas.microsoft.com/office/drawing/2014/main" id="{B77EBD80-0A6A-4EAA-84BF-5FCAFE2071D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2228" name="Text Box 192">
          <a:extLst>
            <a:ext uri="{FF2B5EF4-FFF2-40B4-BE49-F238E27FC236}">
              <a16:creationId xmlns:a16="http://schemas.microsoft.com/office/drawing/2014/main" id="{6FF4E0C5-A035-4487-AF1A-5CCF56585732}"/>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29" name="Text Box 192">
          <a:extLst>
            <a:ext uri="{FF2B5EF4-FFF2-40B4-BE49-F238E27FC236}">
              <a16:creationId xmlns:a16="http://schemas.microsoft.com/office/drawing/2014/main" id="{F7BE995B-A971-4CB6-897B-DBC942AD7BE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30" name="Text Box 192">
          <a:extLst>
            <a:ext uri="{FF2B5EF4-FFF2-40B4-BE49-F238E27FC236}">
              <a16:creationId xmlns:a16="http://schemas.microsoft.com/office/drawing/2014/main" id="{9A457F85-5E69-4A4F-ABAF-192E81B00A3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31" name="Text Box 192">
          <a:extLst>
            <a:ext uri="{FF2B5EF4-FFF2-40B4-BE49-F238E27FC236}">
              <a16:creationId xmlns:a16="http://schemas.microsoft.com/office/drawing/2014/main" id="{A34912FA-332F-4662-AD77-E6D39F3ECAF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32" name="Text Box 192">
          <a:extLst>
            <a:ext uri="{FF2B5EF4-FFF2-40B4-BE49-F238E27FC236}">
              <a16:creationId xmlns:a16="http://schemas.microsoft.com/office/drawing/2014/main" id="{3F776AFC-0174-4596-8C88-A174AF28520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33" name="Text Box 192">
          <a:extLst>
            <a:ext uri="{FF2B5EF4-FFF2-40B4-BE49-F238E27FC236}">
              <a16:creationId xmlns:a16="http://schemas.microsoft.com/office/drawing/2014/main" id="{5225EBC9-1DE8-48A5-9F17-AE087396538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34" name="Text Box 192">
          <a:extLst>
            <a:ext uri="{FF2B5EF4-FFF2-40B4-BE49-F238E27FC236}">
              <a16:creationId xmlns:a16="http://schemas.microsoft.com/office/drawing/2014/main" id="{0DD9572B-DEFF-4D3B-BD49-3BFBCFC8300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35" name="Text Box 192">
          <a:extLst>
            <a:ext uri="{FF2B5EF4-FFF2-40B4-BE49-F238E27FC236}">
              <a16:creationId xmlns:a16="http://schemas.microsoft.com/office/drawing/2014/main" id="{F769CFC4-46D8-4E71-9BB7-C0DBF363B02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36" name="Text Box 192">
          <a:extLst>
            <a:ext uri="{FF2B5EF4-FFF2-40B4-BE49-F238E27FC236}">
              <a16:creationId xmlns:a16="http://schemas.microsoft.com/office/drawing/2014/main" id="{3B3FAEB0-89DC-44F3-81C7-667BC92A874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37" name="Text Box 192">
          <a:extLst>
            <a:ext uri="{FF2B5EF4-FFF2-40B4-BE49-F238E27FC236}">
              <a16:creationId xmlns:a16="http://schemas.microsoft.com/office/drawing/2014/main" id="{C4EAF9CB-598E-4AEF-BC7F-6FD4440B603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38" name="Text Box 192">
          <a:extLst>
            <a:ext uri="{FF2B5EF4-FFF2-40B4-BE49-F238E27FC236}">
              <a16:creationId xmlns:a16="http://schemas.microsoft.com/office/drawing/2014/main" id="{566FC069-34EF-4AFF-A0AF-C614C2FCD86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2239" name="Text Box 192">
          <a:extLst>
            <a:ext uri="{FF2B5EF4-FFF2-40B4-BE49-F238E27FC236}">
              <a16:creationId xmlns:a16="http://schemas.microsoft.com/office/drawing/2014/main" id="{9EC1A7F0-CD35-47BC-A8FE-5CBE2D510B64}"/>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40" name="Text Box 192">
          <a:extLst>
            <a:ext uri="{FF2B5EF4-FFF2-40B4-BE49-F238E27FC236}">
              <a16:creationId xmlns:a16="http://schemas.microsoft.com/office/drawing/2014/main" id="{4B751EF5-18E1-4A12-9EF3-500EBF7B63F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41" name="Text Box 192">
          <a:extLst>
            <a:ext uri="{FF2B5EF4-FFF2-40B4-BE49-F238E27FC236}">
              <a16:creationId xmlns:a16="http://schemas.microsoft.com/office/drawing/2014/main" id="{315D7E9D-C066-4FAF-8E6B-A32F1A9E7DF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42" name="Text Box 192">
          <a:extLst>
            <a:ext uri="{FF2B5EF4-FFF2-40B4-BE49-F238E27FC236}">
              <a16:creationId xmlns:a16="http://schemas.microsoft.com/office/drawing/2014/main" id="{C26F89F1-A675-43CE-BC2A-5661EC67EB8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43" name="Text Box 192">
          <a:extLst>
            <a:ext uri="{FF2B5EF4-FFF2-40B4-BE49-F238E27FC236}">
              <a16:creationId xmlns:a16="http://schemas.microsoft.com/office/drawing/2014/main" id="{94A39923-F57A-4009-904E-776342CA9D6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44" name="Text Box 192">
          <a:extLst>
            <a:ext uri="{FF2B5EF4-FFF2-40B4-BE49-F238E27FC236}">
              <a16:creationId xmlns:a16="http://schemas.microsoft.com/office/drawing/2014/main" id="{AF29D535-3AEE-43AF-BA9A-3753112270B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45" name="Text Box 192">
          <a:extLst>
            <a:ext uri="{FF2B5EF4-FFF2-40B4-BE49-F238E27FC236}">
              <a16:creationId xmlns:a16="http://schemas.microsoft.com/office/drawing/2014/main" id="{1E0DA75C-A1DC-431C-83C6-2997EB9BC59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46" name="Text Box 192">
          <a:extLst>
            <a:ext uri="{FF2B5EF4-FFF2-40B4-BE49-F238E27FC236}">
              <a16:creationId xmlns:a16="http://schemas.microsoft.com/office/drawing/2014/main" id="{97C29B8E-7DAC-489F-A640-BB22B9E0C10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47" name="Text Box 192">
          <a:extLst>
            <a:ext uri="{FF2B5EF4-FFF2-40B4-BE49-F238E27FC236}">
              <a16:creationId xmlns:a16="http://schemas.microsoft.com/office/drawing/2014/main" id="{DF1196BA-6088-4EAA-A24A-1A6FF0FF48E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48" name="Text Box 192">
          <a:extLst>
            <a:ext uri="{FF2B5EF4-FFF2-40B4-BE49-F238E27FC236}">
              <a16:creationId xmlns:a16="http://schemas.microsoft.com/office/drawing/2014/main" id="{E67D749B-2595-44FC-A051-C34F93C526A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49" name="Text Box 192">
          <a:extLst>
            <a:ext uri="{FF2B5EF4-FFF2-40B4-BE49-F238E27FC236}">
              <a16:creationId xmlns:a16="http://schemas.microsoft.com/office/drawing/2014/main" id="{9B0D2B9F-0AF3-44F6-A43D-6D326BB519F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2250" name="Text Box 192">
          <a:extLst>
            <a:ext uri="{FF2B5EF4-FFF2-40B4-BE49-F238E27FC236}">
              <a16:creationId xmlns:a16="http://schemas.microsoft.com/office/drawing/2014/main" id="{9098FCBC-DCC0-4EBD-A4E2-309831A3312A}"/>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2251" name="Text Box 192">
          <a:extLst>
            <a:ext uri="{FF2B5EF4-FFF2-40B4-BE49-F238E27FC236}">
              <a16:creationId xmlns:a16="http://schemas.microsoft.com/office/drawing/2014/main" id="{C837CA1F-F5EB-4C3D-A29F-D0A45725448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2252" name="Text Box 192">
          <a:extLst>
            <a:ext uri="{FF2B5EF4-FFF2-40B4-BE49-F238E27FC236}">
              <a16:creationId xmlns:a16="http://schemas.microsoft.com/office/drawing/2014/main" id="{F6F991D5-4062-4606-AAB0-A78B9B4DA6A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2253" name="Text Box 192">
          <a:extLst>
            <a:ext uri="{FF2B5EF4-FFF2-40B4-BE49-F238E27FC236}">
              <a16:creationId xmlns:a16="http://schemas.microsoft.com/office/drawing/2014/main" id="{A2F208A8-6A16-48F1-BDE0-DD777D07785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2254" name="Text Box 192">
          <a:extLst>
            <a:ext uri="{FF2B5EF4-FFF2-40B4-BE49-F238E27FC236}">
              <a16:creationId xmlns:a16="http://schemas.microsoft.com/office/drawing/2014/main" id="{5A55548E-E942-4BD5-B20A-B349B82FF72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2255" name="Text Box 192">
          <a:extLst>
            <a:ext uri="{FF2B5EF4-FFF2-40B4-BE49-F238E27FC236}">
              <a16:creationId xmlns:a16="http://schemas.microsoft.com/office/drawing/2014/main" id="{B1850EFD-4CC8-4796-9288-E1D06FC4DD3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2256" name="Text Box 192">
          <a:extLst>
            <a:ext uri="{FF2B5EF4-FFF2-40B4-BE49-F238E27FC236}">
              <a16:creationId xmlns:a16="http://schemas.microsoft.com/office/drawing/2014/main" id="{1EDDAE44-8899-4385-868C-11368F4B6B9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2257" name="Text Box 192">
          <a:extLst>
            <a:ext uri="{FF2B5EF4-FFF2-40B4-BE49-F238E27FC236}">
              <a16:creationId xmlns:a16="http://schemas.microsoft.com/office/drawing/2014/main" id="{4BFA5DF4-058A-4234-ACF2-3B6A9D4FF1A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2258" name="Text Box 192">
          <a:extLst>
            <a:ext uri="{FF2B5EF4-FFF2-40B4-BE49-F238E27FC236}">
              <a16:creationId xmlns:a16="http://schemas.microsoft.com/office/drawing/2014/main" id="{77D7527D-9A29-4923-ACB0-160D489D387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2259" name="Text Box 192">
          <a:extLst>
            <a:ext uri="{FF2B5EF4-FFF2-40B4-BE49-F238E27FC236}">
              <a16:creationId xmlns:a16="http://schemas.microsoft.com/office/drawing/2014/main" id="{73FD9DF0-5910-45B5-AFCD-2A3C6A7AB40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2260" name="Text Box 192">
          <a:extLst>
            <a:ext uri="{FF2B5EF4-FFF2-40B4-BE49-F238E27FC236}">
              <a16:creationId xmlns:a16="http://schemas.microsoft.com/office/drawing/2014/main" id="{09EC0CF2-AC50-4D6E-9E93-D8302F52A72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263</xdr:row>
      <xdr:rowOff>0</xdr:rowOff>
    </xdr:from>
    <xdr:ext cx="10372" cy="228955"/>
    <xdr:sp macro="" textlink="">
      <xdr:nvSpPr>
        <xdr:cNvPr id="2261" name="Text Box 192">
          <a:extLst>
            <a:ext uri="{FF2B5EF4-FFF2-40B4-BE49-F238E27FC236}">
              <a16:creationId xmlns:a16="http://schemas.microsoft.com/office/drawing/2014/main" id="{31483F50-939A-4D9E-B062-837395492FF1}"/>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2262" name="Text Box 192">
          <a:extLst>
            <a:ext uri="{FF2B5EF4-FFF2-40B4-BE49-F238E27FC236}">
              <a16:creationId xmlns:a16="http://schemas.microsoft.com/office/drawing/2014/main" id="{236E88A9-6D54-4893-8F02-AFF6F2F1A32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2263" name="Text Box 192">
          <a:extLst>
            <a:ext uri="{FF2B5EF4-FFF2-40B4-BE49-F238E27FC236}">
              <a16:creationId xmlns:a16="http://schemas.microsoft.com/office/drawing/2014/main" id="{DEF31BD1-3472-45EB-A1C2-44C8EECFB5C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2264" name="Text Box 192">
          <a:extLst>
            <a:ext uri="{FF2B5EF4-FFF2-40B4-BE49-F238E27FC236}">
              <a16:creationId xmlns:a16="http://schemas.microsoft.com/office/drawing/2014/main" id="{469BF737-64C3-4DDC-9EBF-98282DD6EAC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2265" name="Text Box 192">
          <a:extLst>
            <a:ext uri="{FF2B5EF4-FFF2-40B4-BE49-F238E27FC236}">
              <a16:creationId xmlns:a16="http://schemas.microsoft.com/office/drawing/2014/main" id="{8CC73C05-3773-4BD5-BCE8-3102D38CA10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2266" name="Text Box 192">
          <a:extLst>
            <a:ext uri="{FF2B5EF4-FFF2-40B4-BE49-F238E27FC236}">
              <a16:creationId xmlns:a16="http://schemas.microsoft.com/office/drawing/2014/main" id="{5B4CC94C-AB8D-4272-A43A-FCF517B73CC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2267" name="Text Box 192">
          <a:extLst>
            <a:ext uri="{FF2B5EF4-FFF2-40B4-BE49-F238E27FC236}">
              <a16:creationId xmlns:a16="http://schemas.microsoft.com/office/drawing/2014/main" id="{FD244205-EF8C-43D7-9DCD-CEA37CE43AC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2268" name="Text Box 192">
          <a:extLst>
            <a:ext uri="{FF2B5EF4-FFF2-40B4-BE49-F238E27FC236}">
              <a16:creationId xmlns:a16="http://schemas.microsoft.com/office/drawing/2014/main" id="{3EF577B9-FFD7-4AD1-ADC5-72FEF7B2587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2269" name="Text Box 192">
          <a:extLst>
            <a:ext uri="{FF2B5EF4-FFF2-40B4-BE49-F238E27FC236}">
              <a16:creationId xmlns:a16="http://schemas.microsoft.com/office/drawing/2014/main" id="{36B944F9-72AC-4001-A8E0-33561925D98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2270" name="Text Box 192">
          <a:extLst>
            <a:ext uri="{FF2B5EF4-FFF2-40B4-BE49-F238E27FC236}">
              <a16:creationId xmlns:a16="http://schemas.microsoft.com/office/drawing/2014/main" id="{A1918E0C-57ED-41D5-9663-84A7B795841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2271" name="Text Box 192">
          <a:extLst>
            <a:ext uri="{FF2B5EF4-FFF2-40B4-BE49-F238E27FC236}">
              <a16:creationId xmlns:a16="http://schemas.microsoft.com/office/drawing/2014/main" id="{B19F8FD0-CE10-431B-8F6F-3F07F18B8E2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266</xdr:row>
      <xdr:rowOff>0</xdr:rowOff>
    </xdr:from>
    <xdr:ext cx="10372" cy="228955"/>
    <xdr:sp macro="" textlink="">
      <xdr:nvSpPr>
        <xdr:cNvPr id="2272" name="Text Box 192">
          <a:extLst>
            <a:ext uri="{FF2B5EF4-FFF2-40B4-BE49-F238E27FC236}">
              <a16:creationId xmlns:a16="http://schemas.microsoft.com/office/drawing/2014/main" id="{A1581087-1785-42DA-9534-61F7FB1A9DFA}"/>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73" name="Text Box 192">
          <a:extLst>
            <a:ext uri="{FF2B5EF4-FFF2-40B4-BE49-F238E27FC236}">
              <a16:creationId xmlns:a16="http://schemas.microsoft.com/office/drawing/2014/main" id="{DEE69FDA-AE6E-4A2E-A4AE-7BE7AA8789B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74" name="Text Box 192">
          <a:extLst>
            <a:ext uri="{FF2B5EF4-FFF2-40B4-BE49-F238E27FC236}">
              <a16:creationId xmlns:a16="http://schemas.microsoft.com/office/drawing/2014/main" id="{D4F55567-3C8B-4CAE-AB02-584481D78F7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75" name="Text Box 192">
          <a:extLst>
            <a:ext uri="{FF2B5EF4-FFF2-40B4-BE49-F238E27FC236}">
              <a16:creationId xmlns:a16="http://schemas.microsoft.com/office/drawing/2014/main" id="{733E2090-14D0-403F-B402-9619AA6BBAD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76" name="Text Box 192">
          <a:extLst>
            <a:ext uri="{FF2B5EF4-FFF2-40B4-BE49-F238E27FC236}">
              <a16:creationId xmlns:a16="http://schemas.microsoft.com/office/drawing/2014/main" id="{F35306A8-CABE-43F5-B6E8-3474FB63972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77" name="Text Box 192">
          <a:extLst>
            <a:ext uri="{FF2B5EF4-FFF2-40B4-BE49-F238E27FC236}">
              <a16:creationId xmlns:a16="http://schemas.microsoft.com/office/drawing/2014/main" id="{36ADC8B3-A0A9-49CA-93CC-BC95218DB8F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78" name="Text Box 192">
          <a:extLst>
            <a:ext uri="{FF2B5EF4-FFF2-40B4-BE49-F238E27FC236}">
              <a16:creationId xmlns:a16="http://schemas.microsoft.com/office/drawing/2014/main" id="{8F9AD1FF-2B0B-4EC3-B1AF-8131D0514AB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79" name="Text Box 192">
          <a:extLst>
            <a:ext uri="{FF2B5EF4-FFF2-40B4-BE49-F238E27FC236}">
              <a16:creationId xmlns:a16="http://schemas.microsoft.com/office/drawing/2014/main" id="{632EE6AC-AE0C-45E4-9B0E-465BD0828A6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80" name="Text Box 192">
          <a:extLst>
            <a:ext uri="{FF2B5EF4-FFF2-40B4-BE49-F238E27FC236}">
              <a16:creationId xmlns:a16="http://schemas.microsoft.com/office/drawing/2014/main" id="{1B3120E2-8164-4203-9529-BF97E9F2333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81" name="Text Box 192">
          <a:extLst>
            <a:ext uri="{FF2B5EF4-FFF2-40B4-BE49-F238E27FC236}">
              <a16:creationId xmlns:a16="http://schemas.microsoft.com/office/drawing/2014/main" id="{E835B56E-0DE8-488E-9BC5-60D3C39FA82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82" name="Text Box 192">
          <a:extLst>
            <a:ext uri="{FF2B5EF4-FFF2-40B4-BE49-F238E27FC236}">
              <a16:creationId xmlns:a16="http://schemas.microsoft.com/office/drawing/2014/main" id="{35FF5173-034E-45E3-8632-5EB05A80458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2283" name="Text Box 192">
          <a:extLst>
            <a:ext uri="{FF2B5EF4-FFF2-40B4-BE49-F238E27FC236}">
              <a16:creationId xmlns:a16="http://schemas.microsoft.com/office/drawing/2014/main" id="{F38DADA8-05F2-4D61-886C-38F5320936F6}"/>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84" name="Text Box 192">
          <a:extLst>
            <a:ext uri="{FF2B5EF4-FFF2-40B4-BE49-F238E27FC236}">
              <a16:creationId xmlns:a16="http://schemas.microsoft.com/office/drawing/2014/main" id="{4812287A-57FD-465C-84C0-65459093EFD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85" name="Text Box 192">
          <a:extLst>
            <a:ext uri="{FF2B5EF4-FFF2-40B4-BE49-F238E27FC236}">
              <a16:creationId xmlns:a16="http://schemas.microsoft.com/office/drawing/2014/main" id="{A624C654-EE47-42FE-B667-C14D4390B45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86" name="Text Box 192">
          <a:extLst>
            <a:ext uri="{FF2B5EF4-FFF2-40B4-BE49-F238E27FC236}">
              <a16:creationId xmlns:a16="http://schemas.microsoft.com/office/drawing/2014/main" id="{516674D2-8A22-4ED9-B649-052F97F901D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87" name="Text Box 192">
          <a:extLst>
            <a:ext uri="{FF2B5EF4-FFF2-40B4-BE49-F238E27FC236}">
              <a16:creationId xmlns:a16="http://schemas.microsoft.com/office/drawing/2014/main" id="{19E463E1-D8C9-4A99-9A82-643444671DF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88" name="Text Box 192">
          <a:extLst>
            <a:ext uri="{FF2B5EF4-FFF2-40B4-BE49-F238E27FC236}">
              <a16:creationId xmlns:a16="http://schemas.microsoft.com/office/drawing/2014/main" id="{EA9FF7AC-BE8E-4DE4-96F2-52E34E6A899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89" name="Text Box 192">
          <a:extLst>
            <a:ext uri="{FF2B5EF4-FFF2-40B4-BE49-F238E27FC236}">
              <a16:creationId xmlns:a16="http://schemas.microsoft.com/office/drawing/2014/main" id="{A17F693C-CA92-4A77-BA62-D73E4FD340A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90" name="Text Box 192">
          <a:extLst>
            <a:ext uri="{FF2B5EF4-FFF2-40B4-BE49-F238E27FC236}">
              <a16:creationId xmlns:a16="http://schemas.microsoft.com/office/drawing/2014/main" id="{681E4A31-F2D7-4131-8BC8-0AF3C5EDAA7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91" name="Text Box 192">
          <a:extLst>
            <a:ext uri="{FF2B5EF4-FFF2-40B4-BE49-F238E27FC236}">
              <a16:creationId xmlns:a16="http://schemas.microsoft.com/office/drawing/2014/main" id="{E037CBF1-F17C-499F-B883-8C58BE17CEA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92" name="Text Box 192">
          <a:extLst>
            <a:ext uri="{FF2B5EF4-FFF2-40B4-BE49-F238E27FC236}">
              <a16:creationId xmlns:a16="http://schemas.microsoft.com/office/drawing/2014/main" id="{8DDF8074-1274-42C9-8BEA-EEBAC1E318F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93" name="Text Box 192">
          <a:extLst>
            <a:ext uri="{FF2B5EF4-FFF2-40B4-BE49-F238E27FC236}">
              <a16:creationId xmlns:a16="http://schemas.microsoft.com/office/drawing/2014/main" id="{76C9F22D-C216-4303-82D4-6EA08349607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2294" name="Text Box 192">
          <a:extLst>
            <a:ext uri="{FF2B5EF4-FFF2-40B4-BE49-F238E27FC236}">
              <a16:creationId xmlns:a16="http://schemas.microsoft.com/office/drawing/2014/main" id="{C7F7A46F-B8E4-4E88-BE2E-09E83BBB485A}"/>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295" name="Text Box 192">
          <a:extLst>
            <a:ext uri="{FF2B5EF4-FFF2-40B4-BE49-F238E27FC236}">
              <a16:creationId xmlns:a16="http://schemas.microsoft.com/office/drawing/2014/main" id="{DF432EC8-8813-46FC-BA71-C33D42096EF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296" name="Text Box 192">
          <a:extLst>
            <a:ext uri="{FF2B5EF4-FFF2-40B4-BE49-F238E27FC236}">
              <a16:creationId xmlns:a16="http://schemas.microsoft.com/office/drawing/2014/main" id="{E1063E12-09F8-4B9F-B2AA-590D7264AD2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297" name="Text Box 192">
          <a:extLst>
            <a:ext uri="{FF2B5EF4-FFF2-40B4-BE49-F238E27FC236}">
              <a16:creationId xmlns:a16="http://schemas.microsoft.com/office/drawing/2014/main" id="{378BAF02-5467-4F08-8587-727E38F383D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298" name="Text Box 192">
          <a:extLst>
            <a:ext uri="{FF2B5EF4-FFF2-40B4-BE49-F238E27FC236}">
              <a16:creationId xmlns:a16="http://schemas.microsoft.com/office/drawing/2014/main" id="{60ADC515-30D8-43BC-B552-37953CEDD76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299" name="Text Box 192">
          <a:extLst>
            <a:ext uri="{FF2B5EF4-FFF2-40B4-BE49-F238E27FC236}">
              <a16:creationId xmlns:a16="http://schemas.microsoft.com/office/drawing/2014/main" id="{0688C73A-1BD3-452A-9585-F4A2D79E9FD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300" name="Text Box 192">
          <a:extLst>
            <a:ext uri="{FF2B5EF4-FFF2-40B4-BE49-F238E27FC236}">
              <a16:creationId xmlns:a16="http://schemas.microsoft.com/office/drawing/2014/main" id="{43EC840D-06C7-4E3B-AE27-AF72045DD82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301" name="Text Box 192">
          <a:extLst>
            <a:ext uri="{FF2B5EF4-FFF2-40B4-BE49-F238E27FC236}">
              <a16:creationId xmlns:a16="http://schemas.microsoft.com/office/drawing/2014/main" id="{F6F05F6E-B078-4A21-A50F-CCF5871442B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302" name="Text Box 192">
          <a:extLst>
            <a:ext uri="{FF2B5EF4-FFF2-40B4-BE49-F238E27FC236}">
              <a16:creationId xmlns:a16="http://schemas.microsoft.com/office/drawing/2014/main" id="{48B5C903-46B5-4B70-83DB-29F2E8B3CC0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303" name="Text Box 192">
          <a:extLst>
            <a:ext uri="{FF2B5EF4-FFF2-40B4-BE49-F238E27FC236}">
              <a16:creationId xmlns:a16="http://schemas.microsoft.com/office/drawing/2014/main" id="{874A60C4-92B8-4B0D-BAA2-AEDFCAC5F71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304" name="Text Box 192">
          <a:extLst>
            <a:ext uri="{FF2B5EF4-FFF2-40B4-BE49-F238E27FC236}">
              <a16:creationId xmlns:a16="http://schemas.microsoft.com/office/drawing/2014/main" id="{C0F550E5-9CBF-48A0-84FF-78EDB31935A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2305" name="Text Box 192">
          <a:extLst>
            <a:ext uri="{FF2B5EF4-FFF2-40B4-BE49-F238E27FC236}">
              <a16:creationId xmlns:a16="http://schemas.microsoft.com/office/drawing/2014/main" id="{A014100F-F179-4DD3-8787-FE44EA5C6830}"/>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06" name="Text Box 192">
          <a:extLst>
            <a:ext uri="{FF2B5EF4-FFF2-40B4-BE49-F238E27FC236}">
              <a16:creationId xmlns:a16="http://schemas.microsoft.com/office/drawing/2014/main" id="{C20AE53D-5CCF-4E2F-A622-69EFC3F7E34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07" name="Text Box 192">
          <a:extLst>
            <a:ext uri="{FF2B5EF4-FFF2-40B4-BE49-F238E27FC236}">
              <a16:creationId xmlns:a16="http://schemas.microsoft.com/office/drawing/2014/main" id="{3E2B96D7-0FCE-487F-991E-A3C7E5C54BB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08" name="Text Box 192">
          <a:extLst>
            <a:ext uri="{FF2B5EF4-FFF2-40B4-BE49-F238E27FC236}">
              <a16:creationId xmlns:a16="http://schemas.microsoft.com/office/drawing/2014/main" id="{09D20F28-77CB-4F9A-BAEC-ED12ADF4A21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09" name="Text Box 192">
          <a:extLst>
            <a:ext uri="{FF2B5EF4-FFF2-40B4-BE49-F238E27FC236}">
              <a16:creationId xmlns:a16="http://schemas.microsoft.com/office/drawing/2014/main" id="{12A8914E-9663-43FF-A72F-516237E497C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10" name="Text Box 192">
          <a:extLst>
            <a:ext uri="{FF2B5EF4-FFF2-40B4-BE49-F238E27FC236}">
              <a16:creationId xmlns:a16="http://schemas.microsoft.com/office/drawing/2014/main" id="{8545DE54-AD8D-466A-B57C-C9A2C7FB7B5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11" name="Text Box 192">
          <a:extLst>
            <a:ext uri="{FF2B5EF4-FFF2-40B4-BE49-F238E27FC236}">
              <a16:creationId xmlns:a16="http://schemas.microsoft.com/office/drawing/2014/main" id="{C757BAE0-6137-465E-BB31-5C43745AE2F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12" name="Text Box 192">
          <a:extLst>
            <a:ext uri="{FF2B5EF4-FFF2-40B4-BE49-F238E27FC236}">
              <a16:creationId xmlns:a16="http://schemas.microsoft.com/office/drawing/2014/main" id="{BF43FC5F-9512-4EDA-BDB0-73C313DAC8F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13" name="Text Box 192">
          <a:extLst>
            <a:ext uri="{FF2B5EF4-FFF2-40B4-BE49-F238E27FC236}">
              <a16:creationId xmlns:a16="http://schemas.microsoft.com/office/drawing/2014/main" id="{F2FFEA76-5BFC-42F5-B666-B6DD5B6AF1F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14" name="Text Box 192">
          <a:extLst>
            <a:ext uri="{FF2B5EF4-FFF2-40B4-BE49-F238E27FC236}">
              <a16:creationId xmlns:a16="http://schemas.microsoft.com/office/drawing/2014/main" id="{76993958-F633-46F8-93F2-557F3565F97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15" name="Text Box 192">
          <a:extLst>
            <a:ext uri="{FF2B5EF4-FFF2-40B4-BE49-F238E27FC236}">
              <a16:creationId xmlns:a16="http://schemas.microsoft.com/office/drawing/2014/main" id="{8A550263-0278-48D0-BC56-D021AD8218A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2316" name="Text Box 192">
          <a:extLst>
            <a:ext uri="{FF2B5EF4-FFF2-40B4-BE49-F238E27FC236}">
              <a16:creationId xmlns:a16="http://schemas.microsoft.com/office/drawing/2014/main" id="{E2BA79A4-DB3C-405C-977C-9DFD3A787583}"/>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17" name="Text Box 192">
          <a:extLst>
            <a:ext uri="{FF2B5EF4-FFF2-40B4-BE49-F238E27FC236}">
              <a16:creationId xmlns:a16="http://schemas.microsoft.com/office/drawing/2014/main" id="{054A4334-FC1F-431B-8E37-6C682A9B987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18" name="Text Box 192">
          <a:extLst>
            <a:ext uri="{FF2B5EF4-FFF2-40B4-BE49-F238E27FC236}">
              <a16:creationId xmlns:a16="http://schemas.microsoft.com/office/drawing/2014/main" id="{CEDC3A80-1C15-47B5-85F6-6D6818731C1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19" name="Text Box 192">
          <a:extLst>
            <a:ext uri="{FF2B5EF4-FFF2-40B4-BE49-F238E27FC236}">
              <a16:creationId xmlns:a16="http://schemas.microsoft.com/office/drawing/2014/main" id="{4C4FAFBF-FD9F-4AD3-A079-47F03129AFE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20" name="Text Box 192">
          <a:extLst>
            <a:ext uri="{FF2B5EF4-FFF2-40B4-BE49-F238E27FC236}">
              <a16:creationId xmlns:a16="http://schemas.microsoft.com/office/drawing/2014/main" id="{84316634-BCB5-452F-BBE5-3BA1141BF4F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21" name="Text Box 192">
          <a:extLst>
            <a:ext uri="{FF2B5EF4-FFF2-40B4-BE49-F238E27FC236}">
              <a16:creationId xmlns:a16="http://schemas.microsoft.com/office/drawing/2014/main" id="{ECB7083F-C4C0-496F-9932-358E7DADCF3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22" name="Text Box 192">
          <a:extLst>
            <a:ext uri="{FF2B5EF4-FFF2-40B4-BE49-F238E27FC236}">
              <a16:creationId xmlns:a16="http://schemas.microsoft.com/office/drawing/2014/main" id="{0BC0F5E3-FA28-49C9-83C5-153DDCD76CB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23" name="Text Box 192">
          <a:extLst>
            <a:ext uri="{FF2B5EF4-FFF2-40B4-BE49-F238E27FC236}">
              <a16:creationId xmlns:a16="http://schemas.microsoft.com/office/drawing/2014/main" id="{05BB42F3-592F-439C-A84A-00AF5BA5AC7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24" name="Text Box 192">
          <a:extLst>
            <a:ext uri="{FF2B5EF4-FFF2-40B4-BE49-F238E27FC236}">
              <a16:creationId xmlns:a16="http://schemas.microsoft.com/office/drawing/2014/main" id="{A1DC9343-B134-45B7-A212-91FB7665566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25" name="Text Box 192">
          <a:extLst>
            <a:ext uri="{FF2B5EF4-FFF2-40B4-BE49-F238E27FC236}">
              <a16:creationId xmlns:a16="http://schemas.microsoft.com/office/drawing/2014/main" id="{8BB35450-C01F-4213-82CD-28870087D19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26" name="Text Box 192">
          <a:extLst>
            <a:ext uri="{FF2B5EF4-FFF2-40B4-BE49-F238E27FC236}">
              <a16:creationId xmlns:a16="http://schemas.microsoft.com/office/drawing/2014/main" id="{E7154F9B-68C5-46F8-8BFB-0890A32DD85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2327" name="Text Box 192">
          <a:extLst>
            <a:ext uri="{FF2B5EF4-FFF2-40B4-BE49-F238E27FC236}">
              <a16:creationId xmlns:a16="http://schemas.microsoft.com/office/drawing/2014/main" id="{5A90BADD-A3C2-46DC-B723-B51A2C932F4B}"/>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28" name="Text Box 192">
          <a:extLst>
            <a:ext uri="{FF2B5EF4-FFF2-40B4-BE49-F238E27FC236}">
              <a16:creationId xmlns:a16="http://schemas.microsoft.com/office/drawing/2014/main" id="{25E4C514-3BA4-4761-9575-1495AC2FD81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29" name="Text Box 192">
          <a:extLst>
            <a:ext uri="{FF2B5EF4-FFF2-40B4-BE49-F238E27FC236}">
              <a16:creationId xmlns:a16="http://schemas.microsoft.com/office/drawing/2014/main" id="{7D2C4858-2190-49C1-8DE1-9FD5594A4E9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30" name="Text Box 192">
          <a:extLst>
            <a:ext uri="{FF2B5EF4-FFF2-40B4-BE49-F238E27FC236}">
              <a16:creationId xmlns:a16="http://schemas.microsoft.com/office/drawing/2014/main" id="{F316B5EB-3515-4986-99E0-C44DEE4E7F4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31" name="Text Box 192">
          <a:extLst>
            <a:ext uri="{FF2B5EF4-FFF2-40B4-BE49-F238E27FC236}">
              <a16:creationId xmlns:a16="http://schemas.microsoft.com/office/drawing/2014/main" id="{A1122ED8-3DBC-42AA-A444-B7AA85A742A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32" name="Text Box 192">
          <a:extLst>
            <a:ext uri="{FF2B5EF4-FFF2-40B4-BE49-F238E27FC236}">
              <a16:creationId xmlns:a16="http://schemas.microsoft.com/office/drawing/2014/main" id="{60F4A8E8-65BB-45E5-B93C-1C8EFA407CA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33" name="Text Box 192">
          <a:extLst>
            <a:ext uri="{FF2B5EF4-FFF2-40B4-BE49-F238E27FC236}">
              <a16:creationId xmlns:a16="http://schemas.microsoft.com/office/drawing/2014/main" id="{900E5C64-8E71-482D-A273-F7360E3C758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34" name="Text Box 192">
          <a:extLst>
            <a:ext uri="{FF2B5EF4-FFF2-40B4-BE49-F238E27FC236}">
              <a16:creationId xmlns:a16="http://schemas.microsoft.com/office/drawing/2014/main" id="{A40CEC6F-1CB4-43A8-BF7D-1DFA98B63FB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35" name="Text Box 192">
          <a:extLst>
            <a:ext uri="{FF2B5EF4-FFF2-40B4-BE49-F238E27FC236}">
              <a16:creationId xmlns:a16="http://schemas.microsoft.com/office/drawing/2014/main" id="{E967536D-7D24-4FEC-BDC9-9484B5DBD84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36" name="Text Box 192">
          <a:extLst>
            <a:ext uri="{FF2B5EF4-FFF2-40B4-BE49-F238E27FC236}">
              <a16:creationId xmlns:a16="http://schemas.microsoft.com/office/drawing/2014/main" id="{C0A9291A-3A3C-4433-82D0-B949B7F2167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37" name="Text Box 192">
          <a:extLst>
            <a:ext uri="{FF2B5EF4-FFF2-40B4-BE49-F238E27FC236}">
              <a16:creationId xmlns:a16="http://schemas.microsoft.com/office/drawing/2014/main" id="{F1837800-43D1-45F1-83E4-184820447C5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2338" name="Text Box 192">
          <a:extLst>
            <a:ext uri="{FF2B5EF4-FFF2-40B4-BE49-F238E27FC236}">
              <a16:creationId xmlns:a16="http://schemas.microsoft.com/office/drawing/2014/main" id="{A7C4CC16-13BB-4C8A-BBB0-8B93B8103816}"/>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39" name="Text Box 192">
          <a:extLst>
            <a:ext uri="{FF2B5EF4-FFF2-40B4-BE49-F238E27FC236}">
              <a16:creationId xmlns:a16="http://schemas.microsoft.com/office/drawing/2014/main" id="{CC16DB34-30AA-4F87-A5ED-A7DCC85E868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40" name="Text Box 192">
          <a:extLst>
            <a:ext uri="{FF2B5EF4-FFF2-40B4-BE49-F238E27FC236}">
              <a16:creationId xmlns:a16="http://schemas.microsoft.com/office/drawing/2014/main" id="{EC454745-7066-4F95-81F2-70E92BC31C8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41" name="Text Box 192">
          <a:extLst>
            <a:ext uri="{FF2B5EF4-FFF2-40B4-BE49-F238E27FC236}">
              <a16:creationId xmlns:a16="http://schemas.microsoft.com/office/drawing/2014/main" id="{F7AE2CAE-520A-4FAE-8F05-FF34759B47D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42" name="Text Box 192">
          <a:extLst>
            <a:ext uri="{FF2B5EF4-FFF2-40B4-BE49-F238E27FC236}">
              <a16:creationId xmlns:a16="http://schemas.microsoft.com/office/drawing/2014/main" id="{DC09B663-F185-4D2E-BA43-37F6E7DBE37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43" name="Text Box 192">
          <a:extLst>
            <a:ext uri="{FF2B5EF4-FFF2-40B4-BE49-F238E27FC236}">
              <a16:creationId xmlns:a16="http://schemas.microsoft.com/office/drawing/2014/main" id="{16A82387-0DBF-402C-9E29-F55DF29739E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44" name="Text Box 192">
          <a:extLst>
            <a:ext uri="{FF2B5EF4-FFF2-40B4-BE49-F238E27FC236}">
              <a16:creationId xmlns:a16="http://schemas.microsoft.com/office/drawing/2014/main" id="{E4B8AD08-113A-4463-B747-6FDEDDE6A0A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45" name="Text Box 192">
          <a:extLst>
            <a:ext uri="{FF2B5EF4-FFF2-40B4-BE49-F238E27FC236}">
              <a16:creationId xmlns:a16="http://schemas.microsoft.com/office/drawing/2014/main" id="{1306CC61-7B18-4F85-8896-BA08A8232D6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46" name="Text Box 192">
          <a:extLst>
            <a:ext uri="{FF2B5EF4-FFF2-40B4-BE49-F238E27FC236}">
              <a16:creationId xmlns:a16="http://schemas.microsoft.com/office/drawing/2014/main" id="{5CCE30E5-9C95-4238-8E6D-5DBD8FCECF8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47" name="Text Box 192">
          <a:extLst>
            <a:ext uri="{FF2B5EF4-FFF2-40B4-BE49-F238E27FC236}">
              <a16:creationId xmlns:a16="http://schemas.microsoft.com/office/drawing/2014/main" id="{3FEF0367-9AFD-44F4-8E5A-DEC4FD06100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48" name="Text Box 192">
          <a:extLst>
            <a:ext uri="{FF2B5EF4-FFF2-40B4-BE49-F238E27FC236}">
              <a16:creationId xmlns:a16="http://schemas.microsoft.com/office/drawing/2014/main" id="{9E670321-4321-4401-938B-565A9DDFD71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2349" name="Text Box 192">
          <a:extLst>
            <a:ext uri="{FF2B5EF4-FFF2-40B4-BE49-F238E27FC236}">
              <a16:creationId xmlns:a16="http://schemas.microsoft.com/office/drawing/2014/main" id="{532EE768-AC66-4F2C-9ADC-F185FB4A124E}"/>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50" name="Text Box 192">
          <a:extLst>
            <a:ext uri="{FF2B5EF4-FFF2-40B4-BE49-F238E27FC236}">
              <a16:creationId xmlns:a16="http://schemas.microsoft.com/office/drawing/2014/main" id="{1CD27FF8-E5D7-433F-A428-8CB7934CA4F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51" name="Text Box 192">
          <a:extLst>
            <a:ext uri="{FF2B5EF4-FFF2-40B4-BE49-F238E27FC236}">
              <a16:creationId xmlns:a16="http://schemas.microsoft.com/office/drawing/2014/main" id="{CB1E4D81-1657-48CA-BDCE-8AFD7CF7206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52" name="Text Box 192">
          <a:extLst>
            <a:ext uri="{FF2B5EF4-FFF2-40B4-BE49-F238E27FC236}">
              <a16:creationId xmlns:a16="http://schemas.microsoft.com/office/drawing/2014/main" id="{EA0C4DBF-A052-4CA7-BEC7-64B286DB16E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53" name="Text Box 192">
          <a:extLst>
            <a:ext uri="{FF2B5EF4-FFF2-40B4-BE49-F238E27FC236}">
              <a16:creationId xmlns:a16="http://schemas.microsoft.com/office/drawing/2014/main" id="{6BD37F72-7AE1-4B9C-83F6-10701CDD2D1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54" name="Text Box 192">
          <a:extLst>
            <a:ext uri="{FF2B5EF4-FFF2-40B4-BE49-F238E27FC236}">
              <a16:creationId xmlns:a16="http://schemas.microsoft.com/office/drawing/2014/main" id="{9F7C3699-86CD-4D5D-84AE-4A4C336AD6C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55" name="Text Box 192">
          <a:extLst>
            <a:ext uri="{FF2B5EF4-FFF2-40B4-BE49-F238E27FC236}">
              <a16:creationId xmlns:a16="http://schemas.microsoft.com/office/drawing/2014/main" id="{A6044081-4F60-4F30-9E35-9633317A5FF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56" name="Text Box 192">
          <a:extLst>
            <a:ext uri="{FF2B5EF4-FFF2-40B4-BE49-F238E27FC236}">
              <a16:creationId xmlns:a16="http://schemas.microsoft.com/office/drawing/2014/main" id="{CAC18C1E-84E1-4C85-A318-134328164C6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57" name="Text Box 192">
          <a:extLst>
            <a:ext uri="{FF2B5EF4-FFF2-40B4-BE49-F238E27FC236}">
              <a16:creationId xmlns:a16="http://schemas.microsoft.com/office/drawing/2014/main" id="{E37F3A3D-AAC6-4AB9-9C10-A20325A1C93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58" name="Text Box 192">
          <a:extLst>
            <a:ext uri="{FF2B5EF4-FFF2-40B4-BE49-F238E27FC236}">
              <a16:creationId xmlns:a16="http://schemas.microsoft.com/office/drawing/2014/main" id="{293CA9F8-4DD7-4D10-9945-936D838786B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59" name="Text Box 192">
          <a:extLst>
            <a:ext uri="{FF2B5EF4-FFF2-40B4-BE49-F238E27FC236}">
              <a16:creationId xmlns:a16="http://schemas.microsoft.com/office/drawing/2014/main" id="{B2EA65AE-BED0-4817-AC20-94ADCC96452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2360" name="Text Box 192">
          <a:extLst>
            <a:ext uri="{FF2B5EF4-FFF2-40B4-BE49-F238E27FC236}">
              <a16:creationId xmlns:a16="http://schemas.microsoft.com/office/drawing/2014/main" id="{6F39474E-2F16-4EB4-94F3-164A66D4B357}"/>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61" name="Text Box 192">
          <a:extLst>
            <a:ext uri="{FF2B5EF4-FFF2-40B4-BE49-F238E27FC236}">
              <a16:creationId xmlns:a16="http://schemas.microsoft.com/office/drawing/2014/main" id="{1A0959D9-865B-4407-A7F4-6BF93AFEA96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62" name="Text Box 192">
          <a:extLst>
            <a:ext uri="{FF2B5EF4-FFF2-40B4-BE49-F238E27FC236}">
              <a16:creationId xmlns:a16="http://schemas.microsoft.com/office/drawing/2014/main" id="{127C33BA-2DAC-43B7-91A3-E3D8EBC9F14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63" name="Text Box 192">
          <a:extLst>
            <a:ext uri="{FF2B5EF4-FFF2-40B4-BE49-F238E27FC236}">
              <a16:creationId xmlns:a16="http://schemas.microsoft.com/office/drawing/2014/main" id="{055590B9-2003-48E0-A967-B8D1EB599E3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64" name="Text Box 192">
          <a:extLst>
            <a:ext uri="{FF2B5EF4-FFF2-40B4-BE49-F238E27FC236}">
              <a16:creationId xmlns:a16="http://schemas.microsoft.com/office/drawing/2014/main" id="{BBFD3F27-A079-4543-8CA1-71E0FA16460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65" name="Text Box 192">
          <a:extLst>
            <a:ext uri="{FF2B5EF4-FFF2-40B4-BE49-F238E27FC236}">
              <a16:creationId xmlns:a16="http://schemas.microsoft.com/office/drawing/2014/main" id="{F9D05683-7569-461C-B5A1-9AF218CD6C5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66" name="Text Box 192">
          <a:extLst>
            <a:ext uri="{FF2B5EF4-FFF2-40B4-BE49-F238E27FC236}">
              <a16:creationId xmlns:a16="http://schemas.microsoft.com/office/drawing/2014/main" id="{DDBF3F2A-4ACA-40BA-8263-CCAD7F4874A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67" name="Text Box 192">
          <a:extLst>
            <a:ext uri="{FF2B5EF4-FFF2-40B4-BE49-F238E27FC236}">
              <a16:creationId xmlns:a16="http://schemas.microsoft.com/office/drawing/2014/main" id="{0DB9E7DC-4436-48D2-A0F4-2EB6AE77760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68" name="Text Box 192">
          <a:extLst>
            <a:ext uri="{FF2B5EF4-FFF2-40B4-BE49-F238E27FC236}">
              <a16:creationId xmlns:a16="http://schemas.microsoft.com/office/drawing/2014/main" id="{0771F119-30D4-4EC3-944E-C8543D50F84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69" name="Text Box 192">
          <a:extLst>
            <a:ext uri="{FF2B5EF4-FFF2-40B4-BE49-F238E27FC236}">
              <a16:creationId xmlns:a16="http://schemas.microsoft.com/office/drawing/2014/main" id="{58BABFA4-1023-4851-A688-1ECA2493B4E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70" name="Text Box 192">
          <a:extLst>
            <a:ext uri="{FF2B5EF4-FFF2-40B4-BE49-F238E27FC236}">
              <a16:creationId xmlns:a16="http://schemas.microsoft.com/office/drawing/2014/main" id="{7E863092-CA15-4771-A368-B26BC4A685F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2371" name="Text Box 192">
          <a:extLst>
            <a:ext uri="{FF2B5EF4-FFF2-40B4-BE49-F238E27FC236}">
              <a16:creationId xmlns:a16="http://schemas.microsoft.com/office/drawing/2014/main" id="{EC3C24F3-4668-441B-817A-DBB5235B84B0}"/>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72" name="Text Box 192">
          <a:extLst>
            <a:ext uri="{FF2B5EF4-FFF2-40B4-BE49-F238E27FC236}">
              <a16:creationId xmlns:a16="http://schemas.microsoft.com/office/drawing/2014/main" id="{082BBA5D-2C8E-45A3-8661-143E2D8424F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73" name="Text Box 192">
          <a:extLst>
            <a:ext uri="{FF2B5EF4-FFF2-40B4-BE49-F238E27FC236}">
              <a16:creationId xmlns:a16="http://schemas.microsoft.com/office/drawing/2014/main" id="{8C7B5020-83BF-4E70-8F15-BFC7BC00A7A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74" name="Text Box 192">
          <a:extLst>
            <a:ext uri="{FF2B5EF4-FFF2-40B4-BE49-F238E27FC236}">
              <a16:creationId xmlns:a16="http://schemas.microsoft.com/office/drawing/2014/main" id="{69EC6B03-0A5C-491F-9389-738FA85BFE4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75" name="Text Box 192">
          <a:extLst>
            <a:ext uri="{FF2B5EF4-FFF2-40B4-BE49-F238E27FC236}">
              <a16:creationId xmlns:a16="http://schemas.microsoft.com/office/drawing/2014/main" id="{2CAB0C3E-85C0-4589-AF3D-6536D2D9253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76" name="Text Box 192">
          <a:extLst>
            <a:ext uri="{FF2B5EF4-FFF2-40B4-BE49-F238E27FC236}">
              <a16:creationId xmlns:a16="http://schemas.microsoft.com/office/drawing/2014/main" id="{040A5A22-C175-4404-8AB3-1FD30EB5422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77" name="Text Box 192">
          <a:extLst>
            <a:ext uri="{FF2B5EF4-FFF2-40B4-BE49-F238E27FC236}">
              <a16:creationId xmlns:a16="http://schemas.microsoft.com/office/drawing/2014/main" id="{B4A789E3-F9C2-4D23-9492-57AE658C2BB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78" name="Text Box 192">
          <a:extLst>
            <a:ext uri="{FF2B5EF4-FFF2-40B4-BE49-F238E27FC236}">
              <a16:creationId xmlns:a16="http://schemas.microsoft.com/office/drawing/2014/main" id="{C893A31B-0DCB-4CEA-A2BF-ED2F8CDDE12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79" name="Text Box 192">
          <a:extLst>
            <a:ext uri="{FF2B5EF4-FFF2-40B4-BE49-F238E27FC236}">
              <a16:creationId xmlns:a16="http://schemas.microsoft.com/office/drawing/2014/main" id="{B2174D57-4778-4FEC-985A-6C57749C588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80" name="Text Box 192">
          <a:extLst>
            <a:ext uri="{FF2B5EF4-FFF2-40B4-BE49-F238E27FC236}">
              <a16:creationId xmlns:a16="http://schemas.microsoft.com/office/drawing/2014/main" id="{A3F7E43B-F9A5-4C5A-A409-886C259CCF8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81" name="Text Box 192">
          <a:extLst>
            <a:ext uri="{FF2B5EF4-FFF2-40B4-BE49-F238E27FC236}">
              <a16:creationId xmlns:a16="http://schemas.microsoft.com/office/drawing/2014/main" id="{0903397C-5056-4DDC-8852-E1E0E256B05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2382" name="Text Box 192">
          <a:extLst>
            <a:ext uri="{FF2B5EF4-FFF2-40B4-BE49-F238E27FC236}">
              <a16:creationId xmlns:a16="http://schemas.microsoft.com/office/drawing/2014/main" id="{BFFAC2C8-D22B-48FB-8EF4-CFC5A3D4BC69}"/>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83" name="Text Box 192">
          <a:extLst>
            <a:ext uri="{FF2B5EF4-FFF2-40B4-BE49-F238E27FC236}">
              <a16:creationId xmlns:a16="http://schemas.microsoft.com/office/drawing/2014/main" id="{728F57A8-3A44-41AE-8E25-51F1CED1D8C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84" name="Text Box 192">
          <a:extLst>
            <a:ext uri="{FF2B5EF4-FFF2-40B4-BE49-F238E27FC236}">
              <a16:creationId xmlns:a16="http://schemas.microsoft.com/office/drawing/2014/main" id="{02B5F2ED-2231-4C80-AAA5-555FEE1561D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85" name="Text Box 192">
          <a:extLst>
            <a:ext uri="{FF2B5EF4-FFF2-40B4-BE49-F238E27FC236}">
              <a16:creationId xmlns:a16="http://schemas.microsoft.com/office/drawing/2014/main" id="{DE08F856-DE57-4C22-9190-FDF9DA6A1DD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86" name="Text Box 192">
          <a:extLst>
            <a:ext uri="{FF2B5EF4-FFF2-40B4-BE49-F238E27FC236}">
              <a16:creationId xmlns:a16="http://schemas.microsoft.com/office/drawing/2014/main" id="{C0C66732-3A86-4813-823B-BF27615FB84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87" name="Text Box 192">
          <a:extLst>
            <a:ext uri="{FF2B5EF4-FFF2-40B4-BE49-F238E27FC236}">
              <a16:creationId xmlns:a16="http://schemas.microsoft.com/office/drawing/2014/main" id="{3DAD7512-7767-47BC-AAFE-973D20F233E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88" name="Text Box 192">
          <a:extLst>
            <a:ext uri="{FF2B5EF4-FFF2-40B4-BE49-F238E27FC236}">
              <a16:creationId xmlns:a16="http://schemas.microsoft.com/office/drawing/2014/main" id="{3B7B80F5-9C12-4A0D-BBD3-CB27456C94A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89" name="Text Box 192">
          <a:extLst>
            <a:ext uri="{FF2B5EF4-FFF2-40B4-BE49-F238E27FC236}">
              <a16:creationId xmlns:a16="http://schemas.microsoft.com/office/drawing/2014/main" id="{38235E6D-A9C5-45C4-9DB9-B649143FF8A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90" name="Text Box 192">
          <a:extLst>
            <a:ext uri="{FF2B5EF4-FFF2-40B4-BE49-F238E27FC236}">
              <a16:creationId xmlns:a16="http://schemas.microsoft.com/office/drawing/2014/main" id="{CC29BE04-2167-48B5-ADF9-297EAB512A5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91" name="Text Box 192">
          <a:extLst>
            <a:ext uri="{FF2B5EF4-FFF2-40B4-BE49-F238E27FC236}">
              <a16:creationId xmlns:a16="http://schemas.microsoft.com/office/drawing/2014/main" id="{B44A169D-879A-4E2F-ABA2-9FAFEDCC371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92" name="Text Box 192">
          <a:extLst>
            <a:ext uri="{FF2B5EF4-FFF2-40B4-BE49-F238E27FC236}">
              <a16:creationId xmlns:a16="http://schemas.microsoft.com/office/drawing/2014/main" id="{3EF554E9-44F4-4F05-AA31-F48166D2B6D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2393" name="Text Box 192">
          <a:extLst>
            <a:ext uri="{FF2B5EF4-FFF2-40B4-BE49-F238E27FC236}">
              <a16:creationId xmlns:a16="http://schemas.microsoft.com/office/drawing/2014/main" id="{FC83B847-D1F9-491A-BF3D-80C73AAE8054}"/>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394" name="Text Box 192">
          <a:extLst>
            <a:ext uri="{FF2B5EF4-FFF2-40B4-BE49-F238E27FC236}">
              <a16:creationId xmlns:a16="http://schemas.microsoft.com/office/drawing/2014/main" id="{6C0F447D-F7C1-435F-B2FB-B1371C722A3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395" name="Text Box 192">
          <a:extLst>
            <a:ext uri="{FF2B5EF4-FFF2-40B4-BE49-F238E27FC236}">
              <a16:creationId xmlns:a16="http://schemas.microsoft.com/office/drawing/2014/main" id="{7E3B41DB-4F1A-4CE5-8999-8BE99C7A40F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396" name="Text Box 192">
          <a:extLst>
            <a:ext uri="{FF2B5EF4-FFF2-40B4-BE49-F238E27FC236}">
              <a16:creationId xmlns:a16="http://schemas.microsoft.com/office/drawing/2014/main" id="{D0F4C373-3AD1-4B7D-971B-F759774771F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397" name="Text Box 192">
          <a:extLst>
            <a:ext uri="{FF2B5EF4-FFF2-40B4-BE49-F238E27FC236}">
              <a16:creationId xmlns:a16="http://schemas.microsoft.com/office/drawing/2014/main" id="{3698DEFA-9334-4AC6-B1B6-99B02F9711C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398" name="Text Box 192">
          <a:extLst>
            <a:ext uri="{FF2B5EF4-FFF2-40B4-BE49-F238E27FC236}">
              <a16:creationId xmlns:a16="http://schemas.microsoft.com/office/drawing/2014/main" id="{0D8A1AEF-D1AA-4E14-A5EA-2CB5ECF16D8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399" name="Text Box 192">
          <a:extLst>
            <a:ext uri="{FF2B5EF4-FFF2-40B4-BE49-F238E27FC236}">
              <a16:creationId xmlns:a16="http://schemas.microsoft.com/office/drawing/2014/main" id="{B26E195A-04D3-46A2-887C-F2C7114DBF4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400" name="Text Box 192">
          <a:extLst>
            <a:ext uri="{FF2B5EF4-FFF2-40B4-BE49-F238E27FC236}">
              <a16:creationId xmlns:a16="http://schemas.microsoft.com/office/drawing/2014/main" id="{A1771141-A5D5-477B-A6C1-A6E4202797C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401" name="Text Box 192">
          <a:extLst>
            <a:ext uri="{FF2B5EF4-FFF2-40B4-BE49-F238E27FC236}">
              <a16:creationId xmlns:a16="http://schemas.microsoft.com/office/drawing/2014/main" id="{C0846417-DE08-46F7-BCF8-A48C3042C03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402" name="Text Box 192">
          <a:extLst>
            <a:ext uri="{FF2B5EF4-FFF2-40B4-BE49-F238E27FC236}">
              <a16:creationId xmlns:a16="http://schemas.microsoft.com/office/drawing/2014/main" id="{BB6FBB26-8C00-4323-9C18-73F6F41CFBC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403" name="Text Box 192">
          <a:extLst>
            <a:ext uri="{FF2B5EF4-FFF2-40B4-BE49-F238E27FC236}">
              <a16:creationId xmlns:a16="http://schemas.microsoft.com/office/drawing/2014/main" id="{C37BE22F-74AC-4358-9899-7E0AB89145A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2404" name="Text Box 192">
          <a:extLst>
            <a:ext uri="{FF2B5EF4-FFF2-40B4-BE49-F238E27FC236}">
              <a16:creationId xmlns:a16="http://schemas.microsoft.com/office/drawing/2014/main" id="{AFAEB5F7-14DD-4FBC-ADEF-E24838054DA5}"/>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05" name="Text Box 192">
          <a:extLst>
            <a:ext uri="{FF2B5EF4-FFF2-40B4-BE49-F238E27FC236}">
              <a16:creationId xmlns:a16="http://schemas.microsoft.com/office/drawing/2014/main" id="{043182CC-AD5A-4925-B333-641D90B2DA2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06" name="Text Box 192">
          <a:extLst>
            <a:ext uri="{FF2B5EF4-FFF2-40B4-BE49-F238E27FC236}">
              <a16:creationId xmlns:a16="http://schemas.microsoft.com/office/drawing/2014/main" id="{AC6DA48D-1923-4535-B8A0-A4831ACDAFF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07" name="Text Box 192">
          <a:extLst>
            <a:ext uri="{FF2B5EF4-FFF2-40B4-BE49-F238E27FC236}">
              <a16:creationId xmlns:a16="http://schemas.microsoft.com/office/drawing/2014/main" id="{254A4ED9-5F66-4140-A794-32B4033CA1B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08" name="Text Box 192">
          <a:extLst>
            <a:ext uri="{FF2B5EF4-FFF2-40B4-BE49-F238E27FC236}">
              <a16:creationId xmlns:a16="http://schemas.microsoft.com/office/drawing/2014/main" id="{516F87AB-8BFF-4CBD-8919-B8578AA0BEB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09" name="Text Box 192">
          <a:extLst>
            <a:ext uri="{FF2B5EF4-FFF2-40B4-BE49-F238E27FC236}">
              <a16:creationId xmlns:a16="http://schemas.microsoft.com/office/drawing/2014/main" id="{01AE638D-14E2-482A-B9FA-A37882F9B4C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10" name="Text Box 192">
          <a:extLst>
            <a:ext uri="{FF2B5EF4-FFF2-40B4-BE49-F238E27FC236}">
              <a16:creationId xmlns:a16="http://schemas.microsoft.com/office/drawing/2014/main" id="{C46BC45A-088C-4B5A-9C34-FE03D8F1885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11" name="Text Box 192">
          <a:extLst>
            <a:ext uri="{FF2B5EF4-FFF2-40B4-BE49-F238E27FC236}">
              <a16:creationId xmlns:a16="http://schemas.microsoft.com/office/drawing/2014/main" id="{04544948-5226-4CEF-A9CD-90D2759BC4E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12" name="Text Box 192">
          <a:extLst>
            <a:ext uri="{FF2B5EF4-FFF2-40B4-BE49-F238E27FC236}">
              <a16:creationId xmlns:a16="http://schemas.microsoft.com/office/drawing/2014/main" id="{891A5774-7159-4F05-9A65-48F7F2960C7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13" name="Text Box 192">
          <a:extLst>
            <a:ext uri="{FF2B5EF4-FFF2-40B4-BE49-F238E27FC236}">
              <a16:creationId xmlns:a16="http://schemas.microsoft.com/office/drawing/2014/main" id="{FF24838C-00B4-4F07-8576-B9D0A4B669E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14" name="Text Box 192">
          <a:extLst>
            <a:ext uri="{FF2B5EF4-FFF2-40B4-BE49-F238E27FC236}">
              <a16:creationId xmlns:a16="http://schemas.microsoft.com/office/drawing/2014/main" id="{BFA1D8D4-CD15-4B4D-A3BA-15B498C0BEF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2415" name="Text Box 192">
          <a:extLst>
            <a:ext uri="{FF2B5EF4-FFF2-40B4-BE49-F238E27FC236}">
              <a16:creationId xmlns:a16="http://schemas.microsoft.com/office/drawing/2014/main" id="{A200C4AA-C05F-470D-939C-29F1BF0A3E11}"/>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16" name="Text Box 192">
          <a:extLst>
            <a:ext uri="{FF2B5EF4-FFF2-40B4-BE49-F238E27FC236}">
              <a16:creationId xmlns:a16="http://schemas.microsoft.com/office/drawing/2014/main" id="{869A975B-1223-40B7-9975-11F98214160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17" name="Text Box 192">
          <a:extLst>
            <a:ext uri="{FF2B5EF4-FFF2-40B4-BE49-F238E27FC236}">
              <a16:creationId xmlns:a16="http://schemas.microsoft.com/office/drawing/2014/main" id="{87BBB2D6-D0ED-4B2A-A2D6-B73FF9368CD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18" name="Text Box 192">
          <a:extLst>
            <a:ext uri="{FF2B5EF4-FFF2-40B4-BE49-F238E27FC236}">
              <a16:creationId xmlns:a16="http://schemas.microsoft.com/office/drawing/2014/main" id="{EA869056-8E54-4B3D-B14D-067013A052B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19" name="Text Box 192">
          <a:extLst>
            <a:ext uri="{FF2B5EF4-FFF2-40B4-BE49-F238E27FC236}">
              <a16:creationId xmlns:a16="http://schemas.microsoft.com/office/drawing/2014/main" id="{5D11E9C1-A5EA-4355-A86D-B6E09263BEC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20" name="Text Box 192">
          <a:extLst>
            <a:ext uri="{FF2B5EF4-FFF2-40B4-BE49-F238E27FC236}">
              <a16:creationId xmlns:a16="http://schemas.microsoft.com/office/drawing/2014/main" id="{D466D8BC-7A27-4434-9D3A-91834EA2D7A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21" name="Text Box 192">
          <a:extLst>
            <a:ext uri="{FF2B5EF4-FFF2-40B4-BE49-F238E27FC236}">
              <a16:creationId xmlns:a16="http://schemas.microsoft.com/office/drawing/2014/main" id="{DBA3451F-E1B2-4B6E-9398-BC82BF08CFD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22" name="Text Box 192">
          <a:extLst>
            <a:ext uri="{FF2B5EF4-FFF2-40B4-BE49-F238E27FC236}">
              <a16:creationId xmlns:a16="http://schemas.microsoft.com/office/drawing/2014/main" id="{4BE7ABBC-8999-4EB2-B16D-C9CCEAE1EB9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23" name="Text Box 192">
          <a:extLst>
            <a:ext uri="{FF2B5EF4-FFF2-40B4-BE49-F238E27FC236}">
              <a16:creationId xmlns:a16="http://schemas.microsoft.com/office/drawing/2014/main" id="{2504A928-299F-4A79-A0D8-8EF8D70909D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24" name="Text Box 192">
          <a:extLst>
            <a:ext uri="{FF2B5EF4-FFF2-40B4-BE49-F238E27FC236}">
              <a16:creationId xmlns:a16="http://schemas.microsoft.com/office/drawing/2014/main" id="{46B1356A-71A6-43E2-9824-F0AC24F8C9E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25" name="Text Box 192">
          <a:extLst>
            <a:ext uri="{FF2B5EF4-FFF2-40B4-BE49-F238E27FC236}">
              <a16:creationId xmlns:a16="http://schemas.microsoft.com/office/drawing/2014/main" id="{E9B48D32-E1B3-46A0-92DC-86A0C1A12D0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2426" name="Text Box 192">
          <a:extLst>
            <a:ext uri="{FF2B5EF4-FFF2-40B4-BE49-F238E27FC236}">
              <a16:creationId xmlns:a16="http://schemas.microsoft.com/office/drawing/2014/main" id="{14302757-D73E-451E-AD2C-D9B39C42CBA0}"/>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2427" name="Text Box 192">
          <a:extLst>
            <a:ext uri="{FF2B5EF4-FFF2-40B4-BE49-F238E27FC236}">
              <a16:creationId xmlns:a16="http://schemas.microsoft.com/office/drawing/2014/main" id="{91C8097F-BFCB-4044-815E-55547006443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2428" name="Text Box 192">
          <a:extLst>
            <a:ext uri="{FF2B5EF4-FFF2-40B4-BE49-F238E27FC236}">
              <a16:creationId xmlns:a16="http://schemas.microsoft.com/office/drawing/2014/main" id="{36BC2294-7577-4340-8E98-1C174D0D797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2429" name="Text Box 192">
          <a:extLst>
            <a:ext uri="{FF2B5EF4-FFF2-40B4-BE49-F238E27FC236}">
              <a16:creationId xmlns:a16="http://schemas.microsoft.com/office/drawing/2014/main" id="{8F0D5E63-04A4-466E-8005-FAB4202EB7D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2430" name="Text Box 192">
          <a:extLst>
            <a:ext uri="{FF2B5EF4-FFF2-40B4-BE49-F238E27FC236}">
              <a16:creationId xmlns:a16="http://schemas.microsoft.com/office/drawing/2014/main" id="{AFF1F484-5636-4B4F-9669-792D3267C6E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2431" name="Text Box 192">
          <a:extLst>
            <a:ext uri="{FF2B5EF4-FFF2-40B4-BE49-F238E27FC236}">
              <a16:creationId xmlns:a16="http://schemas.microsoft.com/office/drawing/2014/main" id="{0D66D709-E91E-4F12-9ACE-71312D088D5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2432" name="Text Box 192">
          <a:extLst>
            <a:ext uri="{FF2B5EF4-FFF2-40B4-BE49-F238E27FC236}">
              <a16:creationId xmlns:a16="http://schemas.microsoft.com/office/drawing/2014/main" id="{7233DD03-3E97-4060-95AA-0979CCE2881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2433" name="Text Box 192">
          <a:extLst>
            <a:ext uri="{FF2B5EF4-FFF2-40B4-BE49-F238E27FC236}">
              <a16:creationId xmlns:a16="http://schemas.microsoft.com/office/drawing/2014/main" id="{8C83E05C-B823-4A1F-A45E-9654BCC1792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2434" name="Text Box 192">
          <a:extLst>
            <a:ext uri="{FF2B5EF4-FFF2-40B4-BE49-F238E27FC236}">
              <a16:creationId xmlns:a16="http://schemas.microsoft.com/office/drawing/2014/main" id="{F3A0DAA5-1033-40F5-BFC2-FCB1C476D8B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2435" name="Text Box 192">
          <a:extLst>
            <a:ext uri="{FF2B5EF4-FFF2-40B4-BE49-F238E27FC236}">
              <a16:creationId xmlns:a16="http://schemas.microsoft.com/office/drawing/2014/main" id="{11FB5DB2-DF3D-4DA8-95D0-71B4011F93C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2436" name="Text Box 192">
          <a:extLst>
            <a:ext uri="{FF2B5EF4-FFF2-40B4-BE49-F238E27FC236}">
              <a16:creationId xmlns:a16="http://schemas.microsoft.com/office/drawing/2014/main" id="{95D18B1A-6667-4920-9E91-14FA2CF5086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283</xdr:row>
      <xdr:rowOff>0</xdr:rowOff>
    </xdr:from>
    <xdr:ext cx="10372" cy="228955"/>
    <xdr:sp macro="" textlink="">
      <xdr:nvSpPr>
        <xdr:cNvPr id="2437" name="Text Box 192">
          <a:extLst>
            <a:ext uri="{FF2B5EF4-FFF2-40B4-BE49-F238E27FC236}">
              <a16:creationId xmlns:a16="http://schemas.microsoft.com/office/drawing/2014/main" id="{9D79831E-E65C-434F-940F-142403855944}"/>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38" name="Text Box 192">
          <a:extLst>
            <a:ext uri="{FF2B5EF4-FFF2-40B4-BE49-F238E27FC236}">
              <a16:creationId xmlns:a16="http://schemas.microsoft.com/office/drawing/2014/main" id="{3DF26EF3-684A-4C9A-8D2F-C639C17163B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39" name="Text Box 192">
          <a:extLst>
            <a:ext uri="{FF2B5EF4-FFF2-40B4-BE49-F238E27FC236}">
              <a16:creationId xmlns:a16="http://schemas.microsoft.com/office/drawing/2014/main" id="{4290BF60-2013-48D5-9F40-B4C793E3AC8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40" name="Text Box 192">
          <a:extLst>
            <a:ext uri="{FF2B5EF4-FFF2-40B4-BE49-F238E27FC236}">
              <a16:creationId xmlns:a16="http://schemas.microsoft.com/office/drawing/2014/main" id="{8E86EE67-72A0-4225-A2AA-591715AF92B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41" name="Text Box 192">
          <a:extLst>
            <a:ext uri="{FF2B5EF4-FFF2-40B4-BE49-F238E27FC236}">
              <a16:creationId xmlns:a16="http://schemas.microsoft.com/office/drawing/2014/main" id="{168219B5-3E38-4C30-8116-375DEDD7F6C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42" name="Text Box 192">
          <a:extLst>
            <a:ext uri="{FF2B5EF4-FFF2-40B4-BE49-F238E27FC236}">
              <a16:creationId xmlns:a16="http://schemas.microsoft.com/office/drawing/2014/main" id="{5256ED90-F479-4D64-B763-60420C6DEDA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43" name="Text Box 192">
          <a:extLst>
            <a:ext uri="{FF2B5EF4-FFF2-40B4-BE49-F238E27FC236}">
              <a16:creationId xmlns:a16="http://schemas.microsoft.com/office/drawing/2014/main" id="{FA25C34F-8082-42E4-B90B-0F399C6A9B8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44" name="Text Box 192">
          <a:extLst>
            <a:ext uri="{FF2B5EF4-FFF2-40B4-BE49-F238E27FC236}">
              <a16:creationId xmlns:a16="http://schemas.microsoft.com/office/drawing/2014/main" id="{7777883B-5D71-4CFD-9A9C-6AFB1F9F450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45" name="Text Box 192">
          <a:extLst>
            <a:ext uri="{FF2B5EF4-FFF2-40B4-BE49-F238E27FC236}">
              <a16:creationId xmlns:a16="http://schemas.microsoft.com/office/drawing/2014/main" id="{055FA87B-B091-4116-BB99-9E6B5E17471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46" name="Text Box 192">
          <a:extLst>
            <a:ext uri="{FF2B5EF4-FFF2-40B4-BE49-F238E27FC236}">
              <a16:creationId xmlns:a16="http://schemas.microsoft.com/office/drawing/2014/main" id="{0B2A36A8-270A-4F03-BD1D-4481754CD08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47" name="Text Box 192">
          <a:extLst>
            <a:ext uri="{FF2B5EF4-FFF2-40B4-BE49-F238E27FC236}">
              <a16:creationId xmlns:a16="http://schemas.microsoft.com/office/drawing/2014/main" id="{D1F97E1C-2B2D-4FC8-BFB8-4D2AD63E8A7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2448" name="Text Box 192">
          <a:extLst>
            <a:ext uri="{FF2B5EF4-FFF2-40B4-BE49-F238E27FC236}">
              <a16:creationId xmlns:a16="http://schemas.microsoft.com/office/drawing/2014/main" id="{4AFD1A00-9973-45AB-BA25-4668E2A87F67}"/>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49" name="Text Box 192">
          <a:extLst>
            <a:ext uri="{FF2B5EF4-FFF2-40B4-BE49-F238E27FC236}">
              <a16:creationId xmlns:a16="http://schemas.microsoft.com/office/drawing/2014/main" id="{A69A4086-C8E2-4CB3-ABAF-18BAB6C9BCA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50" name="Text Box 192">
          <a:extLst>
            <a:ext uri="{FF2B5EF4-FFF2-40B4-BE49-F238E27FC236}">
              <a16:creationId xmlns:a16="http://schemas.microsoft.com/office/drawing/2014/main" id="{1DDEC06B-1A6C-4EEB-84C2-7B92CC8C4B5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51" name="Text Box 192">
          <a:extLst>
            <a:ext uri="{FF2B5EF4-FFF2-40B4-BE49-F238E27FC236}">
              <a16:creationId xmlns:a16="http://schemas.microsoft.com/office/drawing/2014/main" id="{7392A829-9AEA-4BDD-83FA-F2AD9848AA4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52" name="Text Box 192">
          <a:extLst>
            <a:ext uri="{FF2B5EF4-FFF2-40B4-BE49-F238E27FC236}">
              <a16:creationId xmlns:a16="http://schemas.microsoft.com/office/drawing/2014/main" id="{6FE64C62-9C6F-4858-8500-5EB06C6DB06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53" name="Text Box 192">
          <a:extLst>
            <a:ext uri="{FF2B5EF4-FFF2-40B4-BE49-F238E27FC236}">
              <a16:creationId xmlns:a16="http://schemas.microsoft.com/office/drawing/2014/main" id="{84756C07-B54F-45DA-B3F5-F32FC84932C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54" name="Text Box 192">
          <a:extLst>
            <a:ext uri="{FF2B5EF4-FFF2-40B4-BE49-F238E27FC236}">
              <a16:creationId xmlns:a16="http://schemas.microsoft.com/office/drawing/2014/main" id="{42552AD9-48E6-41AC-87AD-BE4E7FD8E61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55" name="Text Box 192">
          <a:extLst>
            <a:ext uri="{FF2B5EF4-FFF2-40B4-BE49-F238E27FC236}">
              <a16:creationId xmlns:a16="http://schemas.microsoft.com/office/drawing/2014/main" id="{5159CEAA-B78C-49F1-B1C3-D336C006926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56" name="Text Box 192">
          <a:extLst>
            <a:ext uri="{FF2B5EF4-FFF2-40B4-BE49-F238E27FC236}">
              <a16:creationId xmlns:a16="http://schemas.microsoft.com/office/drawing/2014/main" id="{FDFD94E2-C302-41FB-9A96-6368F77F34D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57" name="Text Box 192">
          <a:extLst>
            <a:ext uri="{FF2B5EF4-FFF2-40B4-BE49-F238E27FC236}">
              <a16:creationId xmlns:a16="http://schemas.microsoft.com/office/drawing/2014/main" id="{1E93E004-9B53-4A5D-A854-4499B32F15F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58" name="Text Box 192">
          <a:extLst>
            <a:ext uri="{FF2B5EF4-FFF2-40B4-BE49-F238E27FC236}">
              <a16:creationId xmlns:a16="http://schemas.microsoft.com/office/drawing/2014/main" id="{D82A6E2B-F2EA-403E-BC05-106E547D0F0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2459" name="Text Box 192">
          <a:extLst>
            <a:ext uri="{FF2B5EF4-FFF2-40B4-BE49-F238E27FC236}">
              <a16:creationId xmlns:a16="http://schemas.microsoft.com/office/drawing/2014/main" id="{E51F50C3-17EA-4850-B66D-302F8DB4F6AA}"/>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2460" name="Text Box 192">
          <a:extLst>
            <a:ext uri="{FF2B5EF4-FFF2-40B4-BE49-F238E27FC236}">
              <a16:creationId xmlns:a16="http://schemas.microsoft.com/office/drawing/2014/main" id="{8B82BF18-D128-4C65-8C1B-78C373993CC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2461" name="Text Box 192">
          <a:extLst>
            <a:ext uri="{FF2B5EF4-FFF2-40B4-BE49-F238E27FC236}">
              <a16:creationId xmlns:a16="http://schemas.microsoft.com/office/drawing/2014/main" id="{867BC5AB-A603-4940-821A-76594A37211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2462" name="Text Box 192">
          <a:extLst>
            <a:ext uri="{FF2B5EF4-FFF2-40B4-BE49-F238E27FC236}">
              <a16:creationId xmlns:a16="http://schemas.microsoft.com/office/drawing/2014/main" id="{F3264B57-EFDF-4886-B288-0A8CA5E6FB2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2463" name="Text Box 192">
          <a:extLst>
            <a:ext uri="{FF2B5EF4-FFF2-40B4-BE49-F238E27FC236}">
              <a16:creationId xmlns:a16="http://schemas.microsoft.com/office/drawing/2014/main" id="{8422B48B-927F-49BB-BC31-5D1B221FE46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2464" name="Text Box 192">
          <a:extLst>
            <a:ext uri="{FF2B5EF4-FFF2-40B4-BE49-F238E27FC236}">
              <a16:creationId xmlns:a16="http://schemas.microsoft.com/office/drawing/2014/main" id="{70D4C3CD-FB9B-4B15-A605-C1260187154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2465" name="Text Box 192">
          <a:extLst>
            <a:ext uri="{FF2B5EF4-FFF2-40B4-BE49-F238E27FC236}">
              <a16:creationId xmlns:a16="http://schemas.microsoft.com/office/drawing/2014/main" id="{395E4413-A9F2-4998-835C-20B2FA83E45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2466" name="Text Box 192">
          <a:extLst>
            <a:ext uri="{FF2B5EF4-FFF2-40B4-BE49-F238E27FC236}">
              <a16:creationId xmlns:a16="http://schemas.microsoft.com/office/drawing/2014/main" id="{39DF1F46-5CFA-48BE-95BF-9A4E5632006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2467" name="Text Box 192">
          <a:extLst>
            <a:ext uri="{FF2B5EF4-FFF2-40B4-BE49-F238E27FC236}">
              <a16:creationId xmlns:a16="http://schemas.microsoft.com/office/drawing/2014/main" id="{96860C2C-F4E2-4969-B57D-BFCE2B1C9CB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2468" name="Text Box 192">
          <a:extLst>
            <a:ext uri="{FF2B5EF4-FFF2-40B4-BE49-F238E27FC236}">
              <a16:creationId xmlns:a16="http://schemas.microsoft.com/office/drawing/2014/main" id="{A6BDA98F-8276-41A2-B0E8-ADCF1E2949B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2469" name="Text Box 192">
          <a:extLst>
            <a:ext uri="{FF2B5EF4-FFF2-40B4-BE49-F238E27FC236}">
              <a16:creationId xmlns:a16="http://schemas.microsoft.com/office/drawing/2014/main" id="{B8FF8440-252F-4854-8CB0-92259C4310E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288</xdr:row>
      <xdr:rowOff>0</xdr:rowOff>
    </xdr:from>
    <xdr:ext cx="10372" cy="228955"/>
    <xdr:sp macro="" textlink="">
      <xdr:nvSpPr>
        <xdr:cNvPr id="2470" name="Text Box 192">
          <a:extLst>
            <a:ext uri="{FF2B5EF4-FFF2-40B4-BE49-F238E27FC236}">
              <a16:creationId xmlns:a16="http://schemas.microsoft.com/office/drawing/2014/main" id="{C4079027-3D05-4491-A271-5C09AB0F4FD6}"/>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71" name="Text Box 192">
          <a:extLst>
            <a:ext uri="{FF2B5EF4-FFF2-40B4-BE49-F238E27FC236}">
              <a16:creationId xmlns:a16="http://schemas.microsoft.com/office/drawing/2014/main" id="{D85FA91D-0FC3-41CC-8C27-C9503EBFD4F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72" name="Text Box 192">
          <a:extLst>
            <a:ext uri="{FF2B5EF4-FFF2-40B4-BE49-F238E27FC236}">
              <a16:creationId xmlns:a16="http://schemas.microsoft.com/office/drawing/2014/main" id="{AE5D20FB-8421-4F3F-BA26-090CAF638F4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73" name="Text Box 192">
          <a:extLst>
            <a:ext uri="{FF2B5EF4-FFF2-40B4-BE49-F238E27FC236}">
              <a16:creationId xmlns:a16="http://schemas.microsoft.com/office/drawing/2014/main" id="{FC1E3DD9-1D91-4DC5-B6D5-B011426ADDE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74" name="Text Box 192">
          <a:extLst>
            <a:ext uri="{FF2B5EF4-FFF2-40B4-BE49-F238E27FC236}">
              <a16:creationId xmlns:a16="http://schemas.microsoft.com/office/drawing/2014/main" id="{AA813A12-334A-4076-93FE-29E0468FC2E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75" name="Text Box 192">
          <a:extLst>
            <a:ext uri="{FF2B5EF4-FFF2-40B4-BE49-F238E27FC236}">
              <a16:creationId xmlns:a16="http://schemas.microsoft.com/office/drawing/2014/main" id="{7A510680-915E-4106-A1AA-2237B7C4AC6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76" name="Text Box 192">
          <a:extLst>
            <a:ext uri="{FF2B5EF4-FFF2-40B4-BE49-F238E27FC236}">
              <a16:creationId xmlns:a16="http://schemas.microsoft.com/office/drawing/2014/main" id="{DCDAD3A9-0B1F-45DE-BEA7-9F638F7C260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77" name="Text Box 192">
          <a:extLst>
            <a:ext uri="{FF2B5EF4-FFF2-40B4-BE49-F238E27FC236}">
              <a16:creationId xmlns:a16="http://schemas.microsoft.com/office/drawing/2014/main" id="{1FAD6C72-A9F5-46E0-9BEA-54D20454812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78" name="Text Box 192">
          <a:extLst>
            <a:ext uri="{FF2B5EF4-FFF2-40B4-BE49-F238E27FC236}">
              <a16:creationId xmlns:a16="http://schemas.microsoft.com/office/drawing/2014/main" id="{A91602E5-94DF-4BFF-B060-CBC3F5AABF6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79" name="Text Box 192">
          <a:extLst>
            <a:ext uri="{FF2B5EF4-FFF2-40B4-BE49-F238E27FC236}">
              <a16:creationId xmlns:a16="http://schemas.microsoft.com/office/drawing/2014/main" id="{FD121528-6D97-4199-A2B3-BAFA699A77D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80" name="Text Box 192">
          <a:extLst>
            <a:ext uri="{FF2B5EF4-FFF2-40B4-BE49-F238E27FC236}">
              <a16:creationId xmlns:a16="http://schemas.microsoft.com/office/drawing/2014/main" id="{763D5F0E-AB16-49B0-B627-863B11B63BB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2481" name="Text Box 192">
          <a:extLst>
            <a:ext uri="{FF2B5EF4-FFF2-40B4-BE49-F238E27FC236}">
              <a16:creationId xmlns:a16="http://schemas.microsoft.com/office/drawing/2014/main" id="{0390F8E3-91CC-41B9-AEC5-9AFEE1F9A20F}"/>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82" name="Text Box 192">
          <a:extLst>
            <a:ext uri="{FF2B5EF4-FFF2-40B4-BE49-F238E27FC236}">
              <a16:creationId xmlns:a16="http://schemas.microsoft.com/office/drawing/2014/main" id="{75778944-52E9-4313-B0EE-56321D5BA10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83" name="Text Box 192">
          <a:extLst>
            <a:ext uri="{FF2B5EF4-FFF2-40B4-BE49-F238E27FC236}">
              <a16:creationId xmlns:a16="http://schemas.microsoft.com/office/drawing/2014/main" id="{86274B67-1B8E-4CE4-B752-1C248D3B9D6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84" name="Text Box 192">
          <a:extLst>
            <a:ext uri="{FF2B5EF4-FFF2-40B4-BE49-F238E27FC236}">
              <a16:creationId xmlns:a16="http://schemas.microsoft.com/office/drawing/2014/main" id="{E2614E2C-88C0-48FB-A9F4-C2C98A509E3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85" name="Text Box 192">
          <a:extLst>
            <a:ext uri="{FF2B5EF4-FFF2-40B4-BE49-F238E27FC236}">
              <a16:creationId xmlns:a16="http://schemas.microsoft.com/office/drawing/2014/main" id="{8EE03D54-504C-45FB-AB8E-21E33B5666C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86" name="Text Box 192">
          <a:extLst>
            <a:ext uri="{FF2B5EF4-FFF2-40B4-BE49-F238E27FC236}">
              <a16:creationId xmlns:a16="http://schemas.microsoft.com/office/drawing/2014/main" id="{BF41F988-343D-4FB9-8AFF-45AF4D67B18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87" name="Text Box 192">
          <a:extLst>
            <a:ext uri="{FF2B5EF4-FFF2-40B4-BE49-F238E27FC236}">
              <a16:creationId xmlns:a16="http://schemas.microsoft.com/office/drawing/2014/main" id="{69CC5669-75FA-456C-8C97-AFA613AABED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88" name="Text Box 192">
          <a:extLst>
            <a:ext uri="{FF2B5EF4-FFF2-40B4-BE49-F238E27FC236}">
              <a16:creationId xmlns:a16="http://schemas.microsoft.com/office/drawing/2014/main" id="{082C8A9A-6697-4BCA-A28C-1B4A4772787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89" name="Text Box 192">
          <a:extLst>
            <a:ext uri="{FF2B5EF4-FFF2-40B4-BE49-F238E27FC236}">
              <a16:creationId xmlns:a16="http://schemas.microsoft.com/office/drawing/2014/main" id="{6C305865-922C-472A-A900-C72FFAD67D0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90" name="Text Box 192">
          <a:extLst>
            <a:ext uri="{FF2B5EF4-FFF2-40B4-BE49-F238E27FC236}">
              <a16:creationId xmlns:a16="http://schemas.microsoft.com/office/drawing/2014/main" id="{5430FF53-A3A9-484E-B471-B96A7B23FF4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91" name="Text Box 192">
          <a:extLst>
            <a:ext uri="{FF2B5EF4-FFF2-40B4-BE49-F238E27FC236}">
              <a16:creationId xmlns:a16="http://schemas.microsoft.com/office/drawing/2014/main" id="{54950C46-0BA7-4A5C-98C7-A5F2359EDB0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2492" name="Text Box 192">
          <a:extLst>
            <a:ext uri="{FF2B5EF4-FFF2-40B4-BE49-F238E27FC236}">
              <a16:creationId xmlns:a16="http://schemas.microsoft.com/office/drawing/2014/main" id="{677A23D8-25D4-459D-9747-4D1A957A0903}"/>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493" name="Text Box 192">
          <a:extLst>
            <a:ext uri="{FF2B5EF4-FFF2-40B4-BE49-F238E27FC236}">
              <a16:creationId xmlns:a16="http://schemas.microsoft.com/office/drawing/2014/main" id="{65565805-3CC3-4400-BC3B-5E39FEEB1CE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494" name="Text Box 192">
          <a:extLst>
            <a:ext uri="{FF2B5EF4-FFF2-40B4-BE49-F238E27FC236}">
              <a16:creationId xmlns:a16="http://schemas.microsoft.com/office/drawing/2014/main" id="{40DECFE2-B4A2-4120-BDA5-232AA0380A5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495" name="Text Box 192">
          <a:extLst>
            <a:ext uri="{FF2B5EF4-FFF2-40B4-BE49-F238E27FC236}">
              <a16:creationId xmlns:a16="http://schemas.microsoft.com/office/drawing/2014/main" id="{8B141C0A-4107-489D-BA85-590F509DE26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496" name="Text Box 192">
          <a:extLst>
            <a:ext uri="{FF2B5EF4-FFF2-40B4-BE49-F238E27FC236}">
              <a16:creationId xmlns:a16="http://schemas.microsoft.com/office/drawing/2014/main" id="{79C0D4BD-4DDE-45F4-BEC2-542D2088DEF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497" name="Text Box 192">
          <a:extLst>
            <a:ext uri="{FF2B5EF4-FFF2-40B4-BE49-F238E27FC236}">
              <a16:creationId xmlns:a16="http://schemas.microsoft.com/office/drawing/2014/main" id="{0C9014AB-DDEF-42A5-AC1D-E25F2915860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498" name="Text Box 192">
          <a:extLst>
            <a:ext uri="{FF2B5EF4-FFF2-40B4-BE49-F238E27FC236}">
              <a16:creationId xmlns:a16="http://schemas.microsoft.com/office/drawing/2014/main" id="{384FD8F1-8723-444D-A537-B1712CA98A1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499" name="Text Box 192">
          <a:extLst>
            <a:ext uri="{FF2B5EF4-FFF2-40B4-BE49-F238E27FC236}">
              <a16:creationId xmlns:a16="http://schemas.microsoft.com/office/drawing/2014/main" id="{2B6E1115-81CB-4330-8A3C-8BCC5BBC7BF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500" name="Text Box 192">
          <a:extLst>
            <a:ext uri="{FF2B5EF4-FFF2-40B4-BE49-F238E27FC236}">
              <a16:creationId xmlns:a16="http://schemas.microsoft.com/office/drawing/2014/main" id="{D2E36720-2212-4F56-B572-33DBE7DB549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501" name="Text Box 192">
          <a:extLst>
            <a:ext uri="{FF2B5EF4-FFF2-40B4-BE49-F238E27FC236}">
              <a16:creationId xmlns:a16="http://schemas.microsoft.com/office/drawing/2014/main" id="{01A3A56F-BE3A-4292-93DE-7D56296A956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502" name="Text Box 192">
          <a:extLst>
            <a:ext uri="{FF2B5EF4-FFF2-40B4-BE49-F238E27FC236}">
              <a16:creationId xmlns:a16="http://schemas.microsoft.com/office/drawing/2014/main" id="{43A3773C-E194-4D41-9F71-1B3206C0BD7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2503" name="Text Box 192">
          <a:extLst>
            <a:ext uri="{FF2B5EF4-FFF2-40B4-BE49-F238E27FC236}">
              <a16:creationId xmlns:a16="http://schemas.microsoft.com/office/drawing/2014/main" id="{05206D40-3225-40D0-BA59-120D58B37D92}"/>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2504" name="Text Box 192">
          <a:extLst>
            <a:ext uri="{FF2B5EF4-FFF2-40B4-BE49-F238E27FC236}">
              <a16:creationId xmlns:a16="http://schemas.microsoft.com/office/drawing/2014/main" id="{2C9A6919-EF6A-4F8C-9952-4CA42D145C4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2505" name="Text Box 192">
          <a:extLst>
            <a:ext uri="{FF2B5EF4-FFF2-40B4-BE49-F238E27FC236}">
              <a16:creationId xmlns:a16="http://schemas.microsoft.com/office/drawing/2014/main" id="{33D42F06-F79D-476D-AFD7-83B78D96BC4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2506" name="Text Box 192">
          <a:extLst>
            <a:ext uri="{FF2B5EF4-FFF2-40B4-BE49-F238E27FC236}">
              <a16:creationId xmlns:a16="http://schemas.microsoft.com/office/drawing/2014/main" id="{25B58651-4470-4381-8415-2A5E93F7287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2507" name="Text Box 192">
          <a:extLst>
            <a:ext uri="{FF2B5EF4-FFF2-40B4-BE49-F238E27FC236}">
              <a16:creationId xmlns:a16="http://schemas.microsoft.com/office/drawing/2014/main" id="{FD21E235-359D-416B-ABAB-5BC8FDC58C9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2508" name="Text Box 192">
          <a:extLst>
            <a:ext uri="{FF2B5EF4-FFF2-40B4-BE49-F238E27FC236}">
              <a16:creationId xmlns:a16="http://schemas.microsoft.com/office/drawing/2014/main" id="{E72A63DC-F843-4FB8-8534-8578F59872F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2509" name="Text Box 192">
          <a:extLst>
            <a:ext uri="{FF2B5EF4-FFF2-40B4-BE49-F238E27FC236}">
              <a16:creationId xmlns:a16="http://schemas.microsoft.com/office/drawing/2014/main" id="{8ACA44F6-0883-4DB6-B172-4E7A75E6BD5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2510" name="Text Box 192">
          <a:extLst>
            <a:ext uri="{FF2B5EF4-FFF2-40B4-BE49-F238E27FC236}">
              <a16:creationId xmlns:a16="http://schemas.microsoft.com/office/drawing/2014/main" id="{6E096225-2D5C-47FC-9446-428B93E4FD0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2511" name="Text Box 192">
          <a:extLst>
            <a:ext uri="{FF2B5EF4-FFF2-40B4-BE49-F238E27FC236}">
              <a16:creationId xmlns:a16="http://schemas.microsoft.com/office/drawing/2014/main" id="{A2EF58C8-BB1C-4DA4-B12A-BEFDAA10FCE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2512" name="Text Box 192">
          <a:extLst>
            <a:ext uri="{FF2B5EF4-FFF2-40B4-BE49-F238E27FC236}">
              <a16:creationId xmlns:a16="http://schemas.microsoft.com/office/drawing/2014/main" id="{5C9A380D-45CA-4215-A98D-E9DB9A679B3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2513" name="Text Box 192">
          <a:extLst>
            <a:ext uri="{FF2B5EF4-FFF2-40B4-BE49-F238E27FC236}">
              <a16:creationId xmlns:a16="http://schemas.microsoft.com/office/drawing/2014/main" id="{5AC3E473-89E6-4AA4-B083-6D980B85EDF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294</xdr:row>
      <xdr:rowOff>0</xdr:rowOff>
    </xdr:from>
    <xdr:ext cx="10372" cy="228955"/>
    <xdr:sp macro="" textlink="">
      <xdr:nvSpPr>
        <xdr:cNvPr id="2514" name="Text Box 192">
          <a:extLst>
            <a:ext uri="{FF2B5EF4-FFF2-40B4-BE49-F238E27FC236}">
              <a16:creationId xmlns:a16="http://schemas.microsoft.com/office/drawing/2014/main" id="{64231BBA-72F3-4F90-80C8-B84EDA3E2600}"/>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15" name="Text Box 192">
          <a:extLst>
            <a:ext uri="{FF2B5EF4-FFF2-40B4-BE49-F238E27FC236}">
              <a16:creationId xmlns:a16="http://schemas.microsoft.com/office/drawing/2014/main" id="{90090521-BD6C-45EA-AFC8-C8436DD03DB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16" name="Text Box 192">
          <a:extLst>
            <a:ext uri="{FF2B5EF4-FFF2-40B4-BE49-F238E27FC236}">
              <a16:creationId xmlns:a16="http://schemas.microsoft.com/office/drawing/2014/main" id="{EF5AF136-DAD7-43D3-87C4-D08CBB563B1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17" name="Text Box 192">
          <a:extLst>
            <a:ext uri="{FF2B5EF4-FFF2-40B4-BE49-F238E27FC236}">
              <a16:creationId xmlns:a16="http://schemas.microsoft.com/office/drawing/2014/main" id="{3D533ABD-1037-445A-AA40-BB676759C5B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18" name="Text Box 192">
          <a:extLst>
            <a:ext uri="{FF2B5EF4-FFF2-40B4-BE49-F238E27FC236}">
              <a16:creationId xmlns:a16="http://schemas.microsoft.com/office/drawing/2014/main" id="{C3D5D436-DECC-4EF6-8B6A-672A1D95B62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19" name="Text Box 192">
          <a:extLst>
            <a:ext uri="{FF2B5EF4-FFF2-40B4-BE49-F238E27FC236}">
              <a16:creationId xmlns:a16="http://schemas.microsoft.com/office/drawing/2014/main" id="{1D734575-CF2A-4F02-8565-7ED5F4879B4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20" name="Text Box 192">
          <a:extLst>
            <a:ext uri="{FF2B5EF4-FFF2-40B4-BE49-F238E27FC236}">
              <a16:creationId xmlns:a16="http://schemas.microsoft.com/office/drawing/2014/main" id="{315CE3EF-131D-45A7-9B58-6265BB66124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21" name="Text Box 192">
          <a:extLst>
            <a:ext uri="{FF2B5EF4-FFF2-40B4-BE49-F238E27FC236}">
              <a16:creationId xmlns:a16="http://schemas.microsoft.com/office/drawing/2014/main" id="{8C40C227-F985-4401-AA17-26FEA9413BA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22" name="Text Box 192">
          <a:extLst>
            <a:ext uri="{FF2B5EF4-FFF2-40B4-BE49-F238E27FC236}">
              <a16:creationId xmlns:a16="http://schemas.microsoft.com/office/drawing/2014/main" id="{6FDC30C8-72A1-41FF-A8FE-5552DA8D69B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23" name="Text Box 192">
          <a:extLst>
            <a:ext uri="{FF2B5EF4-FFF2-40B4-BE49-F238E27FC236}">
              <a16:creationId xmlns:a16="http://schemas.microsoft.com/office/drawing/2014/main" id="{2196D721-96A4-4765-9357-07262AE78B3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24" name="Text Box 192">
          <a:extLst>
            <a:ext uri="{FF2B5EF4-FFF2-40B4-BE49-F238E27FC236}">
              <a16:creationId xmlns:a16="http://schemas.microsoft.com/office/drawing/2014/main" id="{AE557040-F515-49FD-ACAA-E552A4B14D4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2525" name="Text Box 192">
          <a:extLst>
            <a:ext uri="{FF2B5EF4-FFF2-40B4-BE49-F238E27FC236}">
              <a16:creationId xmlns:a16="http://schemas.microsoft.com/office/drawing/2014/main" id="{909C5CA2-8FE5-4993-8474-E72144122407}"/>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2526" name="Text Box 192">
          <a:extLst>
            <a:ext uri="{FF2B5EF4-FFF2-40B4-BE49-F238E27FC236}">
              <a16:creationId xmlns:a16="http://schemas.microsoft.com/office/drawing/2014/main" id="{22F7F300-CFE7-4AA4-8CAC-FF7419EC24F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2527" name="Text Box 192">
          <a:extLst>
            <a:ext uri="{FF2B5EF4-FFF2-40B4-BE49-F238E27FC236}">
              <a16:creationId xmlns:a16="http://schemas.microsoft.com/office/drawing/2014/main" id="{83406905-AA0A-4941-9A05-7160CB682C9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2528" name="Text Box 192">
          <a:extLst>
            <a:ext uri="{FF2B5EF4-FFF2-40B4-BE49-F238E27FC236}">
              <a16:creationId xmlns:a16="http://schemas.microsoft.com/office/drawing/2014/main" id="{76BA6C99-EEAF-4EDC-B5BA-78F2D073053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2529" name="Text Box 192">
          <a:extLst>
            <a:ext uri="{FF2B5EF4-FFF2-40B4-BE49-F238E27FC236}">
              <a16:creationId xmlns:a16="http://schemas.microsoft.com/office/drawing/2014/main" id="{8328D412-AABB-4C78-B510-A61755AF351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2530" name="Text Box 192">
          <a:extLst>
            <a:ext uri="{FF2B5EF4-FFF2-40B4-BE49-F238E27FC236}">
              <a16:creationId xmlns:a16="http://schemas.microsoft.com/office/drawing/2014/main" id="{8F7F2839-A853-4C81-AD6C-CEEE5D89053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2531" name="Text Box 192">
          <a:extLst>
            <a:ext uri="{FF2B5EF4-FFF2-40B4-BE49-F238E27FC236}">
              <a16:creationId xmlns:a16="http://schemas.microsoft.com/office/drawing/2014/main" id="{499AA66F-0C4F-4E49-B573-DB92B4703CB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2532" name="Text Box 192">
          <a:extLst>
            <a:ext uri="{FF2B5EF4-FFF2-40B4-BE49-F238E27FC236}">
              <a16:creationId xmlns:a16="http://schemas.microsoft.com/office/drawing/2014/main" id="{6265E987-B8D4-4610-AB64-18366F9183C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2533" name="Text Box 192">
          <a:extLst>
            <a:ext uri="{FF2B5EF4-FFF2-40B4-BE49-F238E27FC236}">
              <a16:creationId xmlns:a16="http://schemas.microsoft.com/office/drawing/2014/main" id="{49E1049C-5F62-4FD3-AD8F-A8FFDDE4FC3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2534" name="Text Box 192">
          <a:extLst>
            <a:ext uri="{FF2B5EF4-FFF2-40B4-BE49-F238E27FC236}">
              <a16:creationId xmlns:a16="http://schemas.microsoft.com/office/drawing/2014/main" id="{75AE9B9F-E9A7-44E8-BD1E-B977C4721A3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2535" name="Text Box 192">
          <a:extLst>
            <a:ext uri="{FF2B5EF4-FFF2-40B4-BE49-F238E27FC236}">
              <a16:creationId xmlns:a16="http://schemas.microsoft.com/office/drawing/2014/main" id="{2213FE7B-667B-454B-B2CC-A1AA2A168CF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298</xdr:row>
      <xdr:rowOff>0</xdr:rowOff>
    </xdr:from>
    <xdr:ext cx="10372" cy="228955"/>
    <xdr:sp macro="" textlink="">
      <xdr:nvSpPr>
        <xdr:cNvPr id="2536" name="Text Box 192">
          <a:extLst>
            <a:ext uri="{FF2B5EF4-FFF2-40B4-BE49-F238E27FC236}">
              <a16:creationId xmlns:a16="http://schemas.microsoft.com/office/drawing/2014/main" id="{97F0B70E-4894-4FC0-99EA-0D5395C07357}"/>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37" name="Text Box 192">
          <a:extLst>
            <a:ext uri="{FF2B5EF4-FFF2-40B4-BE49-F238E27FC236}">
              <a16:creationId xmlns:a16="http://schemas.microsoft.com/office/drawing/2014/main" id="{C5EB9F90-A0A4-44D2-BC1A-799657FC542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38" name="Text Box 192">
          <a:extLst>
            <a:ext uri="{FF2B5EF4-FFF2-40B4-BE49-F238E27FC236}">
              <a16:creationId xmlns:a16="http://schemas.microsoft.com/office/drawing/2014/main" id="{CB3BD6D1-77E4-4A37-AC48-38D08E0EC62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39" name="Text Box 192">
          <a:extLst>
            <a:ext uri="{FF2B5EF4-FFF2-40B4-BE49-F238E27FC236}">
              <a16:creationId xmlns:a16="http://schemas.microsoft.com/office/drawing/2014/main" id="{DF7FF2F0-033C-48D3-A804-A17A5E380A2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40" name="Text Box 192">
          <a:extLst>
            <a:ext uri="{FF2B5EF4-FFF2-40B4-BE49-F238E27FC236}">
              <a16:creationId xmlns:a16="http://schemas.microsoft.com/office/drawing/2014/main" id="{3050419F-DFF4-4A95-8BB5-C81B3200591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41" name="Text Box 192">
          <a:extLst>
            <a:ext uri="{FF2B5EF4-FFF2-40B4-BE49-F238E27FC236}">
              <a16:creationId xmlns:a16="http://schemas.microsoft.com/office/drawing/2014/main" id="{8EC10279-8927-4D49-B578-ADCA6F9CA45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42" name="Text Box 192">
          <a:extLst>
            <a:ext uri="{FF2B5EF4-FFF2-40B4-BE49-F238E27FC236}">
              <a16:creationId xmlns:a16="http://schemas.microsoft.com/office/drawing/2014/main" id="{75A9FB4E-ACA7-4AE3-BDE8-4A3A39C2203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43" name="Text Box 192">
          <a:extLst>
            <a:ext uri="{FF2B5EF4-FFF2-40B4-BE49-F238E27FC236}">
              <a16:creationId xmlns:a16="http://schemas.microsoft.com/office/drawing/2014/main" id="{530D7235-4BF9-4787-8D3F-DEF79983886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44" name="Text Box 192">
          <a:extLst>
            <a:ext uri="{FF2B5EF4-FFF2-40B4-BE49-F238E27FC236}">
              <a16:creationId xmlns:a16="http://schemas.microsoft.com/office/drawing/2014/main" id="{E64D7474-DCE2-4EB1-9E03-744DEA67D3C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45" name="Text Box 192">
          <a:extLst>
            <a:ext uri="{FF2B5EF4-FFF2-40B4-BE49-F238E27FC236}">
              <a16:creationId xmlns:a16="http://schemas.microsoft.com/office/drawing/2014/main" id="{554BF878-8C4C-4FEF-9AC0-7C92F193C98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46" name="Text Box 192">
          <a:extLst>
            <a:ext uri="{FF2B5EF4-FFF2-40B4-BE49-F238E27FC236}">
              <a16:creationId xmlns:a16="http://schemas.microsoft.com/office/drawing/2014/main" id="{390ADA18-CF83-434E-9BB5-47422CA00A6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2547" name="Text Box 192">
          <a:extLst>
            <a:ext uri="{FF2B5EF4-FFF2-40B4-BE49-F238E27FC236}">
              <a16:creationId xmlns:a16="http://schemas.microsoft.com/office/drawing/2014/main" id="{6608EC5B-218E-4D12-8FAC-1E89D91A883A}"/>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48" name="Text Box 192">
          <a:extLst>
            <a:ext uri="{FF2B5EF4-FFF2-40B4-BE49-F238E27FC236}">
              <a16:creationId xmlns:a16="http://schemas.microsoft.com/office/drawing/2014/main" id="{EC158C0F-A268-45AF-B8D3-D9233BB361B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49" name="Text Box 192">
          <a:extLst>
            <a:ext uri="{FF2B5EF4-FFF2-40B4-BE49-F238E27FC236}">
              <a16:creationId xmlns:a16="http://schemas.microsoft.com/office/drawing/2014/main" id="{0042AA41-505F-4178-B58B-6245BD621C8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50" name="Text Box 192">
          <a:extLst>
            <a:ext uri="{FF2B5EF4-FFF2-40B4-BE49-F238E27FC236}">
              <a16:creationId xmlns:a16="http://schemas.microsoft.com/office/drawing/2014/main" id="{A5D492A6-E3E0-44C9-96AE-758E24B11473}"/>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51" name="Text Box 192">
          <a:extLst>
            <a:ext uri="{FF2B5EF4-FFF2-40B4-BE49-F238E27FC236}">
              <a16:creationId xmlns:a16="http://schemas.microsoft.com/office/drawing/2014/main" id="{ACBBF0A2-BD43-4974-AA4C-7D70151B4F0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52" name="Text Box 192">
          <a:extLst>
            <a:ext uri="{FF2B5EF4-FFF2-40B4-BE49-F238E27FC236}">
              <a16:creationId xmlns:a16="http://schemas.microsoft.com/office/drawing/2014/main" id="{FB29E7D5-791B-4EB3-84EB-2EF2F665C98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53" name="Text Box 192">
          <a:extLst>
            <a:ext uri="{FF2B5EF4-FFF2-40B4-BE49-F238E27FC236}">
              <a16:creationId xmlns:a16="http://schemas.microsoft.com/office/drawing/2014/main" id="{B217E7F9-C407-4634-A1A7-5BC37CD65BE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54" name="Text Box 192">
          <a:extLst>
            <a:ext uri="{FF2B5EF4-FFF2-40B4-BE49-F238E27FC236}">
              <a16:creationId xmlns:a16="http://schemas.microsoft.com/office/drawing/2014/main" id="{225B30E1-9372-44B8-B50D-04BA6301889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55" name="Text Box 192">
          <a:extLst>
            <a:ext uri="{FF2B5EF4-FFF2-40B4-BE49-F238E27FC236}">
              <a16:creationId xmlns:a16="http://schemas.microsoft.com/office/drawing/2014/main" id="{44045CDC-1822-479C-8C43-6AA7CE9387D1}"/>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56" name="Text Box 192">
          <a:extLst>
            <a:ext uri="{FF2B5EF4-FFF2-40B4-BE49-F238E27FC236}">
              <a16:creationId xmlns:a16="http://schemas.microsoft.com/office/drawing/2014/main" id="{C361366F-1FC1-4D27-9A1D-FA97A2C5B23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57" name="Text Box 192">
          <a:extLst>
            <a:ext uri="{FF2B5EF4-FFF2-40B4-BE49-F238E27FC236}">
              <a16:creationId xmlns:a16="http://schemas.microsoft.com/office/drawing/2014/main" id="{1352B7EC-BFE5-4BC1-A3CB-707CAA6AB8F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2558" name="Text Box 192">
          <a:extLst>
            <a:ext uri="{FF2B5EF4-FFF2-40B4-BE49-F238E27FC236}">
              <a16:creationId xmlns:a16="http://schemas.microsoft.com/office/drawing/2014/main" id="{F1D6B1B9-8215-478B-B953-9615CB213C00}"/>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59" name="Text Box 192">
          <a:extLst>
            <a:ext uri="{FF2B5EF4-FFF2-40B4-BE49-F238E27FC236}">
              <a16:creationId xmlns:a16="http://schemas.microsoft.com/office/drawing/2014/main" id="{2E8B947F-45F3-412D-AA99-60BB5E75B7B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60" name="Text Box 192">
          <a:extLst>
            <a:ext uri="{FF2B5EF4-FFF2-40B4-BE49-F238E27FC236}">
              <a16:creationId xmlns:a16="http://schemas.microsoft.com/office/drawing/2014/main" id="{A06C9C82-5A17-482A-9182-DD85A501FD3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61" name="Text Box 192">
          <a:extLst>
            <a:ext uri="{FF2B5EF4-FFF2-40B4-BE49-F238E27FC236}">
              <a16:creationId xmlns:a16="http://schemas.microsoft.com/office/drawing/2014/main" id="{F765AC86-8773-4D5F-A552-58ADA2B3A87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62" name="Text Box 192">
          <a:extLst>
            <a:ext uri="{FF2B5EF4-FFF2-40B4-BE49-F238E27FC236}">
              <a16:creationId xmlns:a16="http://schemas.microsoft.com/office/drawing/2014/main" id="{FD02184D-A13D-456F-82F4-344C5924BF6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63" name="Text Box 192">
          <a:extLst>
            <a:ext uri="{FF2B5EF4-FFF2-40B4-BE49-F238E27FC236}">
              <a16:creationId xmlns:a16="http://schemas.microsoft.com/office/drawing/2014/main" id="{EC00F15C-E501-4911-BCA3-72A1FA951F4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64" name="Text Box 192">
          <a:extLst>
            <a:ext uri="{FF2B5EF4-FFF2-40B4-BE49-F238E27FC236}">
              <a16:creationId xmlns:a16="http://schemas.microsoft.com/office/drawing/2014/main" id="{62D496B4-4224-4BEB-AB0C-6178927A150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65" name="Text Box 192">
          <a:extLst>
            <a:ext uri="{FF2B5EF4-FFF2-40B4-BE49-F238E27FC236}">
              <a16:creationId xmlns:a16="http://schemas.microsoft.com/office/drawing/2014/main" id="{2B4EF76C-41F2-42C1-B3B7-24B59C5D548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66" name="Text Box 192">
          <a:extLst>
            <a:ext uri="{FF2B5EF4-FFF2-40B4-BE49-F238E27FC236}">
              <a16:creationId xmlns:a16="http://schemas.microsoft.com/office/drawing/2014/main" id="{F35DEDE8-B1DE-4E3B-A5AD-BAC59377E34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67" name="Text Box 192">
          <a:extLst>
            <a:ext uri="{FF2B5EF4-FFF2-40B4-BE49-F238E27FC236}">
              <a16:creationId xmlns:a16="http://schemas.microsoft.com/office/drawing/2014/main" id="{389ACCA5-A85B-4D7C-B6ED-B788453FC082}"/>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68" name="Text Box 192">
          <a:extLst>
            <a:ext uri="{FF2B5EF4-FFF2-40B4-BE49-F238E27FC236}">
              <a16:creationId xmlns:a16="http://schemas.microsoft.com/office/drawing/2014/main" id="{AD95B3EA-745C-4CE1-A1B5-431961C9D37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2569" name="Text Box 192">
          <a:extLst>
            <a:ext uri="{FF2B5EF4-FFF2-40B4-BE49-F238E27FC236}">
              <a16:creationId xmlns:a16="http://schemas.microsoft.com/office/drawing/2014/main" id="{ACE4EB0C-4A95-4F91-A782-BD4BE00402B3}"/>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70" name="Text Box 192">
          <a:extLst>
            <a:ext uri="{FF2B5EF4-FFF2-40B4-BE49-F238E27FC236}">
              <a16:creationId xmlns:a16="http://schemas.microsoft.com/office/drawing/2014/main" id="{F2F1E8E7-B3B5-485E-A718-11C7BDD997B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71" name="Text Box 192">
          <a:extLst>
            <a:ext uri="{FF2B5EF4-FFF2-40B4-BE49-F238E27FC236}">
              <a16:creationId xmlns:a16="http://schemas.microsoft.com/office/drawing/2014/main" id="{96094BBA-E49E-42D4-8BFD-02F5997E917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72" name="Text Box 192">
          <a:extLst>
            <a:ext uri="{FF2B5EF4-FFF2-40B4-BE49-F238E27FC236}">
              <a16:creationId xmlns:a16="http://schemas.microsoft.com/office/drawing/2014/main" id="{19F47D9D-9D46-4330-8A83-A6E4A2A21A4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73" name="Text Box 192">
          <a:extLst>
            <a:ext uri="{FF2B5EF4-FFF2-40B4-BE49-F238E27FC236}">
              <a16:creationId xmlns:a16="http://schemas.microsoft.com/office/drawing/2014/main" id="{55258868-2AFD-4B30-9DD9-C56945AF9A0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74" name="Text Box 192">
          <a:extLst>
            <a:ext uri="{FF2B5EF4-FFF2-40B4-BE49-F238E27FC236}">
              <a16:creationId xmlns:a16="http://schemas.microsoft.com/office/drawing/2014/main" id="{347233ED-1912-4374-961C-5C84CE3803F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75" name="Text Box 192">
          <a:extLst>
            <a:ext uri="{FF2B5EF4-FFF2-40B4-BE49-F238E27FC236}">
              <a16:creationId xmlns:a16="http://schemas.microsoft.com/office/drawing/2014/main" id="{1CC6DEA5-8042-4E24-93B2-7ABF4B4FF48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76" name="Text Box 192">
          <a:extLst>
            <a:ext uri="{FF2B5EF4-FFF2-40B4-BE49-F238E27FC236}">
              <a16:creationId xmlns:a16="http://schemas.microsoft.com/office/drawing/2014/main" id="{68F66AD6-C4B1-4C04-A008-B6D2A200201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77" name="Text Box 192">
          <a:extLst>
            <a:ext uri="{FF2B5EF4-FFF2-40B4-BE49-F238E27FC236}">
              <a16:creationId xmlns:a16="http://schemas.microsoft.com/office/drawing/2014/main" id="{F6070C71-82DC-48FB-BB82-7FB837BA8E4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78" name="Text Box 192">
          <a:extLst>
            <a:ext uri="{FF2B5EF4-FFF2-40B4-BE49-F238E27FC236}">
              <a16:creationId xmlns:a16="http://schemas.microsoft.com/office/drawing/2014/main" id="{EF1165F7-51FF-4FA9-9DDB-0C442F36E32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79" name="Text Box 192">
          <a:extLst>
            <a:ext uri="{FF2B5EF4-FFF2-40B4-BE49-F238E27FC236}">
              <a16:creationId xmlns:a16="http://schemas.microsoft.com/office/drawing/2014/main" id="{1425DBC3-B0C0-44D0-9D02-C8FFC088363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2580" name="Text Box 192">
          <a:extLst>
            <a:ext uri="{FF2B5EF4-FFF2-40B4-BE49-F238E27FC236}">
              <a16:creationId xmlns:a16="http://schemas.microsoft.com/office/drawing/2014/main" id="{4898A880-E4D5-4A3F-A0EA-D791798F331A}"/>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81" name="Text Box 192">
          <a:extLst>
            <a:ext uri="{FF2B5EF4-FFF2-40B4-BE49-F238E27FC236}">
              <a16:creationId xmlns:a16="http://schemas.microsoft.com/office/drawing/2014/main" id="{5C66A6C8-9CDD-4D09-9595-7BAC4DE82F8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82" name="Text Box 192">
          <a:extLst>
            <a:ext uri="{FF2B5EF4-FFF2-40B4-BE49-F238E27FC236}">
              <a16:creationId xmlns:a16="http://schemas.microsoft.com/office/drawing/2014/main" id="{4D11DF91-9D35-47F7-9840-1F82E3A8449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83" name="Text Box 192">
          <a:extLst>
            <a:ext uri="{FF2B5EF4-FFF2-40B4-BE49-F238E27FC236}">
              <a16:creationId xmlns:a16="http://schemas.microsoft.com/office/drawing/2014/main" id="{3DDEFDF9-455B-493C-A68D-C3409577B85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84" name="Text Box 192">
          <a:extLst>
            <a:ext uri="{FF2B5EF4-FFF2-40B4-BE49-F238E27FC236}">
              <a16:creationId xmlns:a16="http://schemas.microsoft.com/office/drawing/2014/main" id="{D335E5C2-1A19-43D6-90FC-4954BADB5F6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85" name="Text Box 192">
          <a:extLst>
            <a:ext uri="{FF2B5EF4-FFF2-40B4-BE49-F238E27FC236}">
              <a16:creationId xmlns:a16="http://schemas.microsoft.com/office/drawing/2014/main" id="{FEA39DAF-70FD-4020-8846-B6C1E56305B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86" name="Text Box 192">
          <a:extLst>
            <a:ext uri="{FF2B5EF4-FFF2-40B4-BE49-F238E27FC236}">
              <a16:creationId xmlns:a16="http://schemas.microsoft.com/office/drawing/2014/main" id="{785DFA91-6DF0-44FA-B1D2-70B306905AD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87" name="Text Box 192">
          <a:extLst>
            <a:ext uri="{FF2B5EF4-FFF2-40B4-BE49-F238E27FC236}">
              <a16:creationId xmlns:a16="http://schemas.microsoft.com/office/drawing/2014/main" id="{21FE41C4-EB73-4E27-9244-E9739C2C4A5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88" name="Text Box 192">
          <a:extLst>
            <a:ext uri="{FF2B5EF4-FFF2-40B4-BE49-F238E27FC236}">
              <a16:creationId xmlns:a16="http://schemas.microsoft.com/office/drawing/2014/main" id="{2ABE3C8B-A44E-4842-8D78-6044DB07D21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89" name="Text Box 192">
          <a:extLst>
            <a:ext uri="{FF2B5EF4-FFF2-40B4-BE49-F238E27FC236}">
              <a16:creationId xmlns:a16="http://schemas.microsoft.com/office/drawing/2014/main" id="{ADB68973-EF0B-459A-9608-09175661193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90" name="Text Box 192">
          <a:extLst>
            <a:ext uri="{FF2B5EF4-FFF2-40B4-BE49-F238E27FC236}">
              <a16:creationId xmlns:a16="http://schemas.microsoft.com/office/drawing/2014/main" id="{2CA6C368-8EDE-44C3-9133-0874974E9AE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2591" name="Text Box 192">
          <a:extLst>
            <a:ext uri="{FF2B5EF4-FFF2-40B4-BE49-F238E27FC236}">
              <a16:creationId xmlns:a16="http://schemas.microsoft.com/office/drawing/2014/main" id="{D47095CD-7CA9-47FA-AFA1-40A7BCE42B2D}"/>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592" name="Text Box 192">
          <a:extLst>
            <a:ext uri="{FF2B5EF4-FFF2-40B4-BE49-F238E27FC236}">
              <a16:creationId xmlns:a16="http://schemas.microsoft.com/office/drawing/2014/main" id="{BE3FF38B-065A-4C7D-9D09-09369CFBF5E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593" name="Text Box 192">
          <a:extLst>
            <a:ext uri="{FF2B5EF4-FFF2-40B4-BE49-F238E27FC236}">
              <a16:creationId xmlns:a16="http://schemas.microsoft.com/office/drawing/2014/main" id="{97BD9374-8BE8-4225-8978-FD366FDA1E5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594" name="Text Box 192">
          <a:extLst>
            <a:ext uri="{FF2B5EF4-FFF2-40B4-BE49-F238E27FC236}">
              <a16:creationId xmlns:a16="http://schemas.microsoft.com/office/drawing/2014/main" id="{063F882B-5418-41C0-946F-9405A29230E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595" name="Text Box 192">
          <a:extLst>
            <a:ext uri="{FF2B5EF4-FFF2-40B4-BE49-F238E27FC236}">
              <a16:creationId xmlns:a16="http://schemas.microsoft.com/office/drawing/2014/main" id="{2CEC17EB-941E-4C75-9C60-E9C840F0D14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596" name="Text Box 192">
          <a:extLst>
            <a:ext uri="{FF2B5EF4-FFF2-40B4-BE49-F238E27FC236}">
              <a16:creationId xmlns:a16="http://schemas.microsoft.com/office/drawing/2014/main" id="{445D72A4-B4BF-4A99-8C11-41F98BFEF90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597" name="Text Box 192">
          <a:extLst>
            <a:ext uri="{FF2B5EF4-FFF2-40B4-BE49-F238E27FC236}">
              <a16:creationId xmlns:a16="http://schemas.microsoft.com/office/drawing/2014/main" id="{1F0B3AC5-2582-4F7D-AED3-AA3B1FAED0A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598" name="Text Box 192">
          <a:extLst>
            <a:ext uri="{FF2B5EF4-FFF2-40B4-BE49-F238E27FC236}">
              <a16:creationId xmlns:a16="http://schemas.microsoft.com/office/drawing/2014/main" id="{9C1A7841-0027-4FBA-AA2B-86571E8076B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599" name="Text Box 192">
          <a:extLst>
            <a:ext uri="{FF2B5EF4-FFF2-40B4-BE49-F238E27FC236}">
              <a16:creationId xmlns:a16="http://schemas.microsoft.com/office/drawing/2014/main" id="{FF5CD94C-0AD0-4BD4-AD49-1F2A34F4C06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600" name="Text Box 192">
          <a:extLst>
            <a:ext uri="{FF2B5EF4-FFF2-40B4-BE49-F238E27FC236}">
              <a16:creationId xmlns:a16="http://schemas.microsoft.com/office/drawing/2014/main" id="{72E37BE6-FF1E-45C4-B635-04029B29F5B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601" name="Text Box 192">
          <a:extLst>
            <a:ext uri="{FF2B5EF4-FFF2-40B4-BE49-F238E27FC236}">
              <a16:creationId xmlns:a16="http://schemas.microsoft.com/office/drawing/2014/main" id="{51FF7739-C26C-4C00-9C67-B35018B33D0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2602" name="Text Box 192">
          <a:extLst>
            <a:ext uri="{FF2B5EF4-FFF2-40B4-BE49-F238E27FC236}">
              <a16:creationId xmlns:a16="http://schemas.microsoft.com/office/drawing/2014/main" id="{6F7B6F8F-0ED2-4123-89A0-121671FA5BCD}"/>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03" name="Text Box 192">
          <a:extLst>
            <a:ext uri="{FF2B5EF4-FFF2-40B4-BE49-F238E27FC236}">
              <a16:creationId xmlns:a16="http://schemas.microsoft.com/office/drawing/2014/main" id="{CD3AB6D3-AB45-4276-94BE-69F2B525C8E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04" name="Text Box 192">
          <a:extLst>
            <a:ext uri="{FF2B5EF4-FFF2-40B4-BE49-F238E27FC236}">
              <a16:creationId xmlns:a16="http://schemas.microsoft.com/office/drawing/2014/main" id="{E409B01D-681A-4DED-9670-307F6E7211BD}"/>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05" name="Text Box 192">
          <a:extLst>
            <a:ext uri="{FF2B5EF4-FFF2-40B4-BE49-F238E27FC236}">
              <a16:creationId xmlns:a16="http://schemas.microsoft.com/office/drawing/2014/main" id="{7C703C7C-E60A-4999-AA82-B3355B39712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06" name="Text Box 192">
          <a:extLst>
            <a:ext uri="{FF2B5EF4-FFF2-40B4-BE49-F238E27FC236}">
              <a16:creationId xmlns:a16="http://schemas.microsoft.com/office/drawing/2014/main" id="{7D015358-D1C0-4493-B7AF-23610E7A7E9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07" name="Text Box 192">
          <a:extLst>
            <a:ext uri="{FF2B5EF4-FFF2-40B4-BE49-F238E27FC236}">
              <a16:creationId xmlns:a16="http://schemas.microsoft.com/office/drawing/2014/main" id="{F765C5F2-44DC-403C-AE93-8BE3A312507A}"/>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08" name="Text Box 192">
          <a:extLst>
            <a:ext uri="{FF2B5EF4-FFF2-40B4-BE49-F238E27FC236}">
              <a16:creationId xmlns:a16="http://schemas.microsoft.com/office/drawing/2014/main" id="{B4E8E4BE-B0B4-4965-8D5F-E8F585C40159}"/>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09" name="Text Box 192">
          <a:extLst>
            <a:ext uri="{FF2B5EF4-FFF2-40B4-BE49-F238E27FC236}">
              <a16:creationId xmlns:a16="http://schemas.microsoft.com/office/drawing/2014/main" id="{BBF8A6A4-FAF2-4DB2-8A7D-2D701A22ADC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10" name="Text Box 192">
          <a:extLst>
            <a:ext uri="{FF2B5EF4-FFF2-40B4-BE49-F238E27FC236}">
              <a16:creationId xmlns:a16="http://schemas.microsoft.com/office/drawing/2014/main" id="{2D9B781E-61EC-4AFD-9B14-7A3A58C132AF}"/>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11" name="Text Box 192">
          <a:extLst>
            <a:ext uri="{FF2B5EF4-FFF2-40B4-BE49-F238E27FC236}">
              <a16:creationId xmlns:a16="http://schemas.microsoft.com/office/drawing/2014/main" id="{14DE2577-B9E8-4907-9B87-184878262FB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12" name="Text Box 192">
          <a:extLst>
            <a:ext uri="{FF2B5EF4-FFF2-40B4-BE49-F238E27FC236}">
              <a16:creationId xmlns:a16="http://schemas.microsoft.com/office/drawing/2014/main" id="{9E6DCA9F-C439-4D22-B08E-544F0F414C6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2613" name="Text Box 192">
          <a:extLst>
            <a:ext uri="{FF2B5EF4-FFF2-40B4-BE49-F238E27FC236}">
              <a16:creationId xmlns:a16="http://schemas.microsoft.com/office/drawing/2014/main" id="{7835AA91-8B67-46B4-B945-1C31B4D8B83E}"/>
            </a:ext>
          </a:extLst>
        </xdr:cNvPr>
        <xdr:cNvSpPr txBox="1">
          <a:spLocks noChangeArrowheads="1"/>
        </xdr:cNvSpPr>
      </xdr:nvSpPr>
      <xdr:spPr bwMode="auto">
        <a:xfrm>
          <a:off x="24718006" y="5335190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2614" name="Text Box 192">
          <a:extLst>
            <a:ext uri="{FF2B5EF4-FFF2-40B4-BE49-F238E27FC236}">
              <a16:creationId xmlns:a16="http://schemas.microsoft.com/office/drawing/2014/main" id="{8D4442CB-1E24-4826-B94E-620019A2746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2615" name="Text Box 192">
          <a:extLst>
            <a:ext uri="{FF2B5EF4-FFF2-40B4-BE49-F238E27FC236}">
              <a16:creationId xmlns:a16="http://schemas.microsoft.com/office/drawing/2014/main" id="{E8CB4343-45A0-49D8-B48F-55B3A5AF4D70}"/>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2616" name="Text Box 192">
          <a:extLst>
            <a:ext uri="{FF2B5EF4-FFF2-40B4-BE49-F238E27FC236}">
              <a16:creationId xmlns:a16="http://schemas.microsoft.com/office/drawing/2014/main" id="{BA1029F8-46ED-427E-85D6-DA9CD5C36974}"/>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2617" name="Text Box 192">
          <a:extLst>
            <a:ext uri="{FF2B5EF4-FFF2-40B4-BE49-F238E27FC236}">
              <a16:creationId xmlns:a16="http://schemas.microsoft.com/office/drawing/2014/main" id="{3E15E750-302F-482F-B493-E6F37FD5179C}"/>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2618" name="Text Box 192">
          <a:extLst>
            <a:ext uri="{FF2B5EF4-FFF2-40B4-BE49-F238E27FC236}">
              <a16:creationId xmlns:a16="http://schemas.microsoft.com/office/drawing/2014/main" id="{F1D51AEE-1E4A-442A-88D3-5C3E4BCD7176}"/>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2619" name="Text Box 192">
          <a:extLst>
            <a:ext uri="{FF2B5EF4-FFF2-40B4-BE49-F238E27FC236}">
              <a16:creationId xmlns:a16="http://schemas.microsoft.com/office/drawing/2014/main" id="{8F29FABE-865E-48A7-8B0F-3E6F52620F68}"/>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2620" name="Text Box 192">
          <a:extLst>
            <a:ext uri="{FF2B5EF4-FFF2-40B4-BE49-F238E27FC236}">
              <a16:creationId xmlns:a16="http://schemas.microsoft.com/office/drawing/2014/main" id="{E1A4AB59-7142-4952-B945-FB219BA6E275}"/>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2621" name="Text Box 192">
          <a:extLst>
            <a:ext uri="{FF2B5EF4-FFF2-40B4-BE49-F238E27FC236}">
              <a16:creationId xmlns:a16="http://schemas.microsoft.com/office/drawing/2014/main" id="{9033E1C2-34E5-4841-975D-3C2A173BBF87}"/>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2622" name="Text Box 192">
          <a:extLst>
            <a:ext uri="{FF2B5EF4-FFF2-40B4-BE49-F238E27FC236}">
              <a16:creationId xmlns:a16="http://schemas.microsoft.com/office/drawing/2014/main" id="{D4C893ED-1425-49A0-9EC3-5E667EB4385E}"/>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2623" name="Text Box 192">
          <a:extLst>
            <a:ext uri="{FF2B5EF4-FFF2-40B4-BE49-F238E27FC236}">
              <a16:creationId xmlns:a16="http://schemas.microsoft.com/office/drawing/2014/main" id="{FD2C86D0-E8BC-439B-B50A-F0683BA4453B}"/>
            </a:ext>
          </a:extLst>
        </xdr:cNvPr>
        <xdr:cNvSpPr txBox="1">
          <a:spLocks noChangeArrowheads="1"/>
        </xdr:cNvSpPr>
      </xdr:nvSpPr>
      <xdr:spPr bwMode="auto">
        <a:xfrm>
          <a:off x="24718006" y="5351859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59</xdr:row>
      <xdr:rowOff>0</xdr:rowOff>
    </xdr:from>
    <xdr:ext cx="10372" cy="228955"/>
    <xdr:sp macro="" textlink="">
      <xdr:nvSpPr>
        <xdr:cNvPr id="2624" name="Text Box 192">
          <a:extLst>
            <a:ext uri="{FF2B5EF4-FFF2-40B4-BE49-F238E27FC236}">
              <a16:creationId xmlns:a16="http://schemas.microsoft.com/office/drawing/2014/main" id="{ACE948BF-315C-4421-8B45-E7DF3EAD6E3F}"/>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625" name="Text Box 192">
          <a:extLst>
            <a:ext uri="{FF2B5EF4-FFF2-40B4-BE49-F238E27FC236}">
              <a16:creationId xmlns:a16="http://schemas.microsoft.com/office/drawing/2014/main" id="{D9AF56C9-A3B3-4CA3-B154-6643399CCFF1}"/>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59</xdr:row>
      <xdr:rowOff>0</xdr:rowOff>
    </xdr:from>
    <xdr:ext cx="10372" cy="228955"/>
    <xdr:sp macro="" textlink="">
      <xdr:nvSpPr>
        <xdr:cNvPr id="2626" name="Text Box 192">
          <a:extLst>
            <a:ext uri="{FF2B5EF4-FFF2-40B4-BE49-F238E27FC236}">
              <a16:creationId xmlns:a16="http://schemas.microsoft.com/office/drawing/2014/main" id="{8BA79626-5575-4B48-955D-4201DFD3E5E8}"/>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627" name="Text Box 192">
          <a:extLst>
            <a:ext uri="{FF2B5EF4-FFF2-40B4-BE49-F238E27FC236}">
              <a16:creationId xmlns:a16="http://schemas.microsoft.com/office/drawing/2014/main" id="{DE552789-C61C-45CD-88DE-20A7E7A056B2}"/>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59</xdr:row>
      <xdr:rowOff>0</xdr:rowOff>
    </xdr:from>
    <xdr:ext cx="10372" cy="228955"/>
    <xdr:sp macro="" textlink="">
      <xdr:nvSpPr>
        <xdr:cNvPr id="2628" name="Text Box 192">
          <a:extLst>
            <a:ext uri="{FF2B5EF4-FFF2-40B4-BE49-F238E27FC236}">
              <a16:creationId xmlns:a16="http://schemas.microsoft.com/office/drawing/2014/main" id="{26E07A6A-20F1-45B1-9BC8-2DC3470BE62F}"/>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629" name="Text Box 192">
          <a:extLst>
            <a:ext uri="{FF2B5EF4-FFF2-40B4-BE49-F238E27FC236}">
              <a16:creationId xmlns:a16="http://schemas.microsoft.com/office/drawing/2014/main" id="{D82E40CF-17D5-41EC-B639-BECD3DA3FF18}"/>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630" name="Text Box 192">
          <a:extLst>
            <a:ext uri="{FF2B5EF4-FFF2-40B4-BE49-F238E27FC236}">
              <a16:creationId xmlns:a16="http://schemas.microsoft.com/office/drawing/2014/main" id="{A82423F2-0246-4821-BBBE-B9F50B8E10CB}"/>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631" name="Text Box 192">
          <a:extLst>
            <a:ext uri="{FF2B5EF4-FFF2-40B4-BE49-F238E27FC236}">
              <a16:creationId xmlns:a16="http://schemas.microsoft.com/office/drawing/2014/main" id="{226B0AC2-DF33-4E4A-9903-56BB42D9DBA0}"/>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632" name="Text Box 192">
          <a:extLst>
            <a:ext uri="{FF2B5EF4-FFF2-40B4-BE49-F238E27FC236}">
              <a16:creationId xmlns:a16="http://schemas.microsoft.com/office/drawing/2014/main" id="{C7020D2E-6248-408C-88A7-3E91A25E945D}"/>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633" name="Text Box 192">
          <a:extLst>
            <a:ext uri="{FF2B5EF4-FFF2-40B4-BE49-F238E27FC236}">
              <a16:creationId xmlns:a16="http://schemas.microsoft.com/office/drawing/2014/main" id="{82E0C2A9-9914-47BB-A043-8A9786F383AB}"/>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634" name="Text Box 192">
          <a:extLst>
            <a:ext uri="{FF2B5EF4-FFF2-40B4-BE49-F238E27FC236}">
              <a16:creationId xmlns:a16="http://schemas.microsoft.com/office/drawing/2014/main" id="{EF80D1E3-15C8-4A52-9EE4-7060E217E053}"/>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635" name="Text Box 192">
          <a:extLst>
            <a:ext uri="{FF2B5EF4-FFF2-40B4-BE49-F238E27FC236}">
              <a16:creationId xmlns:a16="http://schemas.microsoft.com/office/drawing/2014/main" id="{09D2E8D0-383C-4588-B62C-D00BCCB6720B}"/>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636" name="Text Box 192">
          <a:extLst>
            <a:ext uri="{FF2B5EF4-FFF2-40B4-BE49-F238E27FC236}">
              <a16:creationId xmlns:a16="http://schemas.microsoft.com/office/drawing/2014/main" id="{1640D0D9-7672-4E2D-B9F3-1F79BB30C781}"/>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637" name="Text Box 192">
          <a:extLst>
            <a:ext uri="{FF2B5EF4-FFF2-40B4-BE49-F238E27FC236}">
              <a16:creationId xmlns:a16="http://schemas.microsoft.com/office/drawing/2014/main" id="{6C34C389-D2D8-4D4D-A6C2-65D3B3D0B3B2}"/>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638" name="Text Box 192">
          <a:extLst>
            <a:ext uri="{FF2B5EF4-FFF2-40B4-BE49-F238E27FC236}">
              <a16:creationId xmlns:a16="http://schemas.microsoft.com/office/drawing/2014/main" id="{14C95030-D68A-4546-9965-67F8A181B312}"/>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639" name="Text Box 192">
          <a:extLst>
            <a:ext uri="{FF2B5EF4-FFF2-40B4-BE49-F238E27FC236}">
              <a16:creationId xmlns:a16="http://schemas.microsoft.com/office/drawing/2014/main" id="{1E8BABD8-BDB0-49CC-B509-7D623086D23B}"/>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640" name="Text Box 192">
          <a:extLst>
            <a:ext uri="{FF2B5EF4-FFF2-40B4-BE49-F238E27FC236}">
              <a16:creationId xmlns:a16="http://schemas.microsoft.com/office/drawing/2014/main" id="{ED9A1766-37DF-4AC5-8B29-702E88D1B7F9}"/>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641" name="Text Box 192">
          <a:extLst>
            <a:ext uri="{FF2B5EF4-FFF2-40B4-BE49-F238E27FC236}">
              <a16:creationId xmlns:a16="http://schemas.microsoft.com/office/drawing/2014/main" id="{9D0F8E6C-C8D4-4B29-B697-1CB6803E8080}"/>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642" name="Text Box 192">
          <a:extLst>
            <a:ext uri="{FF2B5EF4-FFF2-40B4-BE49-F238E27FC236}">
              <a16:creationId xmlns:a16="http://schemas.microsoft.com/office/drawing/2014/main" id="{94DCB3A2-D6A2-4E89-8B48-3DC680DE11E7}"/>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643" name="Text Box 192">
          <a:extLst>
            <a:ext uri="{FF2B5EF4-FFF2-40B4-BE49-F238E27FC236}">
              <a16:creationId xmlns:a16="http://schemas.microsoft.com/office/drawing/2014/main" id="{CA9F4E48-92E0-4199-9B6D-3B5EB8C660F1}"/>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644" name="Text Box 192">
          <a:extLst>
            <a:ext uri="{FF2B5EF4-FFF2-40B4-BE49-F238E27FC236}">
              <a16:creationId xmlns:a16="http://schemas.microsoft.com/office/drawing/2014/main" id="{F6A5A60B-8BA5-42DF-B962-CCDB00567313}"/>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645" name="Text Box 192">
          <a:extLst>
            <a:ext uri="{FF2B5EF4-FFF2-40B4-BE49-F238E27FC236}">
              <a16:creationId xmlns:a16="http://schemas.microsoft.com/office/drawing/2014/main" id="{088BF372-BB83-4A52-98E6-AF2999167391}"/>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646" name="Text Box 192">
          <a:extLst>
            <a:ext uri="{FF2B5EF4-FFF2-40B4-BE49-F238E27FC236}">
              <a16:creationId xmlns:a16="http://schemas.microsoft.com/office/drawing/2014/main" id="{F5E956E4-BB4A-4425-BB49-33394C3DA4B6}"/>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647" name="Text Box 192">
          <a:extLst>
            <a:ext uri="{FF2B5EF4-FFF2-40B4-BE49-F238E27FC236}">
              <a16:creationId xmlns:a16="http://schemas.microsoft.com/office/drawing/2014/main" id="{D7C16579-DD55-48F7-A585-4C2A110ADF7F}"/>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648" name="Text Box 192">
          <a:extLst>
            <a:ext uri="{FF2B5EF4-FFF2-40B4-BE49-F238E27FC236}">
              <a16:creationId xmlns:a16="http://schemas.microsoft.com/office/drawing/2014/main" id="{605DAA6C-7D7D-44FE-944F-CF9B520D8C33}"/>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649" name="Text Box 192">
          <a:extLst>
            <a:ext uri="{FF2B5EF4-FFF2-40B4-BE49-F238E27FC236}">
              <a16:creationId xmlns:a16="http://schemas.microsoft.com/office/drawing/2014/main" id="{FB6097C9-B8DB-44E1-9451-88A496D527D0}"/>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650" name="Text Box 192">
          <a:extLst>
            <a:ext uri="{FF2B5EF4-FFF2-40B4-BE49-F238E27FC236}">
              <a16:creationId xmlns:a16="http://schemas.microsoft.com/office/drawing/2014/main" id="{91BB1A39-4171-4D66-A90B-4912C66A7CB3}"/>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651" name="Text Box 192">
          <a:extLst>
            <a:ext uri="{FF2B5EF4-FFF2-40B4-BE49-F238E27FC236}">
              <a16:creationId xmlns:a16="http://schemas.microsoft.com/office/drawing/2014/main" id="{8F784880-451A-4045-9522-083D77577BC6}"/>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652" name="Text Box 192">
          <a:extLst>
            <a:ext uri="{FF2B5EF4-FFF2-40B4-BE49-F238E27FC236}">
              <a16:creationId xmlns:a16="http://schemas.microsoft.com/office/drawing/2014/main" id="{7A8F1F1F-126C-4769-8380-1409CDA51500}"/>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653" name="Text Box 192">
          <a:extLst>
            <a:ext uri="{FF2B5EF4-FFF2-40B4-BE49-F238E27FC236}">
              <a16:creationId xmlns:a16="http://schemas.microsoft.com/office/drawing/2014/main" id="{BA40F157-3327-464C-8E72-9D804FE4CE7F}"/>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654" name="Text Box 192">
          <a:extLst>
            <a:ext uri="{FF2B5EF4-FFF2-40B4-BE49-F238E27FC236}">
              <a16:creationId xmlns:a16="http://schemas.microsoft.com/office/drawing/2014/main" id="{B85AA781-46A8-4B31-AA5B-EDA68DDA74A2}"/>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655" name="Text Box 192">
          <a:extLst>
            <a:ext uri="{FF2B5EF4-FFF2-40B4-BE49-F238E27FC236}">
              <a16:creationId xmlns:a16="http://schemas.microsoft.com/office/drawing/2014/main" id="{14D4249E-DBCF-4472-8FDE-1472E24F66C5}"/>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656" name="Text Box 192">
          <a:extLst>
            <a:ext uri="{FF2B5EF4-FFF2-40B4-BE49-F238E27FC236}">
              <a16:creationId xmlns:a16="http://schemas.microsoft.com/office/drawing/2014/main" id="{B5F4F9A7-E2A1-453E-85BE-60504841E62A}"/>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657" name="Text Box 192">
          <a:extLst>
            <a:ext uri="{FF2B5EF4-FFF2-40B4-BE49-F238E27FC236}">
              <a16:creationId xmlns:a16="http://schemas.microsoft.com/office/drawing/2014/main" id="{42D2FDCA-5191-4F68-8EBA-58502AD5EA77}"/>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658" name="Text Box 192">
          <a:extLst>
            <a:ext uri="{FF2B5EF4-FFF2-40B4-BE49-F238E27FC236}">
              <a16:creationId xmlns:a16="http://schemas.microsoft.com/office/drawing/2014/main" id="{B22E9FE7-0909-4E94-B8D3-340835D04688}"/>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659" name="Text Box 192">
          <a:extLst>
            <a:ext uri="{FF2B5EF4-FFF2-40B4-BE49-F238E27FC236}">
              <a16:creationId xmlns:a16="http://schemas.microsoft.com/office/drawing/2014/main" id="{8F2E88B9-D3B6-48E6-BA98-2830FE77C704}"/>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660" name="Text Box 192">
          <a:extLst>
            <a:ext uri="{FF2B5EF4-FFF2-40B4-BE49-F238E27FC236}">
              <a16:creationId xmlns:a16="http://schemas.microsoft.com/office/drawing/2014/main" id="{19EC2E3A-D916-4789-A4E7-8D18FC010A4B}"/>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661" name="Text Box 192">
          <a:extLst>
            <a:ext uri="{FF2B5EF4-FFF2-40B4-BE49-F238E27FC236}">
              <a16:creationId xmlns:a16="http://schemas.microsoft.com/office/drawing/2014/main" id="{A1573755-40E9-4979-817C-8C9E4B25F351}"/>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662" name="Text Box 192">
          <a:extLst>
            <a:ext uri="{FF2B5EF4-FFF2-40B4-BE49-F238E27FC236}">
              <a16:creationId xmlns:a16="http://schemas.microsoft.com/office/drawing/2014/main" id="{B4F78A37-8E32-4CDA-9F77-2F0921983C19}"/>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663" name="Text Box 192">
          <a:extLst>
            <a:ext uri="{FF2B5EF4-FFF2-40B4-BE49-F238E27FC236}">
              <a16:creationId xmlns:a16="http://schemas.microsoft.com/office/drawing/2014/main" id="{808A4F45-2960-4ED1-89C4-78BB5923148A}"/>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664" name="Text Box 192">
          <a:extLst>
            <a:ext uri="{FF2B5EF4-FFF2-40B4-BE49-F238E27FC236}">
              <a16:creationId xmlns:a16="http://schemas.microsoft.com/office/drawing/2014/main" id="{61B2A594-7087-4DED-8582-1B4920697E6B}"/>
            </a:ext>
          </a:extLst>
        </xdr:cNvPr>
        <xdr:cNvSpPr txBox="1">
          <a:spLocks noChangeArrowheads="1"/>
        </xdr:cNvSpPr>
      </xdr:nvSpPr>
      <xdr:spPr bwMode="auto">
        <a:xfrm>
          <a:off x="24718006" y="10042923"/>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665" name="Text Box 192">
          <a:extLst>
            <a:ext uri="{FF2B5EF4-FFF2-40B4-BE49-F238E27FC236}">
              <a16:creationId xmlns:a16="http://schemas.microsoft.com/office/drawing/2014/main" id="{7BD09515-4F5C-4659-BD5A-F69154F27F58}"/>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666" name="Text Box 192">
          <a:extLst>
            <a:ext uri="{FF2B5EF4-FFF2-40B4-BE49-F238E27FC236}">
              <a16:creationId xmlns:a16="http://schemas.microsoft.com/office/drawing/2014/main" id="{1022CAE3-0BDB-4297-A337-A460EE54B055}"/>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667" name="Text Box 192">
          <a:extLst>
            <a:ext uri="{FF2B5EF4-FFF2-40B4-BE49-F238E27FC236}">
              <a16:creationId xmlns:a16="http://schemas.microsoft.com/office/drawing/2014/main" id="{2806ADC7-8CCE-42B7-B9C4-D18C6A0E033D}"/>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668" name="Text Box 192">
          <a:extLst>
            <a:ext uri="{FF2B5EF4-FFF2-40B4-BE49-F238E27FC236}">
              <a16:creationId xmlns:a16="http://schemas.microsoft.com/office/drawing/2014/main" id="{73A6FBCD-D35F-4E26-904A-9AE2B5727EDE}"/>
            </a:ext>
          </a:extLst>
        </xdr:cNvPr>
        <xdr:cNvSpPr txBox="1">
          <a:spLocks noChangeArrowheads="1"/>
        </xdr:cNvSpPr>
      </xdr:nvSpPr>
      <xdr:spPr bwMode="auto">
        <a:xfrm>
          <a:off x="24718006" y="10209610"/>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xdr:row>
      <xdr:rowOff>0</xdr:rowOff>
    </xdr:from>
    <xdr:ext cx="10372" cy="228955"/>
    <xdr:sp macro="" textlink="">
      <xdr:nvSpPr>
        <xdr:cNvPr id="2669" name="Text Box 192">
          <a:extLst>
            <a:ext uri="{FF2B5EF4-FFF2-40B4-BE49-F238E27FC236}">
              <a16:creationId xmlns:a16="http://schemas.microsoft.com/office/drawing/2014/main" id="{3C11A8D7-D9C8-44D7-BC6A-16AF0303913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2670" name="Text Box 192">
          <a:extLst>
            <a:ext uri="{FF2B5EF4-FFF2-40B4-BE49-F238E27FC236}">
              <a16:creationId xmlns:a16="http://schemas.microsoft.com/office/drawing/2014/main" id="{101AD3C8-1CE8-4977-9967-4D60D08C488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xdr:row>
      <xdr:rowOff>0</xdr:rowOff>
    </xdr:from>
    <xdr:ext cx="10372" cy="228955"/>
    <xdr:sp macro="" textlink="">
      <xdr:nvSpPr>
        <xdr:cNvPr id="2671" name="Text Box 192">
          <a:extLst>
            <a:ext uri="{FF2B5EF4-FFF2-40B4-BE49-F238E27FC236}">
              <a16:creationId xmlns:a16="http://schemas.microsoft.com/office/drawing/2014/main" id="{B1D4F2C5-0A99-4C71-BDFA-5072B9BA51B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2672" name="Text Box 192">
          <a:extLst>
            <a:ext uri="{FF2B5EF4-FFF2-40B4-BE49-F238E27FC236}">
              <a16:creationId xmlns:a16="http://schemas.microsoft.com/office/drawing/2014/main" id="{0CFA80BE-29C3-43D0-B395-BFF1196DD52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2673" name="Text Box 192">
          <a:extLst>
            <a:ext uri="{FF2B5EF4-FFF2-40B4-BE49-F238E27FC236}">
              <a16:creationId xmlns:a16="http://schemas.microsoft.com/office/drawing/2014/main" id="{49BE01CF-55D1-428B-82E5-C2CF4B647C4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2674" name="Text Box 192">
          <a:extLst>
            <a:ext uri="{FF2B5EF4-FFF2-40B4-BE49-F238E27FC236}">
              <a16:creationId xmlns:a16="http://schemas.microsoft.com/office/drawing/2014/main" id="{74DE224F-698D-4D3C-8899-921DF71621A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2675" name="Text Box 192">
          <a:extLst>
            <a:ext uri="{FF2B5EF4-FFF2-40B4-BE49-F238E27FC236}">
              <a16:creationId xmlns:a16="http://schemas.microsoft.com/office/drawing/2014/main" id="{3E312A12-E689-4424-B33D-DEF0BB88AB7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2676" name="Text Box 192">
          <a:extLst>
            <a:ext uri="{FF2B5EF4-FFF2-40B4-BE49-F238E27FC236}">
              <a16:creationId xmlns:a16="http://schemas.microsoft.com/office/drawing/2014/main" id="{E31EC829-4144-48F8-8A31-E333C19CF76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2677" name="Text Box 192">
          <a:extLst>
            <a:ext uri="{FF2B5EF4-FFF2-40B4-BE49-F238E27FC236}">
              <a16:creationId xmlns:a16="http://schemas.microsoft.com/office/drawing/2014/main" id="{AAB0CA6F-E68E-4B1A-9B8D-4275AF53C11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xdr:row>
      <xdr:rowOff>0</xdr:rowOff>
    </xdr:from>
    <xdr:ext cx="10372" cy="228955"/>
    <xdr:sp macro="" textlink="">
      <xdr:nvSpPr>
        <xdr:cNvPr id="2678" name="Text Box 192">
          <a:extLst>
            <a:ext uri="{FF2B5EF4-FFF2-40B4-BE49-F238E27FC236}">
              <a16:creationId xmlns:a16="http://schemas.microsoft.com/office/drawing/2014/main" id="{E4C01A59-CBE9-46EC-AB86-6522E38584B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2679" name="Text Box 192">
          <a:extLst>
            <a:ext uri="{FF2B5EF4-FFF2-40B4-BE49-F238E27FC236}">
              <a16:creationId xmlns:a16="http://schemas.microsoft.com/office/drawing/2014/main" id="{001BD2DF-75D3-4040-B011-C4C1E60425B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2680" name="Text Box 192">
          <a:extLst>
            <a:ext uri="{FF2B5EF4-FFF2-40B4-BE49-F238E27FC236}">
              <a16:creationId xmlns:a16="http://schemas.microsoft.com/office/drawing/2014/main" id="{43A443EB-E504-44B3-AB05-84AC70FCE6B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2681" name="Text Box 192">
          <a:extLst>
            <a:ext uri="{FF2B5EF4-FFF2-40B4-BE49-F238E27FC236}">
              <a16:creationId xmlns:a16="http://schemas.microsoft.com/office/drawing/2014/main" id="{6D0B108D-093A-4274-87DD-7F0C8ACB510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2682" name="Text Box 192">
          <a:extLst>
            <a:ext uri="{FF2B5EF4-FFF2-40B4-BE49-F238E27FC236}">
              <a16:creationId xmlns:a16="http://schemas.microsoft.com/office/drawing/2014/main" id="{9558ABAB-E0D0-475C-9F51-0DC15F708D6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2683" name="Text Box 192">
          <a:extLst>
            <a:ext uri="{FF2B5EF4-FFF2-40B4-BE49-F238E27FC236}">
              <a16:creationId xmlns:a16="http://schemas.microsoft.com/office/drawing/2014/main" id="{F70BB235-88E1-4567-B853-9E02FEF1AB4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2684" name="Text Box 192">
          <a:extLst>
            <a:ext uri="{FF2B5EF4-FFF2-40B4-BE49-F238E27FC236}">
              <a16:creationId xmlns:a16="http://schemas.microsoft.com/office/drawing/2014/main" id="{CA465088-DE37-4884-A7A1-92F4978F443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2685" name="Text Box 192">
          <a:extLst>
            <a:ext uri="{FF2B5EF4-FFF2-40B4-BE49-F238E27FC236}">
              <a16:creationId xmlns:a16="http://schemas.microsoft.com/office/drawing/2014/main" id="{3DF36E50-307E-435D-ADF6-0CDC97479C4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2686" name="Text Box 192">
          <a:extLst>
            <a:ext uri="{FF2B5EF4-FFF2-40B4-BE49-F238E27FC236}">
              <a16:creationId xmlns:a16="http://schemas.microsoft.com/office/drawing/2014/main" id="{1DC9BA92-C0C6-44D8-8D32-EFABFEBDFDA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xdr:row>
      <xdr:rowOff>0</xdr:rowOff>
    </xdr:from>
    <xdr:ext cx="10372" cy="228955"/>
    <xdr:sp macro="" textlink="">
      <xdr:nvSpPr>
        <xdr:cNvPr id="2687" name="Text Box 192">
          <a:extLst>
            <a:ext uri="{FF2B5EF4-FFF2-40B4-BE49-F238E27FC236}">
              <a16:creationId xmlns:a16="http://schemas.microsoft.com/office/drawing/2014/main" id="{EE0482BB-520D-40E8-B864-AAC4619B5D6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2688" name="Text Box 192">
          <a:extLst>
            <a:ext uri="{FF2B5EF4-FFF2-40B4-BE49-F238E27FC236}">
              <a16:creationId xmlns:a16="http://schemas.microsoft.com/office/drawing/2014/main" id="{295C413E-EB21-4F23-ABC4-C0C48FED8F6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2689" name="Text Box 192">
          <a:extLst>
            <a:ext uri="{FF2B5EF4-FFF2-40B4-BE49-F238E27FC236}">
              <a16:creationId xmlns:a16="http://schemas.microsoft.com/office/drawing/2014/main" id="{32C3111F-0C8A-4AF0-A274-D82BB5BABC3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2690" name="Text Box 192">
          <a:extLst>
            <a:ext uri="{FF2B5EF4-FFF2-40B4-BE49-F238E27FC236}">
              <a16:creationId xmlns:a16="http://schemas.microsoft.com/office/drawing/2014/main" id="{3DF243B5-083B-4502-9549-71D99046F0A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2691" name="Text Box 192">
          <a:extLst>
            <a:ext uri="{FF2B5EF4-FFF2-40B4-BE49-F238E27FC236}">
              <a16:creationId xmlns:a16="http://schemas.microsoft.com/office/drawing/2014/main" id="{8AE68134-B41A-42A8-83D2-9DD2D966DA3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2692" name="Text Box 192">
          <a:extLst>
            <a:ext uri="{FF2B5EF4-FFF2-40B4-BE49-F238E27FC236}">
              <a16:creationId xmlns:a16="http://schemas.microsoft.com/office/drawing/2014/main" id="{EF0DFD82-0062-4F66-9525-6B032F4FC96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2693" name="Text Box 192">
          <a:extLst>
            <a:ext uri="{FF2B5EF4-FFF2-40B4-BE49-F238E27FC236}">
              <a16:creationId xmlns:a16="http://schemas.microsoft.com/office/drawing/2014/main" id="{F50E60E1-43CC-4A64-B7AE-5AA2667F802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2694" name="Text Box 192">
          <a:extLst>
            <a:ext uri="{FF2B5EF4-FFF2-40B4-BE49-F238E27FC236}">
              <a16:creationId xmlns:a16="http://schemas.microsoft.com/office/drawing/2014/main" id="{AC54273C-94D5-4A10-8A01-FFD310889AC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2695" name="Text Box 192">
          <a:extLst>
            <a:ext uri="{FF2B5EF4-FFF2-40B4-BE49-F238E27FC236}">
              <a16:creationId xmlns:a16="http://schemas.microsoft.com/office/drawing/2014/main" id="{27495F4F-323D-4E16-BF6E-8E64ADC3ACD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xdr:row>
      <xdr:rowOff>0</xdr:rowOff>
    </xdr:from>
    <xdr:ext cx="10372" cy="228955"/>
    <xdr:sp macro="" textlink="">
      <xdr:nvSpPr>
        <xdr:cNvPr id="2696" name="Text Box 192">
          <a:extLst>
            <a:ext uri="{FF2B5EF4-FFF2-40B4-BE49-F238E27FC236}">
              <a16:creationId xmlns:a16="http://schemas.microsoft.com/office/drawing/2014/main" id="{5369B246-3E83-4C38-BE5A-F77463C8E53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2697" name="Text Box 192">
          <a:extLst>
            <a:ext uri="{FF2B5EF4-FFF2-40B4-BE49-F238E27FC236}">
              <a16:creationId xmlns:a16="http://schemas.microsoft.com/office/drawing/2014/main" id="{13152D4F-6B57-4790-A21C-B5A130EF02F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2698" name="Text Box 192">
          <a:extLst>
            <a:ext uri="{FF2B5EF4-FFF2-40B4-BE49-F238E27FC236}">
              <a16:creationId xmlns:a16="http://schemas.microsoft.com/office/drawing/2014/main" id="{C11BF294-9E89-40FA-B2A3-3A91B7D7A97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2699" name="Text Box 192">
          <a:extLst>
            <a:ext uri="{FF2B5EF4-FFF2-40B4-BE49-F238E27FC236}">
              <a16:creationId xmlns:a16="http://schemas.microsoft.com/office/drawing/2014/main" id="{89E27841-A19C-4012-9238-480BC939286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2700" name="Text Box 192">
          <a:extLst>
            <a:ext uri="{FF2B5EF4-FFF2-40B4-BE49-F238E27FC236}">
              <a16:creationId xmlns:a16="http://schemas.microsoft.com/office/drawing/2014/main" id="{C19922BA-82AC-4C91-A174-7C13A2DDE15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2701" name="Text Box 192">
          <a:extLst>
            <a:ext uri="{FF2B5EF4-FFF2-40B4-BE49-F238E27FC236}">
              <a16:creationId xmlns:a16="http://schemas.microsoft.com/office/drawing/2014/main" id="{10AD8F2E-6F06-4DB8-A572-D51A9A74682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2702" name="Text Box 192">
          <a:extLst>
            <a:ext uri="{FF2B5EF4-FFF2-40B4-BE49-F238E27FC236}">
              <a16:creationId xmlns:a16="http://schemas.microsoft.com/office/drawing/2014/main" id="{98536C44-3094-48B4-BB9B-E7DA6AC5DE5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2703" name="Text Box 192">
          <a:extLst>
            <a:ext uri="{FF2B5EF4-FFF2-40B4-BE49-F238E27FC236}">
              <a16:creationId xmlns:a16="http://schemas.microsoft.com/office/drawing/2014/main" id="{C2B490A2-A90B-4130-A6EB-EF62518680F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2704" name="Text Box 192">
          <a:extLst>
            <a:ext uri="{FF2B5EF4-FFF2-40B4-BE49-F238E27FC236}">
              <a16:creationId xmlns:a16="http://schemas.microsoft.com/office/drawing/2014/main" id="{5564D74B-8A56-498D-B342-6B1AEFCD2C0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xdr:row>
      <xdr:rowOff>0</xdr:rowOff>
    </xdr:from>
    <xdr:ext cx="10372" cy="228955"/>
    <xdr:sp macro="" textlink="">
      <xdr:nvSpPr>
        <xdr:cNvPr id="2705" name="Text Box 192">
          <a:extLst>
            <a:ext uri="{FF2B5EF4-FFF2-40B4-BE49-F238E27FC236}">
              <a16:creationId xmlns:a16="http://schemas.microsoft.com/office/drawing/2014/main" id="{FF809874-9B2A-417B-92B3-5A810D96A47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2706" name="Text Box 192">
          <a:extLst>
            <a:ext uri="{FF2B5EF4-FFF2-40B4-BE49-F238E27FC236}">
              <a16:creationId xmlns:a16="http://schemas.microsoft.com/office/drawing/2014/main" id="{2A24B4CC-A05D-456A-9910-DAE0464CCDA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2707" name="Text Box 192">
          <a:extLst>
            <a:ext uri="{FF2B5EF4-FFF2-40B4-BE49-F238E27FC236}">
              <a16:creationId xmlns:a16="http://schemas.microsoft.com/office/drawing/2014/main" id="{84AAFD5B-1355-4CEC-8E4F-F62B4722FD2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2708" name="Text Box 192">
          <a:extLst>
            <a:ext uri="{FF2B5EF4-FFF2-40B4-BE49-F238E27FC236}">
              <a16:creationId xmlns:a16="http://schemas.microsoft.com/office/drawing/2014/main" id="{D2CB1625-267C-4FE7-90B4-5BFC18E0E37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2709" name="Text Box 192">
          <a:extLst>
            <a:ext uri="{FF2B5EF4-FFF2-40B4-BE49-F238E27FC236}">
              <a16:creationId xmlns:a16="http://schemas.microsoft.com/office/drawing/2014/main" id="{8AEEDA3E-3B01-4C43-AE6E-2161AA00CB2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2710" name="Text Box 192">
          <a:extLst>
            <a:ext uri="{FF2B5EF4-FFF2-40B4-BE49-F238E27FC236}">
              <a16:creationId xmlns:a16="http://schemas.microsoft.com/office/drawing/2014/main" id="{5E5D7B72-E66E-4AA7-8E72-83E24454DB8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2711" name="Text Box 192">
          <a:extLst>
            <a:ext uri="{FF2B5EF4-FFF2-40B4-BE49-F238E27FC236}">
              <a16:creationId xmlns:a16="http://schemas.microsoft.com/office/drawing/2014/main" id="{E9B2C941-7366-413C-B7E9-9020D39DEE0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2712" name="Text Box 192">
          <a:extLst>
            <a:ext uri="{FF2B5EF4-FFF2-40B4-BE49-F238E27FC236}">
              <a16:creationId xmlns:a16="http://schemas.microsoft.com/office/drawing/2014/main" id="{00501C6C-4BBF-4ABA-966B-A45F36B8328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2713" name="Text Box 192">
          <a:extLst>
            <a:ext uri="{FF2B5EF4-FFF2-40B4-BE49-F238E27FC236}">
              <a16:creationId xmlns:a16="http://schemas.microsoft.com/office/drawing/2014/main" id="{26213F1D-705D-4DD0-B2D8-24AB6CF3C66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xdr:row>
      <xdr:rowOff>0</xdr:rowOff>
    </xdr:from>
    <xdr:ext cx="10372" cy="228955"/>
    <xdr:sp macro="" textlink="">
      <xdr:nvSpPr>
        <xdr:cNvPr id="2714" name="Text Box 192">
          <a:extLst>
            <a:ext uri="{FF2B5EF4-FFF2-40B4-BE49-F238E27FC236}">
              <a16:creationId xmlns:a16="http://schemas.microsoft.com/office/drawing/2014/main" id="{8EC1702F-1AAF-4E43-84B4-7C8D5F1257F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2715" name="Text Box 192">
          <a:extLst>
            <a:ext uri="{FF2B5EF4-FFF2-40B4-BE49-F238E27FC236}">
              <a16:creationId xmlns:a16="http://schemas.microsoft.com/office/drawing/2014/main" id="{B1F3D80C-6A03-440B-85F6-A9AB449CB24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2716" name="Text Box 192">
          <a:extLst>
            <a:ext uri="{FF2B5EF4-FFF2-40B4-BE49-F238E27FC236}">
              <a16:creationId xmlns:a16="http://schemas.microsoft.com/office/drawing/2014/main" id="{2D14E031-F454-4E6D-BF86-220EAA19B82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2717" name="Text Box 192">
          <a:extLst>
            <a:ext uri="{FF2B5EF4-FFF2-40B4-BE49-F238E27FC236}">
              <a16:creationId xmlns:a16="http://schemas.microsoft.com/office/drawing/2014/main" id="{AD41E4A4-1B6F-4454-B2C1-D0ED1D71832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2718" name="Text Box 192">
          <a:extLst>
            <a:ext uri="{FF2B5EF4-FFF2-40B4-BE49-F238E27FC236}">
              <a16:creationId xmlns:a16="http://schemas.microsoft.com/office/drawing/2014/main" id="{BF864A20-092D-4C69-A58D-2356F47FE41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2719" name="Text Box 192">
          <a:extLst>
            <a:ext uri="{FF2B5EF4-FFF2-40B4-BE49-F238E27FC236}">
              <a16:creationId xmlns:a16="http://schemas.microsoft.com/office/drawing/2014/main" id="{29502B94-00B4-488A-B10E-3DEF79D1D0F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2720" name="Text Box 192">
          <a:extLst>
            <a:ext uri="{FF2B5EF4-FFF2-40B4-BE49-F238E27FC236}">
              <a16:creationId xmlns:a16="http://schemas.microsoft.com/office/drawing/2014/main" id="{F31A720F-89D3-425E-BD49-1B13AF5C996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2721" name="Text Box 192">
          <a:extLst>
            <a:ext uri="{FF2B5EF4-FFF2-40B4-BE49-F238E27FC236}">
              <a16:creationId xmlns:a16="http://schemas.microsoft.com/office/drawing/2014/main" id="{AC45B43C-500B-4985-81E3-8395F63FA47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2722" name="Text Box 192">
          <a:extLst>
            <a:ext uri="{FF2B5EF4-FFF2-40B4-BE49-F238E27FC236}">
              <a16:creationId xmlns:a16="http://schemas.microsoft.com/office/drawing/2014/main" id="{D16379EA-535C-4193-B819-4F07F4292A4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xdr:row>
      <xdr:rowOff>0</xdr:rowOff>
    </xdr:from>
    <xdr:ext cx="10372" cy="228955"/>
    <xdr:sp macro="" textlink="">
      <xdr:nvSpPr>
        <xdr:cNvPr id="2723" name="Text Box 192">
          <a:extLst>
            <a:ext uri="{FF2B5EF4-FFF2-40B4-BE49-F238E27FC236}">
              <a16:creationId xmlns:a16="http://schemas.microsoft.com/office/drawing/2014/main" id="{5C8BEAF0-6000-4109-B250-0677B3DCB1D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2724" name="Text Box 192">
          <a:extLst>
            <a:ext uri="{FF2B5EF4-FFF2-40B4-BE49-F238E27FC236}">
              <a16:creationId xmlns:a16="http://schemas.microsoft.com/office/drawing/2014/main" id="{4E893D1D-43A8-4EF3-BFB9-A2BE9564168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2725" name="Text Box 192">
          <a:extLst>
            <a:ext uri="{FF2B5EF4-FFF2-40B4-BE49-F238E27FC236}">
              <a16:creationId xmlns:a16="http://schemas.microsoft.com/office/drawing/2014/main" id="{E9B497CD-DF2B-41FC-B2A7-BB7258ED051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2726" name="Text Box 192">
          <a:extLst>
            <a:ext uri="{FF2B5EF4-FFF2-40B4-BE49-F238E27FC236}">
              <a16:creationId xmlns:a16="http://schemas.microsoft.com/office/drawing/2014/main" id="{44DFC51F-CD39-405E-8162-9DD46260BA2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2727" name="Text Box 192">
          <a:extLst>
            <a:ext uri="{FF2B5EF4-FFF2-40B4-BE49-F238E27FC236}">
              <a16:creationId xmlns:a16="http://schemas.microsoft.com/office/drawing/2014/main" id="{E453DEE5-22F0-4107-A4D2-F30C6718501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2728" name="Text Box 192">
          <a:extLst>
            <a:ext uri="{FF2B5EF4-FFF2-40B4-BE49-F238E27FC236}">
              <a16:creationId xmlns:a16="http://schemas.microsoft.com/office/drawing/2014/main" id="{7741CF0B-0643-43D7-9344-28949D60E46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xdr:row>
      <xdr:rowOff>0</xdr:rowOff>
    </xdr:from>
    <xdr:ext cx="10372" cy="228955"/>
    <xdr:sp macro="" textlink="">
      <xdr:nvSpPr>
        <xdr:cNvPr id="2729" name="Text Box 192">
          <a:extLst>
            <a:ext uri="{FF2B5EF4-FFF2-40B4-BE49-F238E27FC236}">
              <a16:creationId xmlns:a16="http://schemas.microsoft.com/office/drawing/2014/main" id="{74354B83-B9D6-41C5-AA45-93E91D7906D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xdr:row>
      <xdr:rowOff>0</xdr:rowOff>
    </xdr:from>
    <xdr:ext cx="10372" cy="228955"/>
    <xdr:sp macro="" textlink="">
      <xdr:nvSpPr>
        <xdr:cNvPr id="2730" name="Text Box 192">
          <a:extLst>
            <a:ext uri="{FF2B5EF4-FFF2-40B4-BE49-F238E27FC236}">
              <a16:creationId xmlns:a16="http://schemas.microsoft.com/office/drawing/2014/main" id="{97B88CE0-BD08-4CAF-B770-6AE6AA781D7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2731" name="Text Box 192">
          <a:extLst>
            <a:ext uri="{FF2B5EF4-FFF2-40B4-BE49-F238E27FC236}">
              <a16:creationId xmlns:a16="http://schemas.microsoft.com/office/drawing/2014/main" id="{65759BEE-CDD8-4725-A585-7BFFE5573A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xdr:row>
      <xdr:rowOff>0</xdr:rowOff>
    </xdr:from>
    <xdr:ext cx="10372" cy="228955"/>
    <xdr:sp macro="" textlink="">
      <xdr:nvSpPr>
        <xdr:cNvPr id="2732" name="Text Box 192">
          <a:extLst>
            <a:ext uri="{FF2B5EF4-FFF2-40B4-BE49-F238E27FC236}">
              <a16:creationId xmlns:a16="http://schemas.microsoft.com/office/drawing/2014/main" id="{254C7258-1130-4C56-9DA6-4FD5C1F9452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2733" name="Text Box 192">
          <a:extLst>
            <a:ext uri="{FF2B5EF4-FFF2-40B4-BE49-F238E27FC236}">
              <a16:creationId xmlns:a16="http://schemas.microsoft.com/office/drawing/2014/main" id="{DA6A82EC-63BF-45C9-8767-491B34A8622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2734" name="Text Box 192">
          <a:extLst>
            <a:ext uri="{FF2B5EF4-FFF2-40B4-BE49-F238E27FC236}">
              <a16:creationId xmlns:a16="http://schemas.microsoft.com/office/drawing/2014/main" id="{47382B02-4B52-4A02-B467-1CB31ABE125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2735" name="Text Box 192">
          <a:extLst>
            <a:ext uri="{FF2B5EF4-FFF2-40B4-BE49-F238E27FC236}">
              <a16:creationId xmlns:a16="http://schemas.microsoft.com/office/drawing/2014/main" id="{909F1F66-D1EB-4FD8-BB94-9C9A2A496C4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2736" name="Text Box 192">
          <a:extLst>
            <a:ext uri="{FF2B5EF4-FFF2-40B4-BE49-F238E27FC236}">
              <a16:creationId xmlns:a16="http://schemas.microsoft.com/office/drawing/2014/main" id="{0F2EDEEB-D5A3-47BF-ADBF-9CB349F1231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2737" name="Text Box 192">
          <a:extLst>
            <a:ext uri="{FF2B5EF4-FFF2-40B4-BE49-F238E27FC236}">
              <a16:creationId xmlns:a16="http://schemas.microsoft.com/office/drawing/2014/main" id="{A6213C37-F042-44F3-9C10-47BB103B409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2738" name="Text Box 192">
          <a:extLst>
            <a:ext uri="{FF2B5EF4-FFF2-40B4-BE49-F238E27FC236}">
              <a16:creationId xmlns:a16="http://schemas.microsoft.com/office/drawing/2014/main" id="{4E23D5D2-1919-4303-8193-87FF70FC2F9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2739" name="Text Box 192">
          <a:extLst>
            <a:ext uri="{FF2B5EF4-FFF2-40B4-BE49-F238E27FC236}">
              <a16:creationId xmlns:a16="http://schemas.microsoft.com/office/drawing/2014/main" id="{A77EB9FA-2F2F-4993-AD18-96895442BED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2740" name="Text Box 192">
          <a:extLst>
            <a:ext uri="{FF2B5EF4-FFF2-40B4-BE49-F238E27FC236}">
              <a16:creationId xmlns:a16="http://schemas.microsoft.com/office/drawing/2014/main" id="{C7BE3833-142F-4089-9BAE-0FABDA3A4C8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xdr:row>
      <xdr:rowOff>0</xdr:rowOff>
    </xdr:from>
    <xdr:ext cx="10372" cy="228955"/>
    <xdr:sp macro="" textlink="">
      <xdr:nvSpPr>
        <xdr:cNvPr id="2741" name="Text Box 192">
          <a:extLst>
            <a:ext uri="{FF2B5EF4-FFF2-40B4-BE49-F238E27FC236}">
              <a16:creationId xmlns:a16="http://schemas.microsoft.com/office/drawing/2014/main" id="{82603702-8ED1-4270-A8D9-979A972E2FD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2742" name="Text Box 192">
          <a:extLst>
            <a:ext uri="{FF2B5EF4-FFF2-40B4-BE49-F238E27FC236}">
              <a16:creationId xmlns:a16="http://schemas.microsoft.com/office/drawing/2014/main" id="{CEB77AF9-6337-42C8-B5A9-A2161864DBD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2743" name="Text Box 192">
          <a:extLst>
            <a:ext uri="{FF2B5EF4-FFF2-40B4-BE49-F238E27FC236}">
              <a16:creationId xmlns:a16="http://schemas.microsoft.com/office/drawing/2014/main" id="{789292D8-A5F5-4091-923A-AA2170DA2B6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2744" name="Text Box 192">
          <a:extLst>
            <a:ext uri="{FF2B5EF4-FFF2-40B4-BE49-F238E27FC236}">
              <a16:creationId xmlns:a16="http://schemas.microsoft.com/office/drawing/2014/main" id="{25C7D675-1718-4B00-9613-A23DA1ED22D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2745" name="Text Box 192">
          <a:extLst>
            <a:ext uri="{FF2B5EF4-FFF2-40B4-BE49-F238E27FC236}">
              <a16:creationId xmlns:a16="http://schemas.microsoft.com/office/drawing/2014/main" id="{7C6310FC-698F-4C04-ABA2-0F2CA94180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2746" name="Text Box 192">
          <a:extLst>
            <a:ext uri="{FF2B5EF4-FFF2-40B4-BE49-F238E27FC236}">
              <a16:creationId xmlns:a16="http://schemas.microsoft.com/office/drawing/2014/main" id="{4B9273B5-E881-4FB3-9B3E-C349E108028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2747" name="Text Box 192">
          <a:extLst>
            <a:ext uri="{FF2B5EF4-FFF2-40B4-BE49-F238E27FC236}">
              <a16:creationId xmlns:a16="http://schemas.microsoft.com/office/drawing/2014/main" id="{08B732B2-2882-4898-B46F-CD0AC2858AD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2748" name="Text Box 192">
          <a:extLst>
            <a:ext uri="{FF2B5EF4-FFF2-40B4-BE49-F238E27FC236}">
              <a16:creationId xmlns:a16="http://schemas.microsoft.com/office/drawing/2014/main" id="{0A245113-6BA0-41FE-AFD6-8FF390437AF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2749" name="Text Box 192">
          <a:extLst>
            <a:ext uri="{FF2B5EF4-FFF2-40B4-BE49-F238E27FC236}">
              <a16:creationId xmlns:a16="http://schemas.microsoft.com/office/drawing/2014/main" id="{A7FB8BEA-6235-4E49-862C-12ED384B108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31</xdr:row>
      <xdr:rowOff>0</xdr:rowOff>
    </xdr:from>
    <xdr:ext cx="10372" cy="228955"/>
    <xdr:sp macro="" textlink="">
      <xdr:nvSpPr>
        <xdr:cNvPr id="2750" name="Text Box 192">
          <a:extLst>
            <a:ext uri="{FF2B5EF4-FFF2-40B4-BE49-F238E27FC236}">
              <a16:creationId xmlns:a16="http://schemas.microsoft.com/office/drawing/2014/main" id="{8B0F65DD-E5FA-46BD-A09D-95ED76037C7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2751" name="Text Box 192">
          <a:extLst>
            <a:ext uri="{FF2B5EF4-FFF2-40B4-BE49-F238E27FC236}">
              <a16:creationId xmlns:a16="http://schemas.microsoft.com/office/drawing/2014/main" id="{67540699-C8AC-441C-93C7-72B34923377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2752" name="Text Box 192">
          <a:extLst>
            <a:ext uri="{FF2B5EF4-FFF2-40B4-BE49-F238E27FC236}">
              <a16:creationId xmlns:a16="http://schemas.microsoft.com/office/drawing/2014/main" id="{4774453E-8D88-4B14-A1F6-CBDA216D50A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2753" name="Text Box 192">
          <a:extLst>
            <a:ext uri="{FF2B5EF4-FFF2-40B4-BE49-F238E27FC236}">
              <a16:creationId xmlns:a16="http://schemas.microsoft.com/office/drawing/2014/main" id="{73A59543-89B6-4FE8-B837-154F70EC725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2754" name="Text Box 192">
          <a:extLst>
            <a:ext uri="{FF2B5EF4-FFF2-40B4-BE49-F238E27FC236}">
              <a16:creationId xmlns:a16="http://schemas.microsoft.com/office/drawing/2014/main" id="{99B7B07E-A796-420B-8E3F-0455AC87D39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2755" name="Text Box 192">
          <a:extLst>
            <a:ext uri="{FF2B5EF4-FFF2-40B4-BE49-F238E27FC236}">
              <a16:creationId xmlns:a16="http://schemas.microsoft.com/office/drawing/2014/main" id="{A19E6A26-C119-41B9-BFDC-049265F8AB5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2756" name="Text Box 192">
          <a:extLst>
            <a:ext uri="{FF2B5EF4-FFF2-40B4-BE49-F238E27FC236}">
              <a16:creationId xmlns:a16="http://schemas.microsoft.com/office/drawing/2014/main" id="{02D1208B-0E5D-45BE-AD91-BDAE3BB05A0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2757" name="Text Box 192">
          <a:extLst>
            <a:ext uri="{FF2B5EF4-FFF2-40B4-BE49-F238E27FC236}">
              <a16:creationId xmlns:a16="http://schemas.microsoft.com/office/drawing/2014/main" id="{3A519F56-757E-44AD-A31B-2A017832EC7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2758" name="Text Box 192">
          <a:extLst>
            <a:ext uri="{FF2B5EF4-FFF2-40B4-BE49-F238E27FC236}">
              <a16:creationId xmlns:a16="http://schemas.microsoft.com/office/drawing/2014/main" id="{B151C5F5-6B66-496F-A1FE-94C4957029F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32</xdr:row>
      <xdr:rowOff>0</xdr:rowOff>
    </xdr:from>
    <xdr:ext cx="10372" cy="228955"/>
    <xdr:sp macro="" textlink="">
      <xdr:nvSpPr>
        <xdr:cNvPr id="2759" name="Text Box 192">
          <a:extLst>
            <a:ext uri="{FF2B5EF4-FFF2-40B4-BE49-F238E27FC236}">
              <a16:creationId xmlns:a16="http://schemas.microsoft.com/office/drawing/2014/main" id="{9CCED061-34B3-41E4-B3D3-D04DABBED42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2760" name="Text Box 192">
          <a:extLst>
            <a:ext uri="{FF2B5EF4-FFF2-40B4-BE49-F238E27FC236}">
              <a16:creationId xmlns:a16="http://schemas.microsoft.com/office/drawing/2014/main" id="{5C36F2B9-A982-4250-BB58-83036E742A4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2761" name="Text Box 192">
          <a:extLst>
            <a:ext uri="{FF2B5EF4-FFF2-40B4-BE49-F238E27FC236}">
              <a16:creationId xmlns:a16="http://schemas.microsoft.com/office/drawing/2014/main" id="{28B319C9-DAC9-45E7-AC60-978822B58B1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2762" name="Text Box 192">
          <a:extLst>
            <a:ext uri="{FF2B5EF4-FFF2-40B4-BE49-F238E27FC236}">
              <a16:creationId xmlns:a16="http://schemas.microsoft.com/office/drawing/2014/main" id="{7F0AA020-6FD8-44FD-8FC3-6C5933BD6A0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2763" name="Text Box 192">
          <a:extLst>
            <a:ext uri="{FF2B5EF4-FFF2-40B4-BE49-F238E27FC236}">
              <a16:creationId xmlns:a16="http://schemas.microsoft.com/office/drawing/2014/main" id="{6081498B-EAF2-4E67-9102-4A843ED8D8F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2764" name="Text Box 192">
          <a:extLst>
            <a:ext uri="{FF2B5EF4-FFF2-40B4-BE49-F238E27FC236}">
              <a16:creationId xmlns:a16="http://schemas.microsoft.com/office/drawing/2014/main" id="{CFE0CE97-CA6B-4732-B4EA-B8A5A63036E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33</xdr:row>
      <xdr:rowOff>0</xdr:rowOff>
    </xdr:from>
    <xdr:ext cx="10372" cy="228955"/>
    <xdr:sp macro="" textlink="">
      <xdr:nvSpPr>
        <xdr:cNvPr id="2765" name="Text Box 192">
          <a:extLst>
            <a:ext uri="{FF2B5EF4-FFF2-40B4-BE49-F238E27FC236}">
              <a16:creationId xmlns:a16="http://schemas.microsoft.com/office/drawing/2014/main" id="{D9CF70C7-E419-4FC4-8BF2-E7C8AD7C8CA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36</xdr:row>
      <xdr:rowOff>0</xdr:rowOff>
    </xdr:from>
    <xdr:ext cx="10372" cy="228955"/>
    <xdr:sp macro="" textlink="">
      <xdr:nvSpPr>
        <xdr:cNvPr id="2766" name="Text Box 192">
          <a:extLst>
            <a:ext uri="{FF2B5EF4-FFF2-40B4-BE49-F238E27FC236}">
              <a16:creationId xmlns:a16="http://schemas.microsoft.com/office/drawing/2014/main" id="{9056F10E-B493-4175-BFFA-F165882B8D1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2767" name="Text Box 192">
          <a:extLst>
            <a:ext uri="{FF2B5EF4-FFF2-40B4-BE49-F238E27FC236}">
              <a16:creationId xmlns:a16="http://schemas.microsoft.com/office/drawing/2014/main" id="{D7B3C5DF-DCC2-49BE-BEF5-45AA87725BE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36</xdr:row>
      <xdr:rowOff>0</xdr:rowOff>
    </xdr:from>
    <xdr:ext cx="10372" cy="228955"/>
    <xdr:sp macro="" textlink="">
      <xdr:nvSpPr>
        <xdr:cNvPr id="2768" name="Text Box 192">
          <a:extLst>
            <a:ext uri="{FF2B5EF4-FFF2-40B4-BE49-F238E27FC236}">
              <a16:creationId xmlns:a16="http://schemas.microsoft.com/office/drawing/2014/main" id="{C5E21FA4-0CD2-41D3-B7CF-CDE37DC8310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2769" name="Text Box 192">
          <a:extLst>
            <a:ext uri="{FF2B5EF4-FFF2-40B4-BE49-F238E27FC236}">
              <a16:creationId xmlns:a16="http://schemas.microsoft.com/office/drawing/2014/main" id="{83815C68-5BA5-44EA-AF96-31583F05F07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2770" name="Text Box 192">
          <a:extLst>
            <a:ext uri="{FF2B5EF4-FFF2-40B4-BE49-F238E27FC236}">
              <a16:creationId xmlns:a16="http://schemas.microsoft.com/office/drawing/2014/main" id="{45ACFBA1-DC9A-4700-AD79-0D69BD7B99E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2771" name="Text Box 192">
          <a:extLst>
            <a:ext uri="{FF2B5EF4-FFF2-40B4-BE49-F238E27FC236}">
              <a16:creationId xmlns:a16="http://schemas.microsoft.com/office/drawing/2014/main" id="{22E3E4A2-6E2A-467C-A4DD-465B2144268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2772" name="Text Box 192">
          <a:extLst>
            <a:ext uri="{FF2B5EF4-FFF2-40B4-BE49-F238E27FC236}">
              <a16:creationId xmlns:a16="http://schemas.microsoft.com/office/drawing/2014/main" id="{AE66FE23-F731-46F9-B0A2-FE0F01DA7A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2773" name="Text Box 192">
          <a:extLst>
            <a:ext uri="{FF2B5EF4-FFF2-40B4-BE49-F238E27FC236}">
              <a16:creationId xmlns:a16="http://schemas.microsoft.com/office/drawing/2014/main" id="{7FE16C29-20B8-447C-8DA6-EC2AEA2CDC8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2774" name="Text Box 192">
          <a:extLst>
            <a:ext uri="{FF2B5EF4-FFF2-40B4-BE49-F238E27FC236}">
              <a16:creationId xmlns:a16="http://schemas.microsoft.com/office/drawing/2014/main" id="{8B0ACF91-DF85-44F8-8529-44957BE9CAB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2775" name="Text Box 192">
          <a:extLst>
            <a:ext uri="{FF2B5EF4-FFF2-40B4-BE49-F238E27FC236}">
              <a16:creationId xmlns:a16="http://schemas.microsoft.com/office/drawing/2014/main" id="{03292C6A-BCD2-420B-BC44-3E3A97DF8A6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2776" name="Text Box 192">
          <a:extLst>
            <a:ext uri="{FF2B5EF4-FFF2-40B4-BE49-F238E27FC236}">
              <a16:creationId xmlns:a16="http://schemas.microsoft.com/office/drawing/2014/main" id="{BE6F99C8-5962-43FD-9D6D-34A2CE99A25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37</xdr:row>
      <xdr:rowOff>0</xdr:rowOff>
    </xdr:from>
    <xdr:ext cx="10372" cy="228955"/>
    <xdr:sp macro="" textlink="">
      <xdr:nvSpPr>
        <xdr:cNvPr id="2777" name="Text Box 192">
          <a:extLst>
            <a:ext uri="{FF2B5EF4-FFF2-40B4-BE49-F238E27FC236}">
              <a16:creationId xmlns:a16="http://schemas.microsoft.com/office/drawing/2014/main" id="{CA4B83A8-FDF8-4CB1-92B9-44B9B6680FB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2778" name="Text Box 192">
          <a:extLst>
            <a:ext uri="{FF2B5EF4-FFF2-40B4-BE49-F238E27FC236}">
              <a16:creationId xmlns:a16="http://schemas.microsoft.com/office/drawing/2014/main" id="{99C26447-8DC3-44C1-B9C4-28C46C5ACD4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2779" name="Text Box 192">
          <a:extLst>
            <a:ext uri="{FF2B5EF4-FFF2-40B4-BE49-F238E27FC236}">
              <a16:creationId xmlns:a16="http://schemas.microsoft.com/office/drawing/2014/main" id="{0F7A8E32-5197-4156-8482-D85229E2507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2780" name="Text Box 192">
          <a:extLst>
            <a:ext uri="{FF2B5EF4-FFF2-40B4-BE49-F238E27FC236}">
              <a16:creationId xmlns:a16="http://schemas.microsoft.com/office/drawing/2014/main" id="{2F5CE1AF-8384-48B1-979E-038E4A6267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2781" name="Text Box 192">
          <a:extLst>
            <a:ext uri="{FF2B5EF4-FFF2-40B4-BE49-F238E27FC236}">
              <a16:creationId xmlns:a16="http://schemas.microsoft.com/office/drawing/2014/main" id="{3C765E8F-4E69-44B3-A259-2287D5C6CE3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2782" name="Text Box 192">
          <a:extLst>
            <a:ext uri="{FF2B5EF4-FFF2-40B4-BE49-F238E27FC236}">
              <a16:creationId xmlns:a16="http://schemas.microsoft.com/office/drawing/2014/main" id="{47B10709-0565-4F87-BA73-E758ACEBBB1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2783" name="Text Box 192">
          <a:extLst>
            <a:ext uri="{FF2B5EF4-FFF2-40B4-BE49-F238E27FC236}">
              <a16:creationId xmlns:a16="http://schemas.microsoft.com/office/drawing/2014/main" id="{CC29BFD0-D923-4FDA-B92F-4ADEDDA766A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2784" name="Text Box 192">
          <a:extLst>
            <a:ext uri="{FF2B5EF4-FFF2-40B4-BE49-F238E27FC236}">
              <a16:creationId xmlns:a16="http://schemas.microsoft.com/office/drawing/2014/main" id="{D3311C56-9734-4AB5-9978-A1DBEBAC40A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2785" name="Text Box 192">
          <a:extLst>
            <a:ext uri="{FF2B5EF4-FFF2-40B4-BE49-F238E27FC236}">
              <a16:creationId xmlns:a16="http://schemas.microsoft.com/office/drawing/2014/main" id="{4B200322-82CF-40A6-9CAE-F41EEE0019F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38</xdr:row>
      <xdr:rowOff>0</xdr:rowOff>
    </xdr:from>
    <xdr:ext cx="10372" cy="228955"/>
    <xdr:sp macro="" textlink="">
      <xdr:nvSpPr>
        <xdr:cNvPr id="2786" name="Text Box 192">
          <a:extLst>
            <a:ext uri="{FF2B5EF4-FFF2-40B4-BE49-F238E27FC236}">
              <a16:creationId xmlns:a16="http://schemas.microsoft.com/office/drawing/2014/main" id="{8E6EC5E8-EE1D-4725-9D95-8E1A5591DA7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2787" name="Text Box 192">
          <a:extLst>
            <a:ext uri="{FF2B5EF4-FFF2-40B4-BE49-F238E27FC236}">
              <a16:creationId xmlns:a16="http://schemas.microsoft.com/office/drawing/2014/main" id="{F4E3D083-7B5F-41A9-AC08-E5E914A2597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2788" name="Text Box 192">
          <a:extLst>
            <a:ext uri="{FF2B5EF4-FFF2-40B4-BE49-F238E27FC236}">
              <a16:creationId xmlns:a16="http://schemas.microsoft.com/office/drawing/2014/main" id="{5C89788B-BB36-4DEA-B3B5-BD411DB27C4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2789" name="Text Box 192">
          <a:extLst>
            <a:ext uri="{FF2B5EF4-FFF2-40B4-BE49-F238E27FC236}">
              <a16:creationId xmlns:a16="http://schemas.microsoft.com/office/drawing/2014/main" id="{EA5C6632-EC02-4E1E-A220-B7768740C64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2790" name="Text Box 192">
          <a:extLst>
            <a:ext uri="{FF2B5EF4-FFF2-40B4-BE49-F238E27FC236}">
              <a16:creationId xmlns:a16="http://schemas.microsoft.com/office/drawing/2014/main" id="{06ABE079-F7E7-43C6-A858-AA6822A9907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2791" name="Text Box 192">
          <a:extLst>
            <a:ext uri="{FF2B5EF4-FFF2-40B4-BE49-F238E27FC236}">
              <a16:creationId xmlns:a16="http://schemas.microsoft.com/office/drawing/2014/main" id="{C667EE76-7AE6-425C-9F0B-27FF9ED3CFF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2792" name="Text Box 192">
          <a:extLst>
            <a:ext uri="{FF2B5EF4-FFF2-40B4-BE49-F238E27FC236}">
              <a16:creationId xmlns:a16="http://schemas.microsoft.com/office/drawing/2014/main" id="{D8453806-DE00-4B72-B7FE-289750924A4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2793" name="Text Box 192">
          <a:extLst>
            <a:ext uri="{FF2B5EF4-FFF2-40B4-BE49-F238E27FC236}">
              <a16:creationId xmlns:a16="http://schemas.microsoft.com/office/drawing/2014/main" id="{DD5EC9B9-93D2-4845-B5E8-9D13AA49E2C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2794" name="Text Box 192">
          <a:extLst>
            <a:ext uri="{FF2B5EF4-FFF2-40B4-BE49-F238E27FC236}">
              <a16:creationId xmlns:a16="http://schemas.microsoft.com/office/drawing/2014/main" id="{7B1BB777-D374-4A7D-A07B-F5ACD39A418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39</xdr:row>
      <xdr:rowOff>0</xdr:rowOff>
    </xdr:from>
    <xdr:ext cx="10372" cy="228955"/>
    <xdr:sp macro="" textlink="">
      <xdr:nvSpPr>
        <xdr:cNvPr id="2795" name="Text Box 192">
          <a:extLst>
            <a:ext uri="{FF2B5EF4-FFF2-40B4-BE49-F238E27FC236}">
              <a16:creationId xmlns:a16="http://schemas.microsoft.com/office/drawing/2014/main" id="{10C4F681-8E1A-4F6B-A5C2-D1EAB869176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2796" name="Text Box 192">
          <a:extLst>
            <a:ext uri="{FF2B5EF4-FFF2-40B4-BE49-F238E27FC236}">
              <a16:creationId xmlns:a16="http://schemas.microsoft.com/office/drawing/2014/main" id="{34DC08BE-9A99-4383-9692-553A01AF2A8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2797" name="Text Box 192">
          <a:extLst>
            <a:ext uri="{FF2B5EF4-FFF2-40B4-BE49-F238E27FC236}">
              <a16:creationId xmlns:a16="http://schemas.microsoft.com/office/drawing/2014/main" id="{D59FB4CE-7A49-4FE7-B6F4-361C298FB8C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2798" name="Text Box 192">
          <a:extLst>
            <a:ext uri="{FF2B5EF4-FFF2-40B4-BE49-F238E27FC236}">
              <a16:creationId xmlns:a16="http://schemas.microsoft.com/office/drawing/2014/main" id="{E1E64735-2D7C-48FF-93AE-05A2A816B45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2799" name="Text Box 192">
          <a:extLst>
            <a:ext uri="{FF2B5EF4-FFF2-40B4-BE49-F238E27FC236}">
              <a16:creationId xmlns:a16="http://schemas.microsoft.com/office/drawing/2014/main" id="{01C35127-A447-4A96-9F12-A0B8B64399C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2800" name="Text Box 192">
          <a:extLst>
            <a:ext uri="{FF2B5EF4-FFF2-40B4-BE49-F238E27FC236}">
              <a16:creationId xmlns:a16="http://schemas.microsoft.com/office/drawing/2014/main" id="{830C57EE-043E-4691-AC7E-0C3A115028B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2801" name="Text Box 192">
          <a:extLst>
            <a:ext uri="{FF2B5EF4-FFF2-40B4-BE49-F238E27FC236}">
              <a16:creationId xmlns:a16="http://schemas.microsoft.com/office/drawing/2014/main" id="{F6A55E3F-23B6-40BB-BE41-2D31475AEBB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2802" name="Text Box 192">
          <a:extLst>
            <a:ext uri="{FF2B5EF4-FFF2-40B4-BE49-F238E27FC236}">
              <a16:creationId xmlns:a16="http://schemas.microsoft.com/office/drawing/2014/main" id="{0F11E8B5-DE60-4B64-B19E-979A8832E76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2803" name="Text Box 192">
          <a:extLst>
            <a:ext uri="{FF2B5EF4-FFF2-40B4-BE49-F238E27FC236}">
              <a16:creationId xmlns:a16="http://schemas.microsoft.com/office/drawing/2014/main" id="{7923D6F8-3356-454A-85BA-03FA7D7B662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40</xdr:row>
      <xdr:rowOff>0</xdr:rowOff>
    </xdr:from>
    <xdr:ext cx="10372" cy="228955"/>
    <xdr:sp macro="" textlink="">
      <xdr:nvSpPr>
        <xdr:cNvPr id="2804" name="Text Box 192">
          <a:extLst>
            <a:ext uri="{FF2B5EF4-FFF2-40B4-BE49-F238E27FC236}">
              <a16:creationId xmlns:a16="http://schemas.microsoft.com/office/drawing/2014/main" id="{79CC2D93-18B3-458D-8479-23A734F4F27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2805" name="Text Box 192">
          <a:extLst>
            <a:ext uri="{FF2B5EF4-FFF2-40B4-BE49-F238E27FC236}">
              <a16:creationId xmlns:a16="http://schemas.microsoft.com/office/drawing/2014/main" id="{B83DC016-412E-4943-9725-B357A74A6E7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2806" name="Text Box 192">
          <a:extLst>
            <a:ext uri="{FF2B5EF4-FFF2-40B4-BE49-F238E27FC236}">
              <a16:creationId xmlns:a16="http://schemas.microsoft.com/office/drawing/2014/main" id="{35342FEC-2F30-439E-B6B4-D8B3086D527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2807" name="Text Box 192">
          <a:extLst>
            <a:ext uri="{FF2B5EF4-FFF2-40B4-BE49-F238E27FC236}">
              <a16:creationId xmlns:a16="http://schemas.microsoft.com/office/drawing/2014/main" id="{7482345C-762F-40BF-AC30-685DDD69BBA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2808" name="Text Box 192">
          <a:extLst>
            <a:ext uri="{FF2B5EF4-FFF2-40B4-BE49-F238E27FC236}">
              <a16:creationId xmlns:a16="http://schemas.microsoft.com/office/drawing/2014/main" id="{443FB344-5FD4-4937-AD4D-4F601A200E1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2809" name="Text Box 192">
          <a:extLst>
            <a:ext uri="{FF2B5EF4-FFF2-40B4-BE49-F238E27FC236}">
              <a16:creationId xmlns:a16="http://schemas.microsoft.com/office/drawing/2014/main" id="{9B37FF2A-7981-415E-8FB0-F8168225CC4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2810" name="Text Box 192">
          <a:extLst>
            <a:ext uri="{FF2B5EF4-FFF2-40B4-BE49-F238E27FC236}">
              <a16:creationId xmlns:a16="http://schemas.microsoft.com/office/drawing/2014/main" id="{17EC9E87-14EA-4494-B5D4-9499976F8CD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2811" name="Text Box 192">
          <a:extLst>
            <a:ext uri="{FF2B5EF4-FFF2-40B4-BE49-F238E27FC236}">
              <a16:creationId xmlns:a16="http://schemas.microsoft.com/office/drawing/2014/main" id="{E259A624-A4F2-43E0-9759-FAAE981870C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2812" name="Text Box 192">
          <a:extLst>
            <a:ext uri="{FF2B5EF4-FFF2-40B4-BE49-F238E27FC236}">
              <a16:creationId xmlns:a16="http://schemas.microsoft.com/office/drawing/2014/main" id="{2980ECE3-784B-4BDE-B162-DFF54679315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41</xdr:row>
      <xdr:rowOff>0</xdr:rowOff>
    </xdr:from>
    <xdr:ext cx="10372" cy="228955"/>
    <xdr:sp macro="" textlink="">
      <xdr:nvSpPr>
        <xdr:cNvPr id="2813" name="Text Box 192">
          <a:extLst>
            <a:ext uri="{FF2B5EF4-FFF2-40B4-BE49-F238E27FC236}">
              <a16:creationId xmlns:a16="http://schemas.microsoft.com/office/drawing/2014/main" id="{6331860F-1FEB-4FCD-A968-C64FDBDBCBC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2814" name="Text Box 192">
          <a:extLst>
            <a:ext uri="{FF2B5EF4-FFF2-40B4-BE49-F238E27FC236}">
              <a16:creationId xmlns:a16="http://schemas.microsoft.com/office/drawing/2014/main" id="{1915B318-E2A7-4CC6-9FC9-AF0A5DE6845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2815" name="Text Box 192">
          <a:extLst>
            <a:ext uri="{FF2B5EF4-FFF2-40B4-BE49-F238E27FC236}">
              <a16:creationId xmlns:a16="http://schemas.microsoft.com/office/drawing/2014/main" id="{2CB982A5-308B-48FE-AB0A-0227BD416B8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2816" name="Text Box 192">
          <a:extLst>
            <a:ext uri="{FF2B5EF4-FFF2-40B4-BE49-F238E27FC236}">
              <a16:creationId xmlns:a16="http://schemas.microsoft.com/office/drawing/2014/main" id="{9B423091-0D52-4BA3-BF33-48A17CDB8C0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2817" name="Text Box 192">
          <a:extLst>
            <a:ext uri="{FF2B5EF4-FFF2-40B4-BE49-F238E27FC236}">
              <a16:creationId xmlns:a16="http://schemas.microsoft.com/office/drawing/2014/main" id="{59BB6B23-70C1-4B55-A1C9-F1F80E7E975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2818" name="Text Box 192">
          <a:extLst>
            <a:ext uri="{FF2B5EF4-FFF2-40B4-BE49-F238E27FC236}">
              <a16:creationId xmlns:a16="http://schemas.microsoft.com/office/drawing/2014/main" id="{51E37396-2F7D-43AF-B65E-C31CAD0FCD7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42</xdr:row>
      <xdr:rowOff>0</xdr:rowOff>
    </xdr:from>
    <xdr:ext cx="10372" cy="228955"/>
    <xdr:sp macro="" textlink="">
      <xdr:nvSpPr>
        <xdr:cNvPr id="2819" name="Text Box 192">
          <a:extLst>
            <a:ext uri="{FF2B5EF4-FFF2-40B4-BE49-F238E27FC236}">
              <a16:creationId xmlns:a16="http://schemas.microsoft.com/office/drawing/2014/main" id="{4D64946C-5670-4E5D-97BA-9987C340F52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44</xdr:row>
      <xdr:rowOff>0</xdr:rowOff>
    </xdr:from>
    <xdr:ext cx="10372" cy="228955"/>
    <xdr:sp macro="" textlink="">
      <xdr:nvSpPr>
        <xdr:cNvPr id="2820" name="Text Box 192">
          <a:extLst>
            <a:ext uri="{FF2B5EF4-FFF2-40B4-BE49-F238E27FC236}">
              <a16:creationId xmlns:a16="http://schemas.microsoft.com/office/drawing/2014/main" id="{91FB68F4-C675-41F7-8253-02CC78ED613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2821" name="Text Box 192">
          <a:extLst>
            <a:ext uri="{FF2B5EF4-FFF2-40B4-BE49-F238E27FC236}">
              <a16:creationId xmlns:a16="http://schemas.microsoft.com/office/drawing/2014/main" id="{4E4B7011-AD40-4596-8B18-F5F47408DEB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44</xdr:row>
      <xdr:rowOff>0</xdr:rowOff>
    </xdr:from>
    <xdr:ext cx="10372" cy="228955"/>
    <xdr:sp macro="" textlink="">
      <xdr:nvSpPr>
        <xdr:cNvPr id="2822" name="Text Box 192">
          <a:extLst>
            <a:ext uri="{FF2B5EF4-FFF2-40B4-BE49-F238E27FC236}">
              <a16:creationId xmlns:a16="http://schemas.microsoft.com/office/drawing/2014/main" id="{89F32F32-ED12-4199-AE00-FBE57ADF96C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2823" name="Text Box 192">
          <a:extLst>
            <a:ext uri="{FF2B5EF4-FFF2-40B4-BE49-F238E27FC236}">
              <a16:creationId xmlns:a16="http://schemas.microsoft.com/office/drawing/2014/main" id="{9738E7BD-6497-4512-80CC-41F1FED9458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2824" name="Text Box 192">
          <a:extLst>
            <a:ext uri="{FF2B5EF4-FFF2-40B4-BE49-F238E27FC236}">
              <a16:creationId xmlns:a16="http://schemas.microsoft.com/office/drawing/2014/main" id="{2A3B4CAE-D69A-48DE-94E2-5C97B9C119C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2825" name="Text Box 192">
          <a:extLst>
            <a:ext uri="{FF2B5EF4-FFF2-40B4-BE49-F238E27FC236}">
              <a16:creationId xmlns:a16="http://schemas.microsoft.com/office/drawing/2014/main" id="{8265DF29-8B08-433F-9B0E-AF830937216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2826" name="Text Box 192">
          <a:extLst>
            <a:ext uri="{FF2B5EF4-FFF2-40B4-BE49-F238E27FC236}">
              <a16:creationId xmlns:a16="http://schemas.microsoft.com/office/drawing/2014/main" id="{F232BC1A-C24F-40AC-A1D9-749277B93AA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2827" name="Text Box 192">
          <a:extLst>
            <a:ext uri="{FF2B5EF4-FFF2-40B4-BE49-F238E27FC236}">
              <a16:creationId xmlns:a16="http://schemas.microsoft.com/office/drawing/2014/main" id="{FEE5972E-52B0-4721-A046-592EF1ABDF0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2828" name="Text Box 192">
          <a:extLst>
            <a:ext uri="{FF2B5EF4-FFF2-40B4-BE49-F238E27FC236}">
              <a16:creationId xmlns:a16="http://schemas.microsoft.com/office/drawing/2014/main" id="{CE3F4609-7431-4C23-B39E-ECDF95A84F0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2829" name="Text Box 192">
          <a:extLst>
            <a:ext uri="{FF2B5EF4-FFF2-40B4-BE49-F238E27FC236}">
              <a16:creationId xmlns:a16="http://schemas.microsoft.com/office/drawing/2014/main" id="{9480C597-44BA-4D6B-A27B-47B6C15B802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2830" name="Text Box 192">
          <a:extLst>
            <a:ext uri="{FF2B5EF4-FFF2-40B4-BE49-F238E27FC236}">
              <a16:creationId xmlns:a16="http://schemas.microsoft.com/office/drawing/2014/main" id="{BC83803B-A2F9-4389-AF56-A777C25ED02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45</xdr:row>
      <xdr:rowOff>0</xdr:rowOff>
    </xdr:from>
    <xdr:ext cx="10372" cy="228955"/>
    <xdr:sp macro="" textlink="">
      <xdr:nvSpPr>
        <xdr:cNvPr id="2831" name="Text Box 192">
          <a:extLst>
            <a:ext uri="{FF2B5EF4-FFF2-40B4-BE49-F238E27FC236}">
              <a16:creationId xmlns:a16="http://schemas.microsoft.com/office/drawing/2014/main" id="{D975ACE4-4158-41C8-BC36-0CADD61285C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2832" name="Text Box 192">
          <a:extLst>
            <a:ext uri="{FF2B5EF4-FFF2-40B4-BE49-F238E27FC236}">
              <a16:creationId xmlns:a16="http://schemas.microsoft.com/office/drawing/2014/main" id="{89978B95-193D-4FB4-BADD-FE48F17823F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2833" name="Text Box 192">
          <a:extLst>
            <a:ext uri="{FF2B5EF4-FFF2-40B4-BE49-F238E27FC236}">
              <a16:creationId xmlns:a16="http://schemas.microsoft.com/office/drawing/2014/main" id="{298A7752-BA69-4B5F-94F8-86DE502F93E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2834" name="Text Box 192">
          <a:extLst>
            <a:ext uri="{FF2B5EF4-FFF2-40B4-BE49-F238E27FC236}">
              <a16:creationId xmlns:a16="http://schemas.microsoft.com/office/drawing/2014/main" id="{181C4A9A-30C6-4834-991E-D5DEA261DEC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2835" name="Text Box 192">
          <a:extLst>
            <a:ext uri="{FF2B5EF4-FFF2-40B4-BE49-F238E27FC236}">
              <a16:creationId xmlns:a16="http://schemas.microsoft.com/office/drawing/2014/main" id="{D5ACC172-F0AC-4C82-93E1-DB6227901A1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2836" name="Text Box 192">
          <a:extLst>
            <a:ext uri="{FF2B5EF4-FFF2-40B4-BE49-F238E27FC236}">
              <a16:creationId xmlns:a16="http://schemas.microsoft.com/office/drawing/2014/main" id="{8EE9D5E6-A95B-4C47-B881-F2E93AB8C92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2837" name="Text Box 192">
          <a:extLst>
            <a:ext uri="{FF2B5EF4-FFF2-40B4-BE49-F238E27FC236}">
              <a16:creationId xmlns:a16="http://schemas.microsoft.com/office/drawing/2014/main" id="{FB212C71-49A2-42E7-A868-42C6DD4BE0F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2838" name="Text Box 192">
          <a:extLst>
            <a:ext uri="{FF2B5EF4-FFF2-40B4-BE49-F238E27FC236}">
              <a16:creationId xmlns:a16="http://schemas.microsoft.com/office/drawing/2014/main" id="{C595B331-67F9-42D9-88DD-C25898EAE95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2839" name="Text Box 192">
          <a:extLst>
            <a:ext uri="{FF2B5EF4-FFF2-40B4-BE49-F238E27FC236}">
              <a16:creationId xmlns:a16="http://schemas.microsoft.com/office/drawing/2014/main" id="{6ADFDABA-84A7-4EF6-BD9E-29A7B16D1DC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46</xdr:row>
      <xdr:rowOff>0</xdr:rowOff>
    </xdr:from>
    <xdr:ext cx="10372" cy="228955"/>
    <xdr:sp macro="" textlink="">
      <xdr:nvSpPr>
        <xdr:cNvPr id="2840" name="Text Box 192">
          <a:extLst>
            <a:ext uri="{FF2B5EF4-FFF2-40B4-BE49-F238E27FC236}">
              <a16:creationId xmlns:a16="http://schemas.microsoft.com/office/drawing/2014/main" id="{06791898-8549-428F-9974-45A7C93345A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2841" name="Text Box 192">
          <a:extLst>
            <a:ext uri="{FF2B5EF4-FFF2-40B4-BE49-F238E27FC236}">
              <a16:creationId xmlns:a16="http://schemas.microsoft.com/office/drawing/2014/main" id="{8E469996-E490-4434-B9F4-D34C3FD79C9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2842" name="Text Box 192">
          <a:extLst>
            <a:ext uri="{FF2B5EF4-FFF2-40B4-BE49-F238E27FC236}">
              <a16:creationId xmlns:a16="http://schemas.microsoft.com/office/drawing/2014/main" id="{37B6EF74-D12C-4C80-AEBF-B82C045461C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2843" name="Text Box 192">
          <a:extLst>
            <a:ext uri="{FF2B5EF4-FFF2-40B4-BE49-F238E27FC236}">
              <a16:creationId xmlns:a16="http://schemas.microsoft.com/office/drawing/2014/main" id="{B1580A55-C0CB-4925-ACB4-26C6F1597C7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2844" name="Text Box 192">
          <a:extLst>
            <a:ext uri="{FF2B5EF4-FFF2-40B4-BE49-F238E27FC236}">
              <a16:creationId xmlns:a16="http://schemas.microsoft.com/office/drawing/2014/main" id="{C9294291-9F9B-47EA-9EE1-7432C13C015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2845" name="Text Box 192">
          <a:extLst>
            <a:ext uri="{FF2B5EF4-FFF2-40B4-BE49-F238E27FC236}">
              <a16:creationId xmlns:a16="http://schemas.microsoft.com/office/drawing/2014/main" id="{0DE2D35F-CF20-4328-B8CE-E262D30538D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2846" name="Text Box 192">
          <a:extLst>
            <a:ext uri="{FF2B5EF4-FFF2-40B4-BE49-F238E27FC236}">
              <a16:creationId xmlns:a16="http://schemas.microsoft.com/office/drawing/2014/main" id="{DEFCE98C-6DF7-4253-8931-F2DC7588B44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2847" name="Text Box 192">
          <a:extLst>
            <a:ext uri="{FF2B5EF4-FFF2-40B4-BE49-F238E27FC236}">
              <a16:creationId xmlns:a16="http://schemas.microsoft.com/office/drawing/2014/main" id="{D85127BB-B46C-404C-84AE-A958935E560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2848" name="Text Box 192">
          <a:extLst>
            <a:ext uri="{FF2B5EF4-FFF2-40B4-BE49-F238E27FC236}">
              <a16:creationId xmlns:a16="http://schemas.microsoft.com/office/drawing/2014/main" id="{E709FC36-232E-4226-B22F-1892349FBC6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47</xdr:row>
      <xdr:rowOff>0</xdr:rowOff>
    </xdr:from>
    <xdr:ext cx="10372" cy="228955"/>
    <xdr:sp macro="" textlink="">
      <xdr:nvSpPr>
        <xdr:cNvPr id="2849" name="Text Box 192">
          <a:extLst>
            <a:ext uri="{FF2B5EF4-FFF2-40B4-BE49-F238E27FC236}">
              <a16:creationId xmlns:a16="http://schemas.microsoft.com/office/drawing/2014/main" id="{F55E1BCB-A5A5-4F41-B741-B8527A1A654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2850" name="Text Box 192">
          <a:extLst>
            <a:ext uri="{FF2B5EF4-FFF2-40B4-BE49-F238E27FC236}">
              <a16:creationId xmlns:a16="http://schemas.microsoft.com/office/drawing/2014/main" id="{6D24A518-5E98-4778-9245-3DDBFB4F5B6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2851" name="Text Box 192">
          <a:extLst>
            <a:ext uri="{FF2B5EF4-FFF2-40B4-BE49-F238E27FC236}">
              <a16:creationId xmlns:a16="http://schemas.microsoft.com/office/drawing/2014/main" id="{6DA72F04-B0A8-44D8-90B4-A6120EBDC58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2852" name="Text Box 192">
          <a:extLst>
            <a:ext uri="{FF2B5EF4-FFF2-40B4-BE49-F238E27FC236}">
              <a16:creationId xmlns:a16="http://schemas.microsoft.com/office/drawing/2014/main" id="{369C5A07-17AD-41F7-84D7-2A6C664FD7F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2853" name="Text Box 192">
          <a:extLst>
            <a:ext uri="{FF2B5EF4-FFF2-40B4-BE49-F238E27FC236}">
              <a16:creationId xmlns:a16="http://schemas.microsoft.com/office/drawing/2014/main" id="{5312B89B-539A-408B-9FB8-1B65F017B7E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2854" name="Text Box 192">
          <a:extLst>
            <a:ext uri="{FF2B5EF4-FFF2-40B4-BE49-F238E27FC236}">
              <a16:creationId xmlns:a16="http://schemas.microsoft.com/office/drawing/2014/main" id="{B76A4FD6-03B2-4954-AD9A-C389CD6F929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2855" name="Text Box 192">
          <a:extLst>
            <a:ext uri="{FF2B5EF4-FFF2-40B4-BE49-F238E27FC236}">
              <a16:creationId xmlns:a16="http://schemas.microsoft.com/office/drawing/2014/main" id="{A8822A28-418F-4E8B-B8E4-152DEC80AED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2856" name="Text Box 192">
          <a:extLst>
            <a:ext uri="{FF2B5EF4-FFF2-40B4-BE49-F238E27FC236}">
              <a16:creationId xmlns:a16="http://schemas.microsoft.com/office/drawing/2014/main" id="{BDB9B214-052E-42CD-8BC0-14067DC2A94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2857" name="Text Box 192">
          <a:extLst>
            <a:ext uri="{FF2B5EF4-FFF2-40B4-BE49-F238E27FC236}">
              <a16:creationId xmlns:a16="http://schemas.microsoft.com/office/drawing/2014/main" id="{E1AA938F-9451-4065-88D8-87962834306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48</xdr:row>
      <xdr:rowOff>0</xdr:rowOff>
    </xdr:from>
    <xdr:ext cx="10372" cy="228955"/>
    <xdr:sp macro="" textlink="">
      <xdr:nvSpPr>
        <xdr:cNvPr id="2858" name="Text Box 192">
          <a:extLst>
            <a:ext uri="{FF2B5EF4-FFF2-40B4-BE49-F238E27FC236}">
              <a16:creationId xmlns:a16="http://schemas.microsoft.com/office/drawing/2014/main" id="{422767D1-7B04-4AA8-8EC6-CFF1F04086E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2859" name="Text Box 192">
          <a:extLst>
            <a:ext uri="{FF2B5EF4-FFF2-40B4-BE49-F238E27FC236}">
              <a16:creationId xmlns:a16="http://schemas.microsoft.com/office/drawing/2014/main" id="{C40385E0-3DF0-4AA7-AEAD-F615C89E23B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2860" name="Text Box 192">
          <a:extLst>
            <a:ext uri="{FF2B5EF4-FFF2-40B4-BE49-F238E27FC236}">
              <a16:creationId xmlns:a16="http://schemas.microsoft.com/office/drawing/2014/main" id="{49732C77-C1A8-4F88-B745-D93F2FF0D27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2861" name="Text Box 192">
          <a:extLst>
            <a:ext uri="{FF2B5EF4-FFF2-40B4-BE49-F238E27FC236}">
              <a16:creationId xmlns:a16="http://schemas.microsoft.com/office/drawing/2014/main" id="{8BECAA74-25C9-41E2-9279-FCB3E1FE5EC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2862" name="Text Box 192">
          <a:extLst>
            <a:ext uri="{FF2B5EF4-FFF2-40B4-BE49-F238E27FC236}">
              <a16:creationId xmlns:a16="http://schemas.microsoft.com/office/drawing/2014/main" id="{32526EEE-CBFA-4FE5-9895-DCE215B95E4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2863" name="Text Box 192">
          <a:extLst>
            <a:ext uri="{FF2B5EF4-FFF2-40B4-BE49-F238E27FC236}">
              <a16:creationId xmlns:a16="http://schemas.microsoft.com/office/drawing/2014/main" id="{E6BE16FF-829D-487F-8CAB-908B00770B5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2864" name="Text Box 192">
          <a:extLst>
            <a:ext uri="{FF2B5EF4-FFF2-40B4-BE49-F238E27FC236}">
              <a16:creationId xmlns:a16="http://schemas.microsoft.com/office/drawing/2014/main" id="{7E88F662-E8A7-4565-8ED1-4E0626313C1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2865" name="Text Box 192">
          <a:extLst>
            <a:ext uri="{FF2B5EF4-FFF2-40B4-BE49-F238E27FC236}">
              <a16:creationId xmlns:a16="http://schemas.microsoft.com/office/drawing/2014/main" id="{6DC37FBF-A987-4095-BF42-CEDC25BF279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2866" name="Text Box 192">
          <a:extLst>
            <a:ext uri="{FF2B5EF4-FFF2-40B4-BE49-F238E27FC236}">
              <a16:creationId xmlns:a16="http://schemas.microsoft.com/office/drawing/2014/main" id="{59538993-3C4D-4C36-8090-558FBDE47E8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49</xdr:row>
      <xdr:rowOff>0</xdr:rowOff>
    </xdr:from>
    <xdr:ext cx="10372" cy="228955"/>
    <xdr:sp macro="" textlink="">
      <xdr:nvSpPr>
        <xdr:cNvPr id="2867" name="Text Box 192">
          <a:extLst>
            <a:ext uri="{FF2B5EF4-FFF2-40B4-BE49-F238E27FC236}">
              <a16:creationId xmlns:a16="http://schemas.microsoft.com/office/drawing/2014/main" id="{8DAD1DC5-142E-4BE7-BA0A-3B944A00AC0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2868" name="Text Box 192">
          <a:extLst>
            <a:ext uri="{FF2B5EF4-FFF2-40B4-BE49-F238E27FC236}">
              <a16:creationId xmlns:a16="http://schemas.microsoft.com/office/drawing/2014/main" id="{F3E3AA0C-D317-456B-A4E8-A0BE0898BE9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2869" name="Text Box 192">
          <a:extLst>
            <a:ext uri="{FF2B5EF4-FFF2-40B4-BE49-F238E27FC236}">
              <a16:creationId xmlns:a16="http://schemas.microsoft.com/office/drawing/2014/main" id="{EB73FC2B-F868-43F5-9078-6F714DC506B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2870" name="Text Box 192">
          <a:extLst>
            <a:ext uri="{FF2B5EF4-FFF2-40B4-BE49-F238E27FC236}">
              <a16:creationId xmlns:a16="http://schemas.microsoft.com/office/drawing/2014/main" id="{06A78B6E-9A08-4321-BE7E-D0EB92C94BA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2871" name="Text Box 192">
          <a:extLst>
            <a:ext uri="{FF2B5EF4-FFF2-40B4-BE49-F238E27FC236}">
              <a16:creationId xmlns:a16="http://schemas.microsoft.com/office/drawing/2014/main" id="{9823E537-5AA0-4494-AA4B-5864FC9A796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2872" name="Text Box 192">
          <a:extLst>
            <a:ext uri="{FF2B5EF4-FFF2-40B4-BE49-F238E27FC236}">
              <a16:creationId xmlns:a16="http://schemas.microsoft.com/office/drawing/2014/main" id="{0D4C56BE-BB03-444F-8FC5-03E52746104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2873" name="Text Box 192">
          <a:extLst>
            <a:ext uri="{FF2B5EF4-FFF2-40B4-BE49-F238E27FC236}">
              <a16:creationId xmlns:a16="http://schemas.microsoft.com/office/drawing/2014/main" id="{FF467718-5087-4697-9146-6378A90CDB1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2874" name="Text Box 192">
          <a:extLst>
            <a:ext uri="{FF2B5EF4-FFF2-40B4-BE49-F238E27FC236}">
              <a16:creationId xmlns:a16="http://schemas.microsoft.com/office/drawing/2014/main" id="{C7E4FAE9-6428-4897-A8D7-3700FFE06B5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2875" name="Text Box 192">
          <a:extLst>
            <a:ext uri="{FF2B5EF4-FFF2-40B4-BE49-F238E27FC236}">
              <a16:creationId xmlns:a16="http://schemas.microsoft.com/office/drawing/2014/main" id="{2B405509-B7A5-4C7A-82F0-80C48368F00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50</xdr:row>
      <xdr:rowOff>0</xdr:rowOff>
    </xdr:from>
    <xdr:ext cx="10372" cy="228955"/>
    <xdr:sp macro="" textlink="">
      <xdr:nvSpPr>
        <xdr:cNvPr id="2876" name="Text Box 192">
          <a:extLst>
            <a:ext uri="{FF2B5EF4-FFF2-40B4-BE49-F238E27FC236}">
              <a16:creationId xmlns:a16="http://schemas.microsoft.com/office/drawing/2014/main" id="{A6BF5532-9CDC-47D0-9A5A-E128279B7C8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2877" name="Text Box 192">
          <a:extLst>
            <a:ext uri="{FF2B5EF4-FFF2-40B4-BE49-F238E27FC236}">
              <a16:creationId xmlns:a16="http://schemas.microsoft.com/office/drawing/2014/main" id="{307D8C32-2D45-4A28-BFEF-9514672D9BD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2878" name="Text Box 192">
          <a:extLst>
            <a:ext uri="{FF2B5EF4-FFF2-40B4-BE49-F238E27FC236}">
              <a16:creationId xmlns:a16="http://schemas.microsoft.com/office/drawing/2014/main" id="{FD745E5E-4EDD-4226-BEE7-E1B4825534A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2879" name="Text Box 192">
          <a:extLst>
            <a:ext uri="{FF2B5EF4-FFF2-40B4-BE49-F238E27FC236}">
              <a16:creationId xmlns:a16="http://schemas.microsoft.com/office/drawing/2014/main" id="{627A3E73-A232-4A6C-A391-3694B3C9A7A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2880" name="Text Box 192">
          <a:extLst>
            <a:ext uri="{FF2B5EF4-FFF2-40B4-BE49-F238E27FC236}">
              <a16:creationId xmlns:a16="http://schemas.microsoft.com/office/drawing/2014/main" id="{4426D521-16C7-4C42-91D1-9EAEED410CE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2881" name="Text Box 192">
          <a:extLst>
            <a:ext uri="{FF2B5EF4-FFF2-40B4-BE49-F238E27FC236}">
              <a16:creationId xmlns:a16="http://schemas.microsoft.com/office/drawing/2014/main" id="{E6A44E9A-A9AA-42C8-82E1-D6EE6BCDC96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2882" name="Text Box 192">
          <a:extLst>
            <a:ext uri="{FF2B5EF4-FFF2-40B4-BE49-F238E27FC236}">
              <a16:creationId xmlns:a16="http://schemas.microsoft.com/office/drawing/2014/main" id="{C8C9C163-898F-4956-A8D8-EFB87DE729D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2883" name="Text Box 192">
          <a:extLst>
            <a:ext uri="{FF2B5EF4-FFF2-40B4-BE49-F238E27FC236}">
              <a16:creationId xmlns:a16="http://schemas.microsoft.com/office/drawing/2014/main" id="{07B64166-1DC6-484C-BA4D-8FF3CD8306D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2884" name="Text Box 192">
          <a:extLst>
            <a:ext uri="{FF2B5EF4-FFF2-40B4-BE49-F238E27FC236}">
              <a16:creationId xmlns:a16="http://schemas.microsoft.com/office/drawing/2014/main" id="{3A05583E-B188-43F9-A1BE-FFDCF457701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51</xdr:row>
      <xdr:rowOff>0</xdr:rowOff>
    </xdr:from>
    <xdr:ext cx="10372" cy="228955"/>
    <xdr:sp macro="" textlink="">
      <xdr:nvSpPr>
        <xdr:cNvPr id="2885" name="Text Box 192">
          <a:extLst>
            <a:ext uri="{FF2B5EF4-FFF2-40B4-BE49-F238E27FC236}">
              <a16:creationId xmlns:a16="http://schemas.microsoft.com/office/drawing/2014/main" id="{3BB51F9A-8E0B-4C5B-AA4F-54DC361BAC3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2886" name="Text Box 192">
          <a:extLst>
            <a:ext uri="{FF2B5EF4-FFF2-40B4-BE49-F238E27FC236}">
              <a16:creationId xmlns:a16="http://schemas.microsoft.com/office/drawing/2014/main" id="{CA79969E-DB29-4E30-9257-703D896854B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2887" name="Text Box 192">
          <a:extLst>
            <a:ext uri="{FF2B5EF4-FFF2-40B4-BE49-F238E27FC236}">
              <a16:creationId xmlns:a16="http://schemas.microsoft.com/office/drawing/2014/main" id="{6AB0FB77-99D2-42FB-8510-21261EE7E7F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2888" name="Text Box 192">
          <a:extLst>
            <a:ext uri="{FF2B5EF4-FFF2-40B4-BE49-F238E27FC236}">
              <a16:creationId xmlns:a16="http://schemas.microsoft.com/office/drawing/2014/main" id="{73EEBCF8-A400-4152-B64D-F148D483284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2889" name="Text Box 192">
          <a:extLst>
            <a:ext uri="{FF2B5EF4-FFF2-40B4-BE49-F238E27FC236}">
              <a16:creationId xmlns:a16="http://schemas.microsoft.com/office/drawing/2014/main" id="{CBF4D928-1E68-4611-B808-DD49D5283E9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2890" name="Text Box 192">
          <a:extLst>
            <a:ext uri="{FF2B5EF4-FFF2-40B4-BE49-F238E27FC236}">
              <a16:creationId xmlns:a16="http://schemas.microsoft.com/office/drawing/2014/main" id="{E8AFBE87-EB81-40DC-89EB-11EB61CAEDD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2891" name="Text Box 192">
          <a:extLst>
            <a:ext uri="{FF2B5EF4-FFF2-40B4-BE49-F238E27FC236}">
              <a16:creationId xmlns:a16="http://schemas.microsoft.com/office/drawing/2014/main" id="{BF6712FC-B887-43EB-90EF-6870F02C2FF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2892" name="Text Box 192">
          <a:extLst>
            <a:ext uri="{FF2B5EF4-FFF2-40B4-BE49-F238E27FC236}">
              <a16:creationId xmlns:a16="http://schemas.microsoft.com/office/drawing/2014/main" id="{DFE6E2BE-FB39-4E1B-A407-17357231CB7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2893" name="Text Box 192">
          <a:extLst>
            <a:ext uri="{FF2B5EF4-FFF2-40B4-BE49-F238E27FC236}">
              <a16:creationId xmlns:a16="http://schemas.microsoft.com/office/drawing/2014/main" id="{A714C62E-D3A3-42A8-966A-27240A1442F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52</xdr:row>
      <xdr:rowOff>0</xdr:rowOff>
    </xdr:from>
    <xdr:ext cx="10372" cy="228955"/>
    <xdr:sp macro="" textlink="">
      <xdr:nvSpPr>
        <xdr:cNvPr id="2894" name="Text Box 192">
          <a:extLst>
            <a:ext uri="{FF2B5EF4-FFF2-40B4-BE49-F238E27FC236}">
              <a16:creationId xmlns:a16="http://schemas.microsoft.com/office/drawing/2014/main" id="{87DCF305-E93A-40E4-8822-8C170896D41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2895" name="Text Box 192">
          <a:extLst>
            <a:ext uri="{FF2B5EF4-FFF2-40B4-BE49-F238E27FC236}">
              <a16:creationId xmlns:a16="http://schemas.microsoft.com/office/drawing/2014/main" id="{1C32B208-6C47-42F2-890E-3AF6F723E38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2896" name="Text Box 192">
          <a:extLst>
            <a:ext uri="{FF2B5EF4-FFF2-40B4-BE49-F238E27FC236}">
              <a16:creationId xmlns:a16="http://schemas.microsoft.com/office/drawing/2014/main" id="{54015CEB-90EB-4E41-8B50-4B82BD07B0F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2897" name="Text Box 192">
          <a:extLst>
            <a:ext uri="{FF2B5EF4-FFF2-40B4-BE49-F238E27FC236}">
              <a16:creationId xmlns:a16="http://schemas.microsoft.com/office/drawing/2014/main" id="{CEDF7540-1A6D-48F4-A148-F7287894468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2898" name="Text Box 192">
          <a:extLst>
            <a:ext uri="{FF2B5EF4-FFF2-40B4-BE49-F238E27FC236}">
              <a16:creationId xmlns:a16="http://schemas.microsoft.com/office/drawing/2014/main" id="{26F30E33-81CE-4A56-A3BA-ABA0BB0EB32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2899" name="Text Box 192">
          <a:extLst>
            <a:ext uri="{FF2B5EF4-FFF2-40B4-BE49-F238E27FC236}">
              <a16:creationId xmlns:a16="http://schemas.microsoft.com/office/drawing/2014/main" id="{890B1CAF-B25A-4FAB-BE06-00F66516603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53</xdr:row>
      <xdr:rowOff>0</xdr:rowOff>
    </xdr:from>
    <xdr:ext cx="10372" cy="228955"/>
    <xdr:sp macro="" textlink="">
      <xdr:nvSpPr>
        <xdr:cNvPr id="2900" name="Text Box 192">
          <a:extLst>
            <a:ext uri="{FF2B5EF4-FFF2-40B4-BE49-F238E27FC236}">
              <a16:creationId xmlns:a16="http://schemas.microsoft.com/office/drawing/2014/main" id="{1FFA44AF-92B2-4823-A5FF-4DDA9754C95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55</xdr:row>
      <xdr:rowOff>0</xdr:rowOff>
    </xdr:from>
    <xdr:ext cx="10372" cy="228955"/>
    <xdr:sp macro="" textlink="">
      <xdr:nvSpPr>
        <xdr:cNvPr id="2901" name="Text Box 192">
          <a:extLst>
            <a:ext uri="{FF2B5EF4-FFF2-40B4-BE49-F238E27FC236}">
              <a16:creationId xmlns:a16="http://schemas.microsoft.com/office/drawing/2014/main" id="{090192FD-22B0-4F6B-A684-5DEBA203F2C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2902" name="Text Box 192">
          <a:extLst>
            <a:ext uri="{FF2B5EF4-FFF2-40B4-BE49-F238E27FC236}">
              <a16:creationId xmlns:a16="http://schemas.microsoft.com/office/drawing/2014/main" id="{26E4224B-1E27-4E58-A9E1-41A6E55D720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55</xdr:row>
      <xdr:rowOff>0</xdr:rowOff>
    </xdr:from>
    <xdr:ext cx="10372" cy="228955"/>
    <xdr:sp macro="" textlink="">
      <xdr:nvSpPr>
        <xdr:cNvPr id="2903" name="Text Box 192">
          <a:extLst>
            <a:ext uri="{FF2B5EF4-FFF2-40B4-BE49-F238E27FC236}">
              <a16:creationId xmlns:a16="http://schemas.microsoft.com/office/drawing/2014/main" id="{ECBDC881-1B88-493A-A088-238478619B2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2904" name="Text Box 192">
          <a:extLst>
            <a:ext uri="{FF2B5EF4-FFF2-40B4-BE49-F238E27FC236}">
              <a16:creationId xmlns:a16="http://schemas.microsoft.com/office/drawing/2014/main" id="{D1D4D3BB-820A-40B0-AD1E-D7BE7251586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2905" name="Text Box 192">
          <a:extLst>
            <a:ext uri="{FF2B5EF4-FFF2-40B4-BE49-F238E27FC236}">
              <a16:creationId xmlns:a16="http://schemas.microsoft.com/office/drawing/2014/main" id="{9E538F34-0623-4849-94AC-7486B7538E9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2906" name="Text Box 192">
          <a:extLst>
            <a:ext uri="{FF2B5EF4-FFF2-40B4-BE49-F238E27FC236}">
              <a16:creationId xmlns:a16="http://schemas.microsoft.com/office/drawing/2014/main" id="{F14A7731-2787-43BC-B5C0-112CF8505B3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2907" name="Text Box 192">
          <a:extLst>
            <a:ext uri="{FF2B5EF4-FFF2-40B4-BE49-F238E27FC236}">
              <a16:creationId xmlns:a16="http://schemas.microsoft.com/office/drawing/2014/main" id="{DD7D0A2A-5F95-42F6-8A03-91B8D5A304B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2908" name="Text Box 192">
          <a:extLst>
            <a:ext uri="{FF2B5EF4-FFF2-40B4-BE49-F238E27FC236}">
              <a16:creationId xmlns:a16="http://schemas.microsoft.com/office/drawing/2014/main" id="{B8521DE4-3B98-4334-80D1-6A26C26C5A1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56</xdr:row>
      <xdr:rowOff>0</xdr:rowOff>
    </xdr:from>
    <xdr:ext cx="10372" cy="228955"/>
    <xdr:sp macro="" textlink="">
      <xdr:nvSpPr>
        <xdr:cNvPr id="2909" name="Text Box 192">
          <a:extLst>
            <a:ext uri="{FF2B5EF4-FFF2-40B4-BE49-F238E27FC236}">
              <a16:creationId xmlns:a16="http://schemas.microsoft.com/office/drawing/2014/main" id="{35FB18A3-0129-4A96-AF69-ECE2004B96A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59</xdr:row>
      <xdr:rowOff>0</xdr:rowOff>
    </xdr:from>
    <xdr:ext cx="10372" cy="228955"/>
    <xdr:sp macro="" textlink="">
      <xdr:nvSpPr>
        <xdr:cNvPr id="2910" name="Text Box 192">
          <a:extLst>
            <a:ext uri="{FF2B5EF4-FFF2-40B4-BE49-F238E27FC236}">
              <a16:creationId xmlns:a16="http://schemas.microsoft.com/office/drawing/2014/main" id="{9D6A92D0-BC38-44F8-8C70-2CCE5A1F710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911" name="Text Box 192">
          <a:extLst>
            <a:ext uri="{FF2B5EF4-FFF2-40B4-BE49-F238E27FC236}">
              <a16:creationId xmlns:a16="http://schemas.microsoft.com/office/drawing/2014/main" id="{E0DE7466-2DCF-4326-B167-0080BB397BB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59</xdr:row>
      <xdr:rowOff>0</xdr:rowOff>
    </xdr:from>
    <xdr:ext cx="10372" cy="228955"/>
    <xdr:sp macro="" textlink="">
      <xdr:nvSpPr>
        <xdr:cNvPr id="2912" name="Text Box 192">
          <a:extLst>
            <a:ext uri="{FF2B5EF4-FFF2-40B4-BE49-F238E27FC236}">
              <a16:creationId xmlns:a16="http://schemas.microsoft.com/office/drawing/2014/main" id="{B3A969BF-F757-44D4-B639-DE54747A332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913" name="Text Box 192">
          <a:extLst>
            <a:ext uri="{FF2B5EF4-FFF2-40B4-BE49-F238E27FC236}">
              <a16:creationId xmlns:a16="http://schemas.microsoft.com/office/drawing/2014/main" id="{8BB5297C-4A69-411E-89CE-966CEB181BF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914" name="Text Box 192">
          <a:extLst>
            <a:ext uri="{FF2B5EF4-FFF2-40B4-BE49-F238E27FC236}">
              <a16:creationId xmlns:a16="http://schemas.microsoft.com/office/drawing/2014/main" id="{C9DC3E86-7CEF-4457-9046-DE4F5D29F6E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915" name="Text Box 192">
          <a:extLst>
            <a:ext uri="{FF2B5EF4-FFF2-40B4-BE49-F238E27FC236}">
              <a16:creationId xmlns:a16="http://schemas.microsoft.com/office/drawing/2014/main" id="{494E2B16-E66F-465F-9F9D-B17CB46DF8B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916" name="Text Box 192">
          <a:extLst>
            <a:ext uri="{FF2B5EF4-FFF2-40B4-BE49-F238E27FC236}">
              <a16:creationId xmlns:a16="http://schemas.microsoft.com/office/drawing/2014/main" id="{51E907AF-B37D-4E03-8362-A29D7A494C5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917" name="Text Box 192">
          <a:extLst>
            <a:ext uri="{FF2B5EF4-FFF2-40B4-BE49-F238E27FC236}">
              <a16:creationId xmlns:a16="http://schemas.microsoft.com/office/drawing/2014/main" id="{819C4B6B-1767-4722-9B0B-5126190185B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918" name="Text Box 192">
          <a:extLst>
            <a:ext uri="{FF2B5EF4-FFF2-40B4-BE49-F238E27FC236}">
              <a16:creationId xmlns:a16="http://schemas.microsoft.com/office/drawing/2014/main" id="{3F929B2A-9E8C-4BE6-B338-F05353E5B60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919" name="Text Box 192">
          <a:extLst>
            <a:ext uri="{FF2B5EF4-FFF2-40B4-BE49-F238E27FC236}">
              <a16:creationId xmlns:a16="http://schemas.microsoft.com/office/drawing/2014/main" id="{D96D6C14-BACF-4787-9F5F-1FED64C9840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920" name="Text Box 192">
          <a:extLst>
            <a:ext uri="{FF2B5EF4-FFF2-40B4-BE49-F238E27FC236}">
              <a16:creationId xmlns:a16="http://schemas.microsoft.com/office/drawing/2014/main" id="{8018A55A-36D9-4BFB-8A09-04867189F14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60</xdr:row>
      <xdr:rowOff>0</xdr:rowOff>
    </xdr:from>
    <xdr:ext cx="10372" cy="228955"/>
    <xdr:sp macro="" textlink="">
      <xdr:nvSpPr>
        <xdr:cNvPr id="2921" name="Text Box 192">
          <a:extLst>
            <a:ext uri="{FF2B5EF4-FFF2-40B4-BE49-F238E27FC236}">
              <a16:creationId xmlns:a16="http://schemas.microsoft.com/office/drawing/2014/main" id="{6FDD8B52-AFC9-4DDA-8661-791FDAED791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922" name="Text Box 192">
          <a:extLst>
            <a:ext uri="{FF2B5EF4-FFF2-40B4-BE49-F238E27FC236}">
              <a16:creationId xmlns:a16="http://schemas.microsoft.com/office/drawing/2014/main" id="{4D57636B-8830-4ED5-8181-72F6948694C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923" name="Text Box 192">
          <a:extLst>
            <a:ext uri="{FF2B5EF4-FFF2-40B4-BE49-F238E27FC236}">
              <a16:creationId xmlns:a16="http://schemas.microsoft.com/office/drawing/2014/main" id="{C067162B-232A-4A77-A4EC-38553CC8D74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924" name="Text Box 192">
          <a:extLst>
            <a:ext uri="{FF2B5EF4-FFF2-40B4-BE49-F238E27FC236}">
              <a16:creationId xmlns:a16="http://schemas.microsoft.com/office/drawing/2014/main" id="{48720137-6513-48F7-9ACB-434555743E1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925" name="Text Box 192">
          <a:extLst>
            <a:ext uri="{FF2B5EF4-FFF2-40B4-BE49-F238E27FC236}">
              <a16:creationId xmlns:a16="http://schemas.microsoft.com/office/drawing/2014/main" id="{D99B3433-3CE0-4312-B03F-35B237D2263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926" name="Text Box 192">
          <a:extLst>
            <a:ext uri="{FF2B5EF4-FFF2-40B4-BE49-F238E27FC236}">
              <a16:creationId xmlns:a16="http://schemas.microsoft.com/office/drawing/2014/main" id="{EE7E50B8-CD80-4377-82F0-DDE6B60DBD6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927" name="Text Box 192">
          <a:extLst>
            <a:ext uri="{FF2B5EF4-FFF2-40B4-BE49-F238E27FC236}">
              <a16:creationId xmlns:a16="http://schemas.microsoft.com/office/drawing/2014/main" id="{14857F20-6303-491F-A8B1-6F60443463E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928" name="Text Box 192">
          <a:extLst>
            <a:ext uri="{FF2B5EF4-FFF2-40B4-BE49-F238E27FC236}">
              <a16:creationId xmlns:a16="http://schemas.microsoft.com/office/drawing/2014/main" id="{EE18F52C-08C1-4F70-BC04-65EF3654F16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929" name="Text Box 192">
          <a:extLst>
            <a:ext uri="{FF2B5EF4-FFF2-40B4-BE49-F238E27FC236}">
              <a16:creationId xmlns:a16="http://schemas.microsoft.com/office/drawing/2014/main" id="{70C9CA84-A168-4253-8C6C-302803F985E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61</xdr:row>
      <xdr:rowOff>0</xdr:rowOff>
    </xdr:from>
    <xdr:ext cx="10372" cy="228955"/>
    <xdr:sp macro="" textlink="">
      <xdr:nvSpPr>
        <xdr:cNvPr id="2930" name="Text Box 192">
          <a:extLst>
            <a:ext uri="{FF2B5EF4-FFF2-40B4-BE49-F238E27FC236}">
              <a16:creationId xmlns:a16="http://schemas.microsoft.com/office/drawing/2014/main" id="{E5C2C293-F58F-490B-B2F2-49AAAAD72CF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931" name="Text Box 192">
          <a:extLst>
            <a:ext uri="{FF2B5EF4-FFF2-40B4-BE49-F238E27FC236}">
              <a16:creationId xmlns:a16="http://schemas.microsoft.com/office/drawing/2014/main" id="{A0B95586-0A4D-423E-A632-79CDADF8385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932" name="Text Box 192">
          <a:extLst>
            <a:ext uri="{FF2B5EF4-FFF2-40B4-BE49-F238E27FC236}">
              <a16:creationId xmlns:a16="http://schemas.microsoft.com/office/drawing/2014/main" id="{A7C83FC6-1BB9-409D-A300-24BE545702B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933" name="Text Box 192">
          <a:extLst>
            <a:ext uri="{FF2B5EF4-FFF2-40B4-BE49-F238E27FC236}">
              <a16:creationId xmlns:a16="http://schemas.microsoft.com/office/drawing/2014/main" id="{E0B38691-5B15-4FCD-AF12-16AAC10162B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934" name="Text Box 192">
          <a:extLst>
            <a:ext uri="{FF2B5EF4-FFF2-40B4-BE49-F238E27FC236}">
              <a16:creationId xmlns:a16="http://schemas.microsoft.com/office/drawing/2014/main" id="{911D85C3-4A77-4B8E-90C9-13F220DE8DD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935" name="Text Box 192">
          <a:extLst>
            <a:ext uri="{FF2B5EF4-FFF2-40B4-BE49-F238E27FC236}">
              <a16:creationId xmlns:a16="http://schemas.microsoft.com/office/drawing/2014/main" id="{D301E773-9075-4E65-8CD2-86891A82E94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936" name="Text Box 192">
          <a:extLst>
            <a:ext uri="{FF2B5EF4-FFF2-40B4-BE49-F238E27FC236}">
              <a16:creationId xmlns:a16="http://schemas.microsoft.com/office/drawing/2014/main" id="{21BA30AA-70D5-4C1D-BEBF-C01961A1148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937" name="Text Box 192">
          <a:extLst>
            <a:ext uri="{FF2B5EF4-FFF2-40B4-BE49-F238E27FC236}">
              <a16:creationId xmlns:a16="http://schemas.microsoft.com/office/drawing/2014/main" id="{486B9F90-02E3-497A-B39D-261C48AD63F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938" name="Text Box 192">
          <a:extLst>
            <a:ext uri="{FF2B5EF4-FFF2-40B4-BE49-F238E27FC236}">
              <a16:creationId xmlns:a16="http://schemas.microsoft.com/office/drawing/2014/main" id="{3303E036-B2FC-4613-AE40-414FC8BB09E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62</xdr:row>
      <xdr:rowOff>0</xdr:rowOff>
    </xdr:from>
    <xdr:ext cx="10372" cy="228955"/>
    <xdr:sp macro="" textlink="">
      <xdr:nvSpPr>
        <xdr:cNvPr id="2939" name="Text Box 192">
          <a:extLst>
            <a:ext uri="{FF2B5EF4-FFF2-40B4-BE49-F238E27FC236}">
              <a16:creationId xmlns:a16="http://schemas.microsoft.com/office/drawing/2014/main" id="{FA21AEA8-9B6B-46DC-87F6-0F466EF99A5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940" name="Text Box 192">
          <a:extLst>
            <a:ext uri="{FF2B5EF4-FFF2-40B4-BE49-F238E27FC236}">
              <a16:creationId xmlns:a16="http://schemas.microsoft.com/office/drawing/2014/main" id="{EFED53C7-FDED-48E7-ABDA-B5A79EDB2D8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941" name="Text Box 192">
          <a:extLst>
            <a:ext uri="{FF2B5EF4-FFF2-40B4-BE49-F238E27FC236}">
              <a16:creationId xmlns:a16="http://schemas.microsoft.com/office/drawing/2014/main" id="{4B305DD6-D8B2-43D3-B43C-5C7823EBD20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942" name="Text Box 192">
          <a:extLst>
            <a:ext uri="{FF2B5EF4-FFF2-40B4-BE49-F238E27FC236}">
              <a16:creationId xmlns:a16="http://schemas.microsoft.com/office/drawing/2014/main" id="{C7C1F43F-16BA-4B63-A96F-20E0B1700A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943" name="Text Box 192">
          <a:extLst>
            <a:ext uri="{FF2B5EF4-FFF2-40B4-BE49-F238E27FC236}">
              <a16:creationId xmlns:a16="http://schemas.microsoft.com/office/drawing/2014/main" id="{D577F255-6C16-49B6-97C3-78721B5B72B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944" name="Text Box 192">
          <a:extLst>
            <a:ext uri="{FF2B5EF4-FFF2-40B4-BE49-F238E27FC236}">
              <a16:creationId xmlns:a16="http://schemas.microsoft.com/office/drawing/2014/main" id="{F8DE81FD-DC48-4681-93D8-3D6DD5BF5F2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945" name="Text Box 192">
          <a:extLst>
            <a:ext uri="{FF2B5EF4-FFF2-40B4-BE49-F238E27FC236}">
              <a16:creationId xmlns:a16="http://schemas.microsoft.com/office/drawing/2014/main" id="{6508FF7D-B383-40F4-94F0-669A200A2A7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946" name="Text Box 192">
          <a:extLst>
            <a:ext uri="{FF2B5EF4-FFF2-40B4-BE49-F238E27FC236}">
              <a16:creationId xmlns:a16="http://schemas.microsoft.com/office/drawing/2014/main" id="{CBAB8858-5E5E-4731-90A8-4AE2F3FBB31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947" name="Text Box 192">
          <a:extLst>
            <a:ext uri="{FF2B5EF4-FFF2-40B4-BE49-F238E27FC236}">
              <a16:creationId xmlns:a16="http://schemas.microsoft.com/office/drawing/2014/main" id="{72C486C1-EB84-43D2-B08D-49279111CF9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63</xdr:row>
      <xdr:rowOff>0</xdr:rowOff>
    </xdr:from>
    <xdr:ext cx="10372" cy="228955"/>
    <xdr:sp macro="" textlink="">
      <xdr:nvSpPr>
        <xdr:cNvPr id="2948" name="Text Box 192">
          <a:extLst>
            <a:ext uri="{FF2B5EF4-FFF2-40B4-BE49-F238E27FC236}">
              <a16:creationId xmlns:a16="http://schemas.microsoft.com/office/drawing/2014/main" id="{398B8035-2946-43CE-9D5C-2FD743CC62E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949" name="Text Box 192">
          <a:extLst>
            <a:ext uri="{FF2B5EF4-FFF2-40B4-BE49-F238E27FC236}">
              <a16:creationId xmlns:a16="http://schemas.microsoft.com/office/drawing/2014/main" id="{D653031F-583A-4D21-A514-FF12C87A304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950" name="Text Box 192">
          <a:extLst>
            <a:ext uri="{FF2B5EF4-FFF2-40B4-BE49-F238E27FC236}">
              <a16:creationId xmlns:a16="http://schemas.microsoft.com/office/drawing/2014/main" id="{8FF71DB9-E5F5-460A-BB5A-05F5E2E1AFA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951" name="Text Box 192">
          <a:extLst>
            <a:ext uri="{FF2B5EF4-FFF2-40B4-BE49-F238E27FC236}">
              <a16:creationId xmlns:a16="http://schemas.microsoft.com/office/drawing/2014/main" id="{632A9D97-3BB2-4A5B-8EAE-B0C23E00BEA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952" name="Text Box 192">
          <a:extLst>
            <a:ext uri="{FF2B5EF4-FFF2-40B4-BE49-F238E27FC236}">
              <a16:creationId xmlns:a16="http://schemas.microsoft.com/office/drawing/2014/main" id="{E99474CE-4477-4B2E-A73C-69521F135B9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953" name="Text Box 192">
          <a:extLst>
            <a:ext uri="{FF2B5EF4-FFF2-40B4-BE49-F238E27FC236}">
              <a16:creationId xmlns:a16="http://schemas.microsoft.com/office/drawing/2014/main" id="{2BCDE197-FC72-424C-BC37-35FE28706C0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64</xdr:row>
      <xdr:rowOff>0</xdr:rowOff>
    </xdr:from>
    <xdr:ext cx="10372" cy="228955"/>
    <xdr:sp macro="" textlink="">
      <xdr:nvSpPr>
        <xdr:cNvPr id="2954" name="Text Box 192">
          <a:extLst>
            <a:ext uri="{FF2B5EF4-FFF2-40B4-BE49-F238E27FC236}">
              <a16:creationId xmlns:a16="http://schemas.microsoft.com/office/drawing/2014/main" id="{3B55C11B-3AD0-450B-A4DD-2A814670125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67</xdr:row>
      <xdr:rowOff>0</xdr:rowOff>
    </xdr:from>
    <xdr:ext cx="10372" cy="228955"/>
    <xdr:sp macro="" textlink="">
      <xdr:nvSpPr>
        <xdr:cNvPr id="2955" name="Text Box 192">
          <a:extLst>
            <a:ext uri="{FF2B5EF4-FFF2-40B4-BE49-F238E27FC236}">
              <a16:creationId xmlns:a16="http://schemas.microsoft.com/office/drawing/2014/main" id="{29A9BA5B-2931-4888-B1CB-0A6F1A8E7D1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2956" name="Text Box 192">
          <a:extLst>
            <a:ext uri="{FF2B5EF4-FFF2-40B4-BE49-F238E27FC236}">
              <a16:creationId xmlns:a16="http://schemas.microsoft.com/office/drawing/2014/main" id="{D7FEA469-FB52-4306-975B-9D5B0095915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67</xdr:row>
      <xdr:rowOff>0</xdr:rowOff>
    </xdr:from>
    <xdr:ext cx="10372" cy="228955"/>
    <xdr:sp macro="" textlink="">
      <xdr:nvSpPr>
        <xdr:cNvPr id="2957" name="Text Box 192">
          <a:extLst>
            <a:ext uri="{FF2B5EF4-FFF2-40B4-BE49-F238E27FC236}">
              <a16:creationId xmlns:a16="http://schemas.microsoft.com/office/drawing/2014/main" id="{28BA1139-1FA0-4E97-8527-DDB48F4C67C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2958" name="Text Box 192">
          <a:extLst>
            <a:ext uri="{FF2B5EF4-FFF2-40B4-BE49-F238E27FC236}">
              <a16:creationId xmlns:a16="http://schemas.microsoft.com/office/drawing/2014/main" id="{ECF55C5E-0BB9-445B-9B43-2D8E679ABE6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2959" name="Text Box 192">
          <a:extLst>
            <a:ext uri="{FF2B5EF4-FFF2-40B4-BE49-F238E27FC236}">
              <a16:creationId xmlns:a16="http://schemas.microsoft.com/office/drawing/2014/main" id="{E90FC614-9ED5-4922-B855-2627EC6C688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2960" name="Text Box 192">
          <a:extLst>
            <a:ext uri="{FF2B5EF4-FFF2-40B4-BE49-F238E27FC236}">
              <a16:creationId xmlns:a16="http://schemas.microsoft.com/office/drawing/2014/main" id="{3CFB6EAF-5811-462D-ADFF-DFC70841034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2961" name="Text Box 192">
          <a:extLst>
            <a:ext uri="{FF2B5EF4-FFF2-40B4-BE49-F238E27FC236}">
              <a16:creationId xmlns:a16="http://schemas.microsoft.com/office/drawing/2014/main" id="{28F5B9BC-5FF0-49DE-9E81-59871D74C73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2962" name="Text Box 192">
          <a:extLst>
            <a:ext uri="{FF2B5EF4-FFF2-40B4-BE49-F238E27FC236}">
              <a16:creationId xmlns:a16="http://schemas.microsoft.com/office/drawing/2014/main" id="{7753C7D4-F02B-43DF-B648-079698C82B1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2963" name="Text Box 192">
          <a:extLst>
            <a:ext uri="{FF2B5EF4-FFF2-40B4-BE49-F238E27FC236}">
              <a16:creationId xmlns:a16="http://schemas.microsoft.com/office/drawing/2014/main" id="{3818F3CC-3BC6-4D07-8FBF-2BB670B1B4A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2964" name="Text Box 192">
          <a:extLst>
            <a:ext uri="{FF2B5EF4-FFF2-40B4-BE49-F238E27FC236}">
              <a16:creationId xmlns:a16="http://schemas.microsoft.com/office/drawing/2014/main" id="{AA8EC8A0-B1B4-4C9A-8427-9092EA35CA6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2965" name="Text Box 192">
          <a:extLst>
            <a:ext uri="{FF2B5EF4-FFF2-40B4-BE49-F238E27FC236}">
              <a16:creationId xmlns:a16="http://schemas.microsoft.com/office/drawing/2014/main" id="{E80056F7-D65D-46B7-88EA-5658496DD17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68</xdr:row>
      <xdr:rowOff>0</xdr:rowOff>
    </xdr:from>
    <xdr:ext cx="10372" cy="228955"/>
    <xdr:sp macro="" textlink="">
      <xdr:nvSpPr>
        <xdr:cNvPr id="2966" name="Text Box 192">
          <a:extLst>
            <a:ext uri="{FF2B5EF4-FFF2-40B4-BE49-F238E27FC236}">
              <a16:creationId xmlns:a16="http://schemas.microsoft.com/office/drawing/2014/main" id="{250BE0C7-3412-4240-B92B-42A10B1F9B8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2967" name="Text Box 192">
          <a:extLst>
            <a:ext uri="{FF2B5EF4-FFF2-40B4-BE49-F238E27FC236}">
              <a16:creationId xmlns:a16="http://schemas.microsoft.com/office/drawing/2014/main" id="{9108A8E3-66B1-4B1D-932E-40A782ADD49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2968" name="Text Box 192">
          <a:extLst>
            <a:ext uri="{FF2B5EF4-FFF2-40B4-BE49-F238E27FC236}">
              <a16:creationId xmlns:a16="http://schemas.microsoft.com/office/drawing/2014/main" id="{A5857C34-3BFA-4D10-A675-F27786970AE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2969" name="Text Box 192">
          <a:extLst>
            <a:ext uri="{FF2B5EF4-FFF2-40B4-BE49-F238E27FC236}">
              <a16:creationId xmlns:a16="http://schemas.microsoft.com/office/drawing/2014/main" id="{0EED9246-1CBA-4AC5-86E2-29248745C8F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2970" name="Text Box 192">
          <a:extLst>
            <a:ext uri="{FF2B5EF4-FFF2-40B4-BE49-F238E27FC236}">
              <a16:creationId xmlns:a16="http://schemas.microsoft.com/office/drawing/2014/main" id="{B4F99DA7-A910-468A-BA25-7BBDB389B99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2971" name="Text Box 192">
          <a:extLst>
            <a:ext uri="{FF2B5EF4-FFF2-40B4-BE49-F238E27FC236}">
              <a16:creationId xmlns:a16="http://schemas.microsoft.com/office/drawing/2014/main" id="{36F71D63-6C60-40D1-9A2B-197064A2DA7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2972" name="Text Box 192">
          <a:extLst>
            <a:ext uri="{FF2B5EF4-FFF2-40B4-BE49-F238E27FC236}">
              <a16:creationId xmlns:a16="http://schemas.microsoft.com/office/drawing/2014/main" id="{6000A8E5-6A28-4524-B078-D29B0948063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2973" name="Text Box 192">
          <a:extLst>
            <a:ext uri="{FF2B5EF4-FFF2-40B4-BE49-F238E27FC236}">
              <a16:creationId xmlns:a16="http://schemas.microsoft.com/office/drawing/2014/main" id="{35E20198-D555-4CD0-9E96-A465936A627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2974" name="Text Box 192">
          <a:extLst>
            <a:ext uri="{FF2B5EF4-FFF2-40B4-BE49-F238E27FC236}">
              <a16:creationId xmlns:a16="http://schemas.microsoft.com/office/drawing/2014/main" id="{97C5C50B-22EF-48E6-9825-851AC111A17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69</xdr:row>
      <xdr:rowOff>0</xdr:rowOff>
    </xdr:from>
    <xdr:ext cx="10372" cy="228955"/>
    <xdr:sp macro="" textlink="">
      <xdr:nvSpPr>
        <xdr:cNvPr id="2975" name="Text Box 192">
          <a:extLst>
            <a:ext uri="{FF2B5EF4-FFF2-40B4-BE49-F238E27FC236}">
              <a16:creationId xmlns:a16="http://schemas.microsoft.com/office/drawing/2014/main" id="{180F8DB1-6C76-4531-A2B4-9E09C9359E0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2976" name="Text Box 192">
          <a:extLst>
            <a:ext uri="{FF2B5EF4-FFF2-40B4-BE49-F238E27FC236}">
              <a16:creationId xmlns:a16="http://schemas.microsoft.com/office/drawing/2014/main" id="{BAF77245-C503-442D-AFD5-F9A789B29C5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2977" name="Text Box 192">
          <a:extLst>
            <a:ext uri="{FF2B5EF4-FFF2-40B4-BE49-F238E27FC236}">
              <a16:creationId xmlns:a16="http://schemas.microsoft.com/office/drawing/2014/main" id="{FC092C6D-C3E4-4D23-96D4-EA717881D10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2978" name="Text Box 192">
          <a:extLst>
            <a:ext uri="{FF2B5EF4-FFF2-40B4-BE49-F238E27FC236}">
              <a16:creationId xmlns:a16="http://schemas.microsoft.com/office/drawing/2014/main" id="{C0DC8028-970D-4ED9-ABD1-6DC6B48BD6A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2979" name="Text Box 192">
          <a:extLst>
            <a:ext uri="{FF2B5EF4-FFF2-40B4-BE49-F238E27FC236}">
              <a16:creationId xmlns:a16="http://schemas.microsoft.com/office/drawing/2014/main" id="{370AF6B4-1540-4105-8EC7-72B03E3ABD9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2980" name="Text Box 192">
          <a:extLst>
            <a:ext uri="{FF2B5EF4-FFF2-40B4-BE49-F238E27FC236}">
              <a16:creationId xmlns:a16="http://schemas.microsoft.com/office/drawing/2014/main" id="{CB399DFC-C7B0-49B8-AAE6-943BDDC8518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2981" name="Text Box 192">
          <a:extLst>
            <a:ext uri="{FF2B5EF4-FFF2-40B4-BE49-F238E27FC236}">
              <a16:creationId xmlns:a16="http://schemas.microsoft.com/office/drawing/2014/main" id="{0A8EFC26-E358-4992-BD88-A030C6DD9AE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2982" name="Text Box 192">
          <a:extLst>
            <a:ext uri="{FF2B5EF4-FFF2-40B4-BE49-F238E27FC236}">
              <a16:creationId xmlns:a16="http://schemas.microsoft.com/office/drawing/2014/main" id="{A35C55FD-0442-4C75-A0B7-EC57BFBEAD7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2983" name="Text Box 192">
          <a:extLst>
            <a:ext uri="{FF2B5EF4-FFF2-40B4-BE49-F238E27FC236}">
              <a16:creationId xmlns:a16="http://schemas.microsoft.com/office/drawing/2014/main" id="{7D1139AB-26FD-4B8C-B0DE-64892F4E620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70</xdr:row>
      <xdr:rowOff>0</xdr:rowOff>
    </xdr:from>
    <xdr:ext cx="10372" cy="228955"/>
    <xdr:sp macro="" textlink="">
      <xdr:nvSpPr>
        <xdr:cNvPr id="2984" name="Text Box 192">
          <a:extLst>
            <a:ext uri="{FF2B5EF4-FFF2-40B4-BE49-F238E27FC236}">
              <a16:creationId xmlns:a16="http://schemas.microsoft.com/office/drawing/2014/main" id="{48E245A2-BFE8-453D-A6EC-73E4E3051E0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2985" name="Text Box 192">
          <a:extLst>
            <a:ext uri="{FF2B5EF4-FFF2-40B4-BE49-F238E27FC236}">
              <a16:creationId xmlns:a16="http://schemas.microsoft.com/office/drawing/2014/main" id="{D3CA9705-0BCB-4D57-AAF9-A274D7977A5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2986" name="Text Box 192">
          <a:extLst>
            <a:ext uri="{FF2B5EF4-FFF2-40B4-BE49-F238E27FC236}">
              <a16:creationId xmlns:a16="http://schemas.microsoft.com/office/drawing/2014/main" id="{77F30855-416D-45C0-A7AE-8BB5E2FBF66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2987" name="Text Box 192">
          <a:extLst>
            <a:ext uri="{FF2B5EF4-FFF2-40B4-BE49-F238E27FC236}">
              <a16:creationId xmlns:a16="http://schemas.microsoft.com/office/drawing/2014/main" id="{157B4C4D-FA1B-4502-B762-726AD217A26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2988" name="Text Box 192">
          <a:extLst>
            <a:ext uri="{FF2B5EF4-FFF2-40B4-BE49-F238E27FC236}">
              <a16:creationId xmlns:a16="http://schemas.microsoft.com/office/drawing/2014/main" id="{5858F6AF-F75A-4B64-AE8D-2E29A641800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2989" name="Text Box 192">
          <a:extLst>
            <a:ext uri="{FF2B5EF4-FFF2-40B4-BE49-F238E27FC236}">
              <a16:creationId xmlns:a16="http://schemas.microsoft.com/office/drawing/2014/main" id="{1ACDBF7D-DD66-4B5B-B3E8-38F9D6BD6CF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71</xdr:row>
      <xdr:rowOff>0</xdr:rowOff>
    </xdr:from>
    <xdr:ext cx="10372" cy="228955"/>
    <xdr:sp macro="" textlink="">
      <xdr:nvSpPr>
        <xdr:cNvPr id="2990" name="Text Box 192">
          <a:extLst>
            <a:ext uri="{FF2B5EF4-FFF2-40B4-BE49-F238E27FC236}">
              <a16:creationId xmlns:a16="http://schemas.microsoft.com/office/drawing/2014/main" id="{DFE73078-3963-4A98-87EB-6E4E372C3FE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73</xdr:row>
      <xdr:rowOff>0</xdr:rowOff>
    </xdr:from>
    <xdr:ext cx="10372" cy="228955"/>
    <xdr:sp macro="" textlink="">
      <xdr:nvSpPr>
        <xdr:cNvPr id="2991" name="Text Box 192">
          <a:extLst>
            <a:ext uri="{FF2B5EF4-FFF2-40B4-BE49-F238E27FC236}">
              <a16:creationId xmlns:a16="http://schemas.microsoft.com/office/drawing/2014/main" id="{73DAAAC2-3799-4F28-8305-4856E8EB00A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2992" name="Text Box 192">
          <a:extLst>
            <a:ext uri="{FF2B5EF4-FFF2-40B4-BE49-F238E27FC236}">
              <a16:creationId xmlns:a16="http://schemas.microsoft.com/office/drawing/2014/main" id="{AAB87E1F-E501-42D4-9F48-215341910A8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73</xdr:row>
      <xdr:rowOff>0</xdr:rowOff>
    </xdr:from>
    <xdr:ext cx="10372" cy="228955"/>
    <xdr:sp macro="" textlink="">
      <xdr:nvSpPr>
        <xdr:cNvPr id="2993" name="Text Box 192">
          <a:extLst>
            <a:ext uri="{FF2B5EF4-FFF2-40B4-BE49-F238E27FC236}">
              <a16:creationId xmlns:a16="http://schemas.microsoft.com/office/drawing/2014/main" id="{E8749D3C-B6F3-41DF-BA57-410928F8851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2994" name="Text Box 192">
          <a:extLst>
            <a:ext uri="{FF2B5EF4-FFF2-40B4-BE49-F238E27FC236}">
              <a16:creationId xmlns:a16="http://schemas.microsoft.com/office/drawing/2014/main" id="{B8214DE4-3176-4EC8-8027-534A7669796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2995" name="Text Box 192">
          <a:extLst>
            <a:ext uri="{FF2B5EF4-FFF2-40B4-BE49-F238E27FC236}">
              <a16:creationId xmlns:a16="http://schemas.microsoft.com/office/drawing/2014/main" id="{70291418-5E5B-407F-BE41-1DC4B1E2CA8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2996" name="Text Box 192">
          <a:extLst>
            <a:ext uri="{FF2B5EF4-FFF2-40B4-BE49-F238E27FC236}">
              <a16:creationId xmlns:a16="http://schemas.microsoft.com/office/drawing/2014/main" id="{81CB0EC3-60B8-4103-9EA1-2B198F90E1B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2997" name="Text Box 192">
          <a:extLst>
            <a:ext uri="{FF2B5EF4-FFF2-40B4-BE49-F238E27FC236}">
              <a16:creationId xmlns:a16="http://schemas.microsoft.com/office/drawing/2014/main" id="{058E00B8-B339-4F63-BC39-AD45BE83944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2998" name="Text Box 192">
          <a:extLst>
            <a:ext uri="{FF2B5EF4-FFF2-40B4-BE49-F238E27FC236}">
              <a16:creationId xmlns:a16="http://schemas.microsoft.com/office/drawing/2014/main" id="{7D8F6388-6CAC-45E9-BB01-F6276A5262B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74</xdr:row>
      <xdr:rowOff>0</xdr:rowOff>
    </xdr:from>
    <xdr:ext cx="10372" cy="228955"/>
    <xdr:sp macro="" textlink="">
      <xdr:nvSpPr>
        <xdr:cNvPr id="2999" name="Text Box 192">
          <a:extLst>
            <a:ext uri="{FF2B5EF4-FFF2-40B4-BE49-F238E27FC236}">
              <a16:creationId xmlns:a16="http://schemas.microsoft.com/office/drawing/2014/main" id="{B6069E54-3922-42D2-9221-AE4760EC69B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76</xdr:row>
      <xdr:rowOff>0</xdr:rowOff>
    </xdr:from>
    <xdr:ext cx="10372" cy="228955"/>
    <xdr:sp macro="" textlink="">
      <xdr:nvSpPr>
        <xdr:cNvPr id="3000" name="Text Box 192">
          <a:extLst>
            <a:ext uri="{FF2B5EF4-FFF2-40B4-BE49-F238E27FC236}">
              <a16:creationId xmlns:a16="http://schemas.microsoft.com/office/drawing/2014/main" id="{F38B8F9D-F88C-4D06-BCE1-D2328EA7B75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3001" name="Text Box 192">
          <a:extLst>
            <a:ext uri="{FF2B5EF4-FFF2-40B4-BE49-F238E27FC236}">
              <a16:creationId xmlns:a16="http://schemas.microsoft.com/office/drawing/2014/main" id="{E5D31186-6A32-4DDE-9D20-BB42A4082D7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76</xdr:row>
      <xdr:rowOff>0</xdr:rowOff>
    </xdr:from>
    <xdr:ext cx="10372" cy="228955"/>
    <xdr:sp macro="" textlink="">
      <xdr:nvSpPr>
        <xdr:cNvPr id="3002" name="Text Box 192">
          <a:extLst>
            <a:ext uri="{FF2B5EF4-FFF2-40B4-BE49-F238E27FC236}">
              <a16:creationId xmlns:a16="http://schemas.microsoft.com/office/drawing/2014/main" id="{9F54AB29-48DA-44AB-81B6-DB0F6A029E9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3003" name="Text Box 192">
          <a:extLst>
            <a:ext uri="{FF2B5EF4-FFF2-40B4-BE49-F238E27FC236}">
              <a16:creationId xmlns:a16="http://schemas.microsoft.com/office/drawing/2014/main" id="{66A7B6D9-C7F2-45DF-BBCB-4B0B8523D86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3004" name="Text Box 192">
          <a:extLst>
            <a:ext uri="{FF2B5EF4-FFF2-40B4-BE49-F238E27FC236}">
              <a16:creationId xmlns:a16="http://schemas.microsoft.com/office/drawing/2014/main" id="{59377FCC-2022-4FAB-9825-7999A38158A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3005" name="Text Box 192">
          <a:extLst>
            <a:ext uri="{FF2B5EF4-FFF2-40B4-BE49-F238E27FC236}">
              <a16:creationId xmlns:a16="http://schemas.microsoft.com/office/drawing/2014/main" id="{9549E5EC-DD77-4EE9-9179-75D806F6595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3006" name="Text Box 192">
          <a:extLst>
            <a:ext uri="{FF2B5EF4-FFF2-40B4-BE49-F238E27FC236}">
              <a16:creationId xmlns:a16="http://schemas.microsoft.com/office/drawing/2014/main" id="{7A70465A-F4AA-4B79-93D8-BD15A5A462C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3007" name="Text Box 192">
          <a:extLst>
            <a:ext uri="{FF2B5EF4-FFF2-40B4-BE49-F238E27FC236}">
              <a16:creationId xmlns:a16="http://schemas.microsoft.com/office/drawing/2014/main" id="{0DC6498D-279E-4269-B393-B021705F146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3008" name="Text Box 192">
          <a:extLst>
            <a:ext uri="{FF2B5EF4-FFF2-40B4-BE49-F238E27FC236}">
              <a16:creationId xmlns:a16="http://schemas.microsoft.com/office/drawing/2014/main" id="{FAFFE9A6-0344-48CB-A2B0-72C673E798C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3009" name="Text Box 192">
          <a:extLst>
            <a:ext uri="{FF2B5EF4-FFF2-40B4-BE49-F238E27FC236}">
              <a16:creationId xmlns:a16="http://schemas.microsoft.com/office/drawing/2014/main" id="{5BD84490-8D00-40F6-91E0-606EA2B8868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3010" name="Text Box 192">
          <a:extLst>
            <a:ext uri="{FF2B5EF4-FFF2-40B4-BE49-F238E27FC236}">
              <a16:creationId xmlns:a16="http://schemas.microsoft.com/office/drawing/2014/main" id="{91DEC78F-4433-4C23-9DA4-4A594943E03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77</xdr:row>
      <xdr:rowOff>0</xdr:rowOff>
    </xdr:from>
    <xdr:ext cx="10372" cy="228955"/>
    <xdr:sp macro="" textlink="">
      <xdr:nvSpPr>
        <xdr:cNvPr id="3011" name="Text Box 192">
          <a:extLst>
            <a:ext uri="{FF2B5EF4-FFF2-40B4-BE49-F238E27FC236}">
              <a16:creationId xmlns:a16="http://schemas.microsoft.com/office/drawing/2014/main" id="{28D1268E-764A-45EC-BDA8-E7BBBC8AF0A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3012" name="Text Box 192">
          <a:extLst>
            <a:ext uri="{FF2B5EF4-FFF2-40B4-BE49-F238E27FC236}">
              <a16:creationId xmlns:a16="http://schemas.microsoft.com/office/drawing/2014/main" id="{6C95AF4E-C339-4D30-86F1-8E097F0418D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3013" name="Text Box 192">
          <a:extLst>
            <a:ext uri="{FF2B5EF4-FFF2-40B4-BE49-F238E27FC236}">
              <a16:creationId xmlns:a16="http://schemas.microsoft.com/office/drawing/2014/main" id="{F6B4A61B-E361-4134-BA2B-982A3A73E77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3014" name="Text Box 192">
          <a:extLst>
            <a:ext uri="{FF2B5EF4-FFF2-40B4-BE49-F238E27FC236}">
              <a16:creationId xmlns:a16="http://schemas.microsoft.com/office/drawing/2014/main" id="{D000409D-8E30-4779-92B4-FE51B7F9D80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3015" name="Text Box 192">
          <a:extLst>
            <a:ext uri="{FF2B5EF4-FFF2-40B4-BE49-F238E27FC236}">
              <a16:creationId xmlns:a16="http://schemas.microsoft.com/office/drawing/2014/main" id="{D5613953-C1CC-4AD6-BFF4-6458F16BBA3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3016" name="Text Box 192">
          <a:extLst>
            <a:ext uri="{FF2B5EF4-FFF2-40B4-BE49-F238E27FC236}">
              <a16:creationId xmlns:a16="http://schemas.microsoft.com/office/drawing/2014/main" id="{3D14C48A-7F6D-4D38-932F-0A91F74E5B0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78</xdr:row>
      <xdr:rowOff>0</xdr:rowOff>
    </xdr:from>
    <xdr:ext cx="10372" cy="228955"/>
    <xdr:sp macro="" textlink="">
      <xdr:nvSpPr>
        <xdr:cNvPr id="3017" name="Text Box 192">
          <a:extLst>
            <a:ext uri="{FF2B5EF4-FFF2-40B4-BE49-F238E27FC236}">
              <a16:creationId xmlns:a16="http://schemas.microsoft.com/office/drawing/2014/main" id="{39C9C209-733C-4687-9991-2E74FFDD483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80</xdr:row>
      <xdr:rowOff>0</xdr:rowOff>
    </xdr:from>
    <xdr:ext cx="10372" cy="228955"/>
    <xdr:sp macro="" textlink="">
      <xdr:nvSpPr>
        <xdr:cNvPr id="3018" name="Text Box 192">
          <a:extLst>
            <a:ext uri="{FF2B5EF4-FFF2-40B4-BE49-F238E27FC236}">
              <a16:creationId xmlns:a16="http://schemas.microsoft.com/office/drawing/2014/main" id="{CE74BE76-90F7-4524-B7A1-31BD1D7D12E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3019" name="Text Box 192">
          <a:extLst>
            <a:ext uri="{FF2B5EF4-FFF2-40B4-BE49-F238E27FC236}">
              <a16:creationId xmlns:a16="http://schemas.microsoft.com/office/drawing/2014/main" id="{F390CD75-8DD0-499A-A6B7-9294F88B407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80</xdr:row>
      <xdr:rowOff>0</xdr:rowOff>
    </xdr:from>
    <xdr:ext cx="10372" cy="228955"/>
    <xdr:sp macro="" textlink="">
      <xdr:nvSpPr>
        <xdr:cNvPr id="3020" name="Text Box 192">
          <a:extLst>
            <a:ext uri="{FF2B5EF4-FFF2-40B4-BE49-F238E27FC236}">
              <a16:creationId xmlns:a16="http://schemas.microsoft.com/office/drawing/2014/main" id="{16239E7C-838E-4ADD-9B07-2F609D1F06D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3021" name="Text Box 192">
          <a:extLst>
            <a:ext uri="{FF2B5EF4-FFF2-40B4-BE49-F238E27FC236}">
              <a16:creationId xmlns:a16="http://schemas.microsoft.com/office/drawing/2014/main" id="{A37656BB-F26A-4AF1-80A9-7BEAF1F2FDE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3022" name="Text Box 192">
          <a:extLst>
            <a:ext uri="{FF2B5EF4-FFF2-40B4-BE49-F238E27FC236}">
              <a16:creationId xmlns:a16="http://schemas.microsoft.com/office/drawing/2014/main" id="{6A065FFB-6C71-41A3-B2F4-7FBF20C3526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3023" name="Text Box 192">
          <a:extLst>
            <a:ext uri="{FF2B5EF4-FFF2-40B4-BE49-F238E27FC236}">
              <a16:creationId xmlns:a16="http://schemas.microsoft.com/office/drawing/2014/main" id="{5AFC92C2-5634-4455-89A7-CABB4387AAA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3024" name="Text Box 192">
          <a:extLst>
            <a:ext uri="{FF2B5EF4-FFF2-40B4-BE49-F238E27FC236}">
              <a16:creationId xmlns:a16="http://schemas.microsoft.com/office/drawing/2014/main" id="{FF4864E9-72C7-496B-B095-84CD2C37B66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3025" name="Text Box 192">
          <a:extLst>
            <a:ext uri="{FF2B5EF4-FFF2-40B4-BE49-F238E27FC236}">
              <a16:creationId xmlns:a16="http://schemas.microsoft.com/office/drawing/2014/main" id="{E9A5E98D-B1BB-4AAE-B5E1-561107DF425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3026" name="Text Box 192">
          <a:extLst>
            <a:ext uri="{FF2B5EF4-FFF2-40B4-BE49-F238E27FC236}">
              <a16:creationId xmlns:a16="http://schemas.microsoft.com/office/drawing/2014/main" id="{72287053-4BBC-432C-8911-3223F263427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3027" name="Text Box 192">
          <a:extLst>
            <a:ext uri="{FF2B5EF4-FFF2-40B4-BE49-F238E27FC236}">
              <a16:creationId xmlns:a16="http://schemas.microsoft.com/office/drawing/2014/main" id="{37600E75-A7D8-4F23-8A7A-29242A9D34F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3028" name="Text Box 192">
          <a:extLst>
            <a:ext uri="{FF2B5EF4-FFF2-40B4-BE49-F238E27FC236}">
              <a16:creationId xmlns:a16="http://schemas.microsoft.com/office/drawing/2014/main" id="{AC0DB9FD-C754-4C58-AFE1-7C9669CB0F5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81</xdr:row>
      <xdr:rowOff>0</xdr:rowOff>
    </xdr:from>
    <xdr:ext cx="10372" cy="228955"/>
    <xdr:sp macro="" textlink="">
      <xdr:nvSpPr>
        <xdr:cNvPr id="3029" name="Text Box 192">
          <a:extLst>
            <a:ext uri="{FF2B5EF4-FFF2-40B4-BE49-F238E27FC236}">
              <a16:creationId xmlns:a16="http://schemas.microsoft.com/office/drawing/2014/main" id="{12DB7DC0-4BE2-4E36-91AE-9D97CE81428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3030" name="Text Box 192">
          <a:extLst>
            <a:ext uri="{FF2B5EF4-FFF2-40B4-BE49-F238E27FC236}">
              <a16:creationId xmlns:a16="http://schemas.microsoft.com/office/drawing/2014/main" id="{6CE5A4CF-F404-467F-944D-24FACA23E25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3031" name="Text Box 192">
          <a:extLst>
            <a:ext uri="{FF2B5EF4-FFF2-40B4-BE49-F238E27FC236}">
              <a16:creationId xmlns:a16="http://schemas.microsoft.com/office/drawing/2014/main" id="{0A8389D7-F2E9-4F36-9E07-1ED24BD5A95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3032" name="Text Box 192">
          <a:extLst>
            <a:ext uri="{FF2B5EF4-FFF2-40B4-BE49-F238E27FC236}">
              <a16:creationId xmlns:a16="http://schemas.microsoft.com/office/drawing/2014/main" id="{3B224ACB-54DD-426B-8040-9DDFF554C46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3033" name="Text Box 192">
          <a:extLst>
            <a:ext uri="{FF2B5EF4-FFF2-40B4-BE49-F238E27FC236}">
              <a16:creationId xmlns:a16="http://schemas.microsoft.com/office/drawing/2014/main" id="{9C80D5D8-E893-436E-84AF-191229454A0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3034" name="Text Box 192">
          <a:extLst>
            <a:ext uri="{FF2B5EF4-FFF2-40B4-BE49-F238E27FC236}">
              <a16:creationId xmlns:a16="http://schemas.microsoft.com/office/drawing/2014/main" id="{EB6CFCC2-FD50-49E5-A297-20589897FAE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82</xdr:row>
      <xdr:rowOff>0</xdr:rowOff>
    </xdr:from>
    <xdr:ext cx="10372" cy="228955"/>
    <xdr:sp macro="" textlink="">
      <xdr:nvSpPr>
        <xdr:cNvPr id="3035" name="Text Box 192">
          <a:extLst>
            <a:ext uri="{FF2B5EF4-FFF2-40B4-BE49-F238E27FC236}">
              <a16:creationId xmlns:a16="http://schemas.microsoft.com/office/drawing/2014/main" id="{B4FB20AB-1CC9-4F2F-8D0A-35479A38A57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85</xdr:row>
      <xdr:rowOff>0</xdr:rowOff>
    </xdr:from>
    <xdr:ext cx="10372" cy="228955"/>
    <xdr:sp macro="" textlink="">
      <xdr:nvSpPr>
        <xdr:cNvPr id="3036" name="Text Box 192">
          <a:extLst>
            <a:ext uri="{FF2B5EF4-FFF2-40B4-BE49-F238E27FC236}">
              <a16:creationId xmlns:a16="http://schemas.microsoft.com/office/drawing/2014/main" id="{D6928BFE-542F-4968-88BD-48A1F5BF6F1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3037" name="Text Box 192">
          <a:extLst>
            <a:ext uri="{FF2B5EF4-FFF2-40B4-BE49-F238E27FC236}">
              <a16:creationId xmlns:a16="http://schemas.microsoft.com/office/drawing/2014/main" id="{F6E97825-E1F1-4711-BCF7-784DD7CD9A0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85</xdr:row>
      <xdr:rowOff>0</xdr:rowOff>
    </xdr:from>
    <xdr:ext cx="10372" cy="228955"/>
    <xdr:sp macro="" textlink="">
      <xdr:nvSpPr>
        <xdr:cNvPr id="3038" name="Text Box 192">
          <a:extLst>
            <a:ext uri="{FF2B5EF4-FFF2-40B4-BE49-F238E27FC236}">
              <a16:creationId xmlns:a16="http://schemas.microsoft.com/office/drawing/2014/main" id="{8052E1E8-59AC-4251-B388-D5DF455924D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3039" name="Text Box 192">
          <a:extLst>
            <a:ext uri="{FF2B5EF4-FFF2-40B4-BE49-F238E27FC236}">
              <a16:creationId xmlns:a16="http://schemas.microsoft.com/office/drawing/2014/main" id="{4B626C8F-CC00-4C42-8701-E25EC9AC1AF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3040" name="Text Box 192">
          <a:extLst>
            <a:ext uri="{FF2B5EF4-FFF2-40B4-BE49-F238E27FC236}">
              <a16:creationId xmlns:a16="http://schemas.microsoft.com/office/drawing/2014/main" id="{B3EC2A1D-F2B4-4E4C-B7F6-B0C6A4D96DD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3041" name="Text Box 192">
          <a:extLst>
            <a:ext uri="{FF2B5EF4-FFF2-40B4-BE49-F238E27FC236}">
              <a16:creationId xmlns:a16="http://schemas.microsoft.com/office/drawing/2014/main" id="{7195F9E6-7DC6-49E6-B2A8-02E1C7F1293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3042" name="Text Box 192">
          <a:extLst>
            <a:ext uri="{FF2B5EF4-FFF2-40B4-BE49-F238E27FC236}">
              <a16:creationId xmlns:a16="http://schemas.microsoft.com/office/drawing/2014/main" id="{0BD854E0-2B8B-46AA-B23E-7D806437BDC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3043" name="Text Box 192">
          <a:extLst>
            <a:ext uri="{FF2B5EF4-FFF2-40B4-BE49-F238E27FC236}">
              <a16:creationId xmlns:a16="http://schemas.microsoft.com/office/drawing/2014/main" id="{FE6BC41F-08A5-46F0-AEF8-366048272EC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3044" name="Text Box 192">
          <a:extLst>
            <a:ext uri="{FF2B5EF4-FFF2-40B4-BE49-F238E27FC236}">
              <a16:creationId xmlns:a16="http://schemas.microsoft.com/office/drawing/2014/main" id="{2269A6DC-D80A-44EE-B2E7-B95C688346D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3045" name="Text Box 192">
          <a:extLst>
            <a:ext uri="{FF2B5EF4-FFF2-40B4-BE49-F238E27FC236}">
              <a16:creationId xmlns:a16="http://schemas.microsoft.com/office/drawing/2014/main" id="{AD903091-76FD-4D13-8960-892FC39AB07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3046" name="Text Box 192">
          <a:extLst>
            <a:ext uri="{FF2B5EF4-FFF2-40B4-BE49-F238E27FC236}">
              <a16:creationId xmlns:a16="http://schemas.microsoft.com/office/drawing/2014/main" id="{75AE1AE8-E9DD-4CA5-8A10-EC811B0E4EA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86</xdr:row>
      <xdr:rowOff>0</xdr:rowOff>
    </xdr:from>
    <xdr:ext cx="10372" cy="228955"/>
    <xdr:sp macro="" textlink="">
      <xdr:nvSpPr>
        <xdr:cNvPr id="3047" name="Text Box 192">
          <a:extLst>
            <a:ext uri="{FF2B5EF4-FFF2-40B4-BE49-F238E27FC236}">
              <a16:creationId xmlns:a16="http://schemas.microsoft.com/office/drawing/2014/main" id="{615EBAFC-8C3F-4141-9F7B-48462529231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3048" name="Text Box 192">
          <a:extLst>
            <a:ext uri="{FF2B5EF4-FFF2-40B4-BE49-F238E27FC236}">
              <a16:creationId xmlns:a16="http://schemas.microsoft.com/office/drawing/2014/main" id="{3BE30166-89DB-46A3-B58D-2CCD3288CCE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3049" name="Text Box 192">
          <a:extLst>
            <a:ext uri="{FF2B5EF4-FFF2-40B4-BE49-F238E27FC236}">
              <a16:creationId xmlns:a16="http://schemas.microsoft.com/office/drawing/2014/main" id="{60AFDF67-F33C-46DB-980F-C3041B81BDA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3050" name="Text Box 192">
          <a:extLst>
            <a:ext uri="{FF2B5EF4-FFF2-40B4-BE49-F238E27FC236}">
              <a16:creationId xmlns:a16="http://schemas.microsoft.com/office/drawing/2014/main" id="{15B4CCFE-CD90-4983-BBE0-E9B6370DE6D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3051" name="Text Box 192">
          <a:extLst>
            <a:ext uri="{FF2B5EF4-FFF2-40B4-BE49-F238E27FC236}">
              <a16:creationId xmlns:a16="http://schemas.microsoft.com/office/drawing/2014/main" id="{1F6B49F9-B6A3-48BF-B515-94E4DB2AA77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3052" name="Text Box 192">
          <a:extLst>
            <a:ext uri="{FF2B5EF4-FFF2-40B4-BE49-F238E27FC236}">
              <a16:creationId xmlns:a16="http://schemas.microsoft.com/office/drawing/2014/main" id="{485B6340-8ADF-4E9B-8D73-ADB2678E19F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3053" name="Text Box 192">
          <a:extLst>
            <a:ext uri="{FF2B5EF4-FFF2-40B4-BE49-F238E27FC236}">
              <a16:creationId xmlns:a16="http://schemas.microsoft.com/office/drawing/2014/main" id="{8F022235-797E-45EC-8CA2-4EC7E944A79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3054" name="Text Box 192">
          <a:extLst>
            <a:ext uri="{FF2B5EF4-FFF2-40B4-BE49-F238E27FC236}">
              <a16:creationId xmlns:a16="http://schemas.microsoft.com/office/drawing/2014/main" id="{FC74BE7A-9193-4138-BDBC-1420A9EF7C6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3055" name="Text Box 192">
          <a:extLst>
            <a:ext uri="{FF2B5EF4-FFF2-40B4-BE49-F238E27FC236}">
              <a16:creationId xmlns:a16="http://schemas.microsoft.com/office/drawing/2014/main" id="{83AEC380-5ECF-4169-8B27-D55AA9EA8FF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87</xdr:row>
      <xdr:rowOff>0</xdr:rowOff>
    </xdr:from>
    <xdr:ext cx="10372" cy="228955"/>
    <xdr:sp macro="" textlink="">
      <xdr:nvSpPr>
        <xdr:cNvPr id="3056" name="Text Box 192">
          <a:extLst>
            <a:ext uri="{FF2B5EF4-FFF2-40B4-BE49-F238E27FC236}">
              <a16:creationId xmlns:a16="http://schemas.microsoft.com/office/drawing/2014/main" id="{FBFDAEF8-54BB-4F41-8D64-11BD308AD47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3057" name="Text Box 192">
          <a:extLst>
            <a:ext uri="{FF2B5EF4-FFF2-40B4-BE49-F238E27FC236}">
              <a16:creationId xmlns:a16="http://schemas.microsoft.com/office/drawing/2014/main" id="{85D4F554-B95F-4416-A984-B916F7D6BBD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3058" name="Text Box 192">
          <a:extLst>
            <a:ext uri="{FF2B5EF4-FFF2-40B4-BE49-F238E27FC236}">
              <a16:creationId xmlns:a16="http://schemas.microsoft.com/office/drawing/2014/main" id="{D35301E8-6A07-459A-900E-65D43091179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3059" name="Text Box 192">
          <a:extLst>
            <a:ext uri="{FF2B5EF4-FFF2-40B4-BE49-F238E27FC236}">
              <a16:creationId xmlns:a16="http://schemas.microsoft.com/office/drawing/2014/main" id="{EBDAB3C0-AEF6-414F-8BFA-DCFCE78A152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3060" name="Text Box 192">
          <a:extLst>
            <a:ext uri="{FF2B5EF4-FFF2-40B4-BE49-F238E27FC236}">
              <a16:creationId xmlns:a16="http://schemas.microsoft.com/office/drawing/2014/main" id="{DF41D0BD-59F9-4ED5-B4D5-5B4456655A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3061" name="Text Box 192">
          <a:extLst>
            <a:ext uri="{FF2B5EF4-FFF2-40B4-BE49-F238E27FC236}">
              <a16:creationId xmlns:a16="http://schemas.microsoft.com/office/drawing/2014/main" id="{DD3E9616-4D42-4349-B2D2-34C30192A77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3062" name="Text Box 192">
          <a:extLst>
            <a:ext uri="{FF2B5EF4-FFF2-40B4-BE49-F238E27FC236}">
              <a16:creationId xmlns:a16="http://schemas.microsoft.com/office/drawing/2014/main" id="{CD40E70A-4415-4036-A542-1946CD933D8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3063" name="Text Box 192">
          <a:extLst>
            <a:ext uri="{FF2B5EF4-FFF2-40B4-BE49-F238E27FC236}">
              <a16:creationId xmlns:a16="http://schemas.microsoft.com/office/drawing/2014/main" id="{5FE3C1D8-94E6-45E7-97B7-03806CB2191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3064" name="Text Box 192">
          <a:extLst>
            <a:ext uri="{FF2B5EF4-FFF2-40B4-BE49-F238E27FC236}">
              <a16:creationId xmlns:a16="http://schemas.microsoft.com/office/drawing/2014/main" id="{4390B94B-81F4-405B-BD78-B62A75C31C7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88</xdr:row>
      <xdr:rowOff>0</xdr:rowOff>
    </xdr:from>
    <xdr:ext cx="10372" cy="228955"/>
    <xdr:sp macro="" textlink="">
      <xdr:nvSpPr>
        <xdr:cNvPr id="3065" name="Text Box 192">
          <a:extLst>
            <a:ext uri="{FF2B5EF4-FFF2-40B4-BE49-F238E27FC236}">
              <a16:creationId xmlns:a16="http://schemas.microsoft.com/office/drawing/2014/main" id="{DA9C5553-E3E3-48F6-A753-8F091792AB0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3066" name="Text Box 192">
          <a:extLst>
            <a:ext uri="{FF2B5EF4-FFF2-40B4-BE49-F238E27FC236}">
              <a16:creationId xmlns:a16="http://schemas.microsoft.com/office/drawing/2014/main" id="{BDD2BAEF-78CB-4F62-A8B6-F48E6E89AA1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3067" name="Text Box 192">
          <a:extLst>
            <a:ext uri="{FF2B5EF4-FFF2-40B4-BE49-F238E27FC236}">
              <a16:creationId xmlns:a16="http://schemas.microsoft.com/office/drawing/2014/main" id="{063CB9FF-43B7-4A99-984F-CA0B4ACB7B1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3068" name="Text Box 192">
          <a:extLst>
            <a:ext uri="{FF2B5EF4-FFF2-40B4-BE49-F238E27FC236}">
              <a16:creationId xmlns:a16="http://schemas.microsoft.com/office/drawing/2014/main" id="{1DB3E033-8C8A-42F6-98C7-E41D8A966E3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3069" name="Text Box 192">
          <a:extLst>
            <a:ext uri="{FF2B5EF4-FFF2-40B4-BE49-F238E27FC236}">
              <a16:creationId xmlns:a16="http://schemas.microsoft.com/office/drawing/2014/main" id="{4F961D6F-9183-437E-A777-6172FCDF93D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3070" name="Text Box 192">
          <a:extLst>
            <a:ext uri="{FF2B5EF4-FFF2-40B4-BE49-F238E27FC236}">
              <a16:creationId xmlns:a16="http://schemas.microsoft.com/office/drawing/2014/main" id="{14DFF1DA-54D9-474A-A564-74D48A8B42E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3071" name="Text Box 192">
          <a:extLst>
            <a:ext uri="{FF2B5EF4-FFF2-40B4-BE49-F238E27FC236}">
              <a16:creationId xmlns:a16="http://schemas.microsoft.com/office/drawing/2014/main" id="{BF58B50C-71A8-4195-9562-8F790F615E9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3072" name="Text Box 192">
          <a:extLst>
            <a:ext uri="{FF2B5EF4-FFF2-40B4-BE49-F238E27FC236}">
              <a16:creationId xmlns:a16="http://schemas.microsoft.com/office/drawing/2014/main" id="{C7EFC924-FE7B-49A2-8267-A5C1EFC83F4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3073" name="Text Box 192">
          <a:extLst>
            <a:ext uri="{FF2B5EF4-FFF2-40B4-BE49-F238E27FC236}">
              <a16:creationId xmlns:a16="http://schemas.microsoft.com/office/drawing/2014/main" id="{5A30CE37-5E8A-476A-B8C8-61A0CFB89E0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89</xdr:row>
      <xdr:rowOff>0</xdr:rowOff>
    </xdr:from>
    <xdr:ext cx="10372" cy="228955"/>
    <xdr:sp macro="" textlink="">
      <xdr:nvSpPr>
        <xdr:cNvPr id="3074" name="Text Box 192">
          <a:extLst>
            <a:ext uri="{FF2B5EF4-FFF2-40B4-BE49-F238E27FC236}">
              <a16:creationId xmlns:a16="http://schemas.microsoft.com/office/drawing/2014/main" id="{4F909952-91D5-48E0-BFB8-D14F5BBB795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3075" name="Text Box 192">
          <a:extLst>
            <a:ext uri="{FF2B5EF4-FFF2-40B4-BE49-F238E27FC236}">
              <a16:creationId xmlns:a16="http://schemas.microsoft.com/office/drawing/2014/main" id="{6DF8D319-5393-4976-90E2-C485860138A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3076" name="Text Box 192">
          <a:extLst>
            <a:ext uri="{FF2B5EF4-FFF2-40B4-BE49-F238E27FC236}">
              <a16:creationId xmlns:a16="http://schemas.microsoft.com/office/drawing/2014/main" id="{3F7573AE-A6BD-4412-B962-A23010D70BC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3077" name="Text Box 192">
          <a:extLst>
            <a:ext uri="{FF2B5EF4-FFF2-40B4-BE49-F238E27FC236}">
              <a16:creationId xmlns:a16="http://schemas.microsoft.com/office/drawing/2014/main" id="{790D6261-3F71-4A58-9E5A-5B2B890F52A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3078" name="Text Box 192">
          <a:extLst>
            <a:ext uri="{FF2B5EF4-FFF2-40B4-BE49-F238E27FC236}">
              <a16:creationId xmlns:a16="http://schemas.microsoft.com/office/drawing/2014/main" id="{DB0F4E07-E07E-4FEF-AA6A-C45A0770205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3079" name="Text Box 192">
          <a:extLst>
            <a:ext uri="{FF2B5EF4-FFF2-40B4-BE49-F238E27FC236}">
              <a16:creationId xmlns:a16="http://schemas.microsoft.com/office/drawing/2014/main" id="{ADF15FD1-FFD3-4734-8254-D99A920F5E8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3080" name="Text Box 192">
          <a:extLst>
            <a:ext uri="{FF2B5EF4-FFF2-40B4-BE49-F238E27FC236}">
              <a16:creationId xmlns:a16="http://schemas.microsoft.com/office/drawing/2014/main" id="{DA41FB20-35F0-481B-A8CF-046B638F3C4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3081" name="Text Box 192">
          <a:extLst>
            <a:ext uri="{FF2B5EF4-FFF2-40B4-BE49-F238E27FC236}">
              <a16:creationId xmlns:a16="http://schemas.microsoft.com/office/drawing/2014/main" id="{4D31CC8D-36CC-4B62-BC68-99579F315B1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3082" name="Text Box 192">
          <a:extLst>
            <a:ext uri="{FF2B5EF4-FFF2-40B4-BE49-F238E27FC236}">
              <a16:creationId xmlns:a16="http://schemas.microsoft.com/office/drawing/2014/main" id="{2BD56C54-B211-48BC-A3C8-B34F98DC2D3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90</xdr:row>
      <xdr:rowOff>0</xdr:rowOff>
    </xdr:from>
    <xdr:ext cx="10372" cy="228955"/>
    <xdr:sp macro="" textlink="">
      <xdr:nvSpPr>
        <xdr:cNvPr id="3083" name="Text Box 192">
          <a:extLst>
            <a:ext uri="{FF2B5EF4-FFF2-40B4-BE49-F238E27FC236}">
              <a16:creationId xmlns:a16="http://schemas.microsoft.com/office/drawing/2014/main" id="{E0D64F10-89FC-4BCD-A376-48F7D0C11D2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3084" name="Text Box 192">
          <a:extLst>
            <a:ext uri="{FF2B5EF4-FFF2-40B4-BE49-F238E27FC236}">
              <a16:creationId xmlns:a16="http://schemas.microsoft.com/office/drawing/2014/main" id="{13384985-5B76-456F-B8C4-FECE6A452F2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3085" name="Text Box 192">
          <a:extLst>
            <a:ext uri="{FF2B5EF4-FFF2-40B4-BE49-F238E27FC236}">
              <a16:creationId xmlns:a16="http://schemas.microsoft.com/office/drawing/2014/main" id="{6E0E199B-CC32-40AA-BE77-D3C248B66AB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3086" name="Text Box 192">
          <a:extLst>
            <a:ext uri="{FF2B5EF4-FFF2-40B4-BE49-F238E27FC236}">
              <a16:creationId xmlns:a16="http://schemas.microsoft.com/office/drawing/2014/main" id="{B063FFF9-6C8A-4400-915D-76FA385ED4C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3087" name="Text Box 192">
          <a:extLst>
            <a:ext uri="{FF2B5EF4-FFF2-40B4-BE49-F238E27FC236}">
              <a16:creationId xmlns:a16="http://schemas.microsoft.com/office/drawing/2014/main" id="{5DEF461C-6FF3-47BA-93A1-494173346BA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3088" name="Text Box 192">
          <a:extLst>
            <a:ext uri="{FF2B5EF4-FFF2-40B4-BE49-F238E27FC236}">
              <a16:creationId xmlns:a16="http://schemas.microsoft.com/office/drawing/2014/main" id="{51C68C22-6CA9-42D9-9BD8-EDE34A7D739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3089" name="Text Box 192">
          <a:extLst>
            <a:ext uri="{FF2B5EF4-FFF2-40B4-BE49-F238E27FC236}">
              <a16:creationId xmlns:a16="http://schemas.microsoft.com/office/drawing/2014/main" id="{1CC685E6-22AA-468F-A851-96A85666170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3090" name="Text Box 192">
          <a:extLst>
            <a:ext uri="{FF2B5EF4-FFF2-40B4-BE49-F238E27FC236}">
              <a16:creationId xmlns:a16="http://schemas.microsoft.com/office/drawing/2014/main" id="{2B04CF9E-5F96-4A9A-A858-05C591F4E8C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3091" name="Text Box 192">
          <a:extLst>
            <a:ext uri="{FF2B5EF4-FFF2-40B4-BE49-F238E27FC236}">
              <a16:creationId xmlns:a16="http://schemas.microsoft.com/office/drawing/2014/main" id="{1FAC9B81-2E1F-46A7-83FD-76E7105BBCB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91</xdr:row>
      <xdr:rowOff>0</xdr:rowOff>
    </xdr:from>
    <xdr:ext cx="10372" cy="228955"/>
    <xdr:sp macro="" textlink="">
      <xdr:nvSpPr>
        <xdr:cNvPr id="3092" name="Text Box 192">
          <a:extLst>
            <a:ext uri="{FF2B5EF4-FFF2-40B4-BE49-F238E27FC236}">
              <a16:creationId xmlns:a16="http://schemas.microsoft.com/office/drawing/2014/main" id="{D8E62859-665B-4F09-8EE0-BC7918562F0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3093" name="Text Box 192">
          <a:extLst>
            <a:ext uri="{FF2B5EF4-FFF2-40B4-BE49-F238E27FC236}">
              <a16:creationId xmlns:a16="http://schemas.microsoft.com/office/drawing/2014/main" id="{0E66A103-3DCE-4F49-A2DA-1413B26E769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3094" name="Text Box 192">
          <a:extLst>
            <a:ext uri="{FF2B5EF4-FFF2-40B4-BE49-F238E27FC236}">
              <a16:creationId xmlns:a16="http://schemas.microsoft.com/office/drawing/2014/main" id="{8CDBC6F3-B094-4D72-9B9C-EF7D360C836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3095" name="Text Box 192">
          <a:extLst>
            <a:ext uri="{FF2B5EF4-FFF2-40B4-BE49-F238E27FC236}">
              <a16:creationId xmlns:a16="http://schemas.microsoft.com/office/drawing/2014/main" id="{D4D82B50-4A3D-4B22-9487-A610A4687E5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3096" name="Text Box 192">
          <a:extLst>
            <a:ext uri="{FF2B5EF4-FFF2-40B4-BE49-F238E27FC236}">
              <a16:creationId xmlns:a16="http://schemas.microsoft.com/office/drawing/2014/main" id="{D129F017-8EAE-4101-A46F-AEC5C6AC3C7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3097" name="Text Box 192">
          <a:extLst>
            <a:ext uri="{FF2B5EF4-FFF2-40B4-BE49-F238E27FC236}">
              <a16:creationId xmlns:a16="http://schemas.microsoft.com/office/drawing/2014/main" id="{12C0DED2-C4CC-4606-A031-283C4802FD5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3098" name="Text Box 192">
          <a:extLst>
            <a:ext uri="{FF2B5EF4-FFF2-40B4-BE49-F238E27FC236}">
              <a16:creationId xmlns:a16="http://schemas.microsoft.com/office/drawing/2014/main" id="{623E8CFA-1F1D-4E8A-AC86-E217DC390B9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3099" name="Text Box 192">
          <a:extLst>
            <a:ext uri="{FF2B5EF4-FFF2-40B4-BE49-F238E27FC236}">
              <a16:creationId xmlns:a16="http://schemas.microsoft.com/office/drawing/2014/main" id="{5991B444-F62B-4542-B6C9-40705F5B4C0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3100" name="Text Box 192">
          <a:extLst>
            <a:ext uri="{FF2B5EF4-FFF2-40B4-BE49-F238E27FC236}">
              <a16:creationId xmlns:a16="http://schemas.microsoft.com/office/drawing/2014/main" id="{C512B73B-CD0D-4BE6-AE9D-7F6916E83EE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92</xdr:row>
      <xdr:rowOff>0</xdr:rowOff>
    </xdr:from>
    <xdr:ext cx="10372" cy="228955"/>
    <xdr:sp macro="" textlink="">
      <xdr:nvSpPr>
        <xdr:cNvPr id="3101" name="Text Box 192">
          <a:extLst>
            <a:ext uri="{FF2B5EF4-FFF2-40B4-BE49-F238E27FC236}">
              <a16:creationId xmlns:a16="http://schemas.microsoft.com/office/drawing/2014/main" id="{6B4DE6D6-88E5-4A54-B231-4962A36740C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3102" name="Text Box 192">
          <a:extLst>
            <a:ext uri="{FF2B5EF4-FFF2-40B4-BE49-F238E27FC236}">
              <a16:creationId xmlns:a16="http://schemas.microsoft.com/office/drawing/2014/main" id="{4657BC1A-333B-41A8-9A78-5467D03FA66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3103" name="Text Box 192">
          <a:extLst>
            <a:ext uri="{FF2B5EF4-FFF2-40B4-BE49-F238E27FC236}">
              <a16:creationId xmlns:a16="http://schemas.microsoft.com/office/drawing/2014/main" id="{455C2148-FD5D-46AB-AFFA-8F57C60C4E3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3104" name="Text Box 192">
          <a:extLst>
            <a:ext uri="{FF2B5EF4-FFF2-40B4-BE49-F238E27FC236}">
              <a16:creationId xmlns:a16="http://schemas.microsoft.com/office/drawing/2014/main" id="{8475B05B-4771-4D61-AC0C-5916EF216B5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3105" name="Text Box 192">
          <a:extLst>
            <a:ext uri="{FF2B5EF4-FFF2-40B4-BE49-F238E27FC236}">
              <a16:creationId xmlns:a16="http://schemas.microsoft.com/office/drawing/2014/main" id="{8E51BF74-A01F-4FAA-B9A0-7B1F088AF8D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3106" name="Text Box 192">
          <a:extLst>
            <a:ext uri="{FF2B5EF4-FFF2-40B4-BE49-F238E27FC236}">
              <a16:creationId xmlns:a16="http://schemas.microsoft.com/office/drawing/2014/main" id="{F0AC1CBB-BE5B-45D3-9849-1452F593FF1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3107" name="Text Box 192">
          <a:extLst>
            <a:ext uri="{FF2B5EF4-FFF2-40B4-BE49-F238E27FC236}">
              <a16:creationId xmlns:a16="http://schemas.microsoft.com/office/drawing/2014/main" id="{D3C5BAEA-CE9F-4D31-A7F6-63E4F881FCE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3108" name="Text Box 192">
          <a:extLst>
            <a:ext uri="{FF2B5EF4-FFF2-40B4-BE49-F238E27FC236}">
              <a16:creationId xmlns:a16="http://schemas.microsoft.com/office/drawing/2014/main" id="{6AE0D291-8013-4D47-B0F1-37B0B59E3BE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3109" name="Text Box 192">
          <a:extLst>
            <a:ext uri="{FF2B5EF4-FFF2-40B4-BE49-F238E27FC236}">
              <a16:creationId xmlns:a16="http://schemas.microsoft.com/office/drawing/2014/main" id="{0DC8A25B-A4B4-4C9F-8CAC-75DECB02AC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93</xdr:row>
      <xdr:rowOff>0</xdr:rowOff>
    </xdr:from>
    <xdr:ext cx="10372" cy="228955"/>
    <xdr:sp macro="" textlink="">
      <xdr:nvSpPr>
        <xdr:cNvPr id="3110" name="Text Box 192">
          <a:extLst>
            <a:ext uri="{FF2B5EF4-FFF2-40B4-BE49-F238E27FC236}">
              <a16:creationId xmlns:a16="http://schemas.microsoft.com/office/drawing/2014/main" id="{59A83E68-6C10-4706-A062-A8327CA0CE3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3111" name="Text Box 192">
          <a:extLst>
            <a:ext uri="{FF2B5EF4-FFF2-40B4-BE49-F238E27FC236}">
              <a16:creationId xmlns:a16="http://schemas.microsoft.com/office/drawing/2014/main" id="{8E5073E3-798A-4935-A0B0-513E916C1E0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3112" name="Text Box 192">
          <a:extLst>
            <a:ext uri="{FF2B5EF4-FFF2-40B4-BE49-F238E27FC236}">
              <a16:creationId xmlns:a16="http://schemas.microsoft.com/office/drawing/2014/main" id="{2F5A7BF9-09CD-46B9-AB62-F1A03D59D3B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3113" name="Text Box 192">
          <a:extLst>
            <a:ext uri="{FF2B5EF4-FFF2-40B4-BE49-F238E27FC236}">
              <a16:creationId xmlns:a16="http://schemas.microsoft.com/office/drawing/2014/main" id="{BE0C8EB5-C8FC-47E3-B0F6-E2479384117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3114" name="Text Box 192">
          <a:extLst>
            <a:ext uri="{FF2B5EF4-FFF2-40B4-BE49-F238E27FC236}">
              <a16:creationId xmlns:a16="http://schemas.microsoft.com/office/drawing/2014/main" id="{C20F89F0-1753-49CC-A7C2-4B91D595C4F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3115" name="Text Box 192">
          <a:extLst>
            <a:ext uri="{FF2B5EF4-FFF2-40B4-BE49-F238E27FC236}">
              <a16:creationId xmlns:a16="http://schemas.microsoft.com/office/drawing/2014/main" id="{AC4C4328-6CD4-4DE5-87FB-19AEAE4F917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3116" name="Text Box 192">
          <a:extLst>
            <a:ext uri="{FF2B5EF4-FFF2-40B4-BE49-F238E27FC236}">
              <a16:creationId xmlns:a16="http://schemas.microsoft.com/office/drawing/2014/main" id="{5462520A-A4DD-42E8-8FCD-6BA6CA7F210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3117" name="Text Box 192">
          <a:extLst>
            <a:ext uri="{FF2B5EF4-FFF2-40B4-BE49-F238E27FC236}">
              <a16:creationId xmlns:a16="http://schemas.microsoft.com/office/drawing/2014/main" id="{81526486-1D3A-405C-8A4B-5A35D9603CF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3118" name="Text Box 192">
          <a:extLst>
            <a:ext uri="{FF2B5EF4-FFF2-40B4-BE49-F238E27FC236}">
              <a16:creationId xmlns:a16="http://schemas.microsoft.com/office/drawing/2014/main" id="{5F5C1BF1-1BC6-4C15-AB30-24F98557860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94</xdr:row>
      <xdr:rowOff>0</xdr:rowOff>
    </xdr:from>
    <xdr:ext cx="10372" cy="228955"/>
    <xdr:sp macro="" textlink="">
      <xdr:nvSpPr>
        <xdr:cNvPr id="3119" name="Text Box 192">
          <a:extLst>
            <a:ext uri="{FF2B5EF4-FFF2-40B4-BE49-F238E27FC236}">
              <a16:creationId xmlns:a16="http://schemas.microsoft.com/office/drawing/2014/main" id="{E54CC01E-E4EA-421D-8DD0-BE194EB2BFF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3120" name="Text Box 192">
          <a:extLst>
            <a:ext uri="{FF2B5EF4-FFF2-40B4-BE49-F238E27FC236}">
              <a16:creationId xmlns:a16="http://schemas.microsoft.com/office/drawing/2014/main" id="{B790CCBE-B565-470C-A59B-E2CB8A400DC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3121" name="Text Box 192">
          <a:extLst>
            <a:ext uri="{FF2B5EF4-FFF2-40B4-BE49-F238E27FC236}">
              <a16:creationId xmlns:a16="http://schemas.microsoft.com/office/drawing/2014/main" id="{B32940D0-70B5-4626-A9F7-B49F32D8B77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3122" name="Text Box 192">
          <a:extLst>
            <a:ext uri="{FF2B5EF4-FFF2-40B4-BE49-F238E27FC236}">
              <a16:creationId xmlns:a16="http://schemas.microsoft.com/office/drawing/2014/main" id="{791E5CD8-16B0-46D5-BAA6-2CA95222B27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3123" name="Text Box 192">
          <a:extLst>
            <a:ext uri="{FF2B5EF4-FFF2-40B4-BE49-F238E27FC236}">
              <a16:creationId xmlns:a16="http://schemas.microsoft.com/office/drawing/2014/main" id="{2FAD6D5B-253D-49D0-AA68-BCBF93B6207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3124" name="Text Box 192">
          <a:extLst>
            <a:ext uri="{FF2B5EF4-FFF2-40B4-BE49-F238E27FC236}">
              <a16:creationId xmlns:a16="http://schemas.microsoft.com/office/drawing/2014/main" id="{CFC2A51D-2ED7-440D-A182-B7D9F45DAF4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3125" name="Text Box 192">
          <a:extLst>
            <a:ext uri="{FF2B5EF4-FFF2-40B4-BE49-F238E27FC236}">
              <a16:creationId xmlns:a16="http://schemas.microsoft.com/office/drawing/2014/main" id="{BBE52105-C5AE-4A57-9C5B-1493D6A44EB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3126" name="Text Box 192">
          <a:extLst>
            <a:ext uri="{FF2B5EF4-FFF2-40B4-BE49-F238E27FC236}">
              <a16:creationId xmlns:a16="http://schemas.microsoft.com/office/drawing/2014/main" id="{19F5289E-A3CD-43EC-BC62-DB555D98B4C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3127" name="Text Box 192">
          <a:extLst>
            <a:ext uri="{FF2B5EF4-FFF2-40B4-BE49-F238E27FC236}">
              <a16:creationId xmlns:a16="http://schemas.microsoft.com/office/drawing/2014/main" id="{3CA65394-3A3E-4EE6-A882-442CB75ECEA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95</xdr:row>
      <xdr:rowOff>0</xdr:rowOff>
    </xdr:from>
    <xdr:ext cx="10372" cy="228955"/>
    <xdr:sp macro="" textlink="">
      <xdr:nvSpPr>
        <xdr:cNvPr id="3128" name="Text Box 192">
          <a:extLst>
            <a:ext uri="{FF2B5EF4-FFF2-40B4-BE49-F238E27FC236}">
              <a16:creationId xmlns:a16="http://schemas.microsoft.com/office/drawing/2014/main" id="{8D422E54-8B7E-4918-8E8C-AD8573A3BE8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3129" name="Text Box 192">
          <a:extLst>
            <a:ext uri="{FF2B5EF4-FFF2-40B4-BE49-F238E27FC236}">
              <a16:creationId xmlns:a16="http://schemas.microsoft.com/office/drawing/2014/main" id="{83400DFA-9296-4D85-A67D-262D0243CE2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3130" name="Text Box 192">
          <a:extLst>
            <a:ext uri="{FF2B5EF4-FFF2-40B4-BE49-F238E27FC236}">
              <a16:creationId xmlns:a16="http://schemas.microsoft.com/office/drawing/2014/main" id="{E3CC88BE-6048-4A4A-9013-276F0059384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3131" name="Text Box 192">
          <a:extLst>
            <a:ext uri="{FF2B5EF4-FFF2-40B4-BE49-F238E27FC236}">
              <a16:creationId xmlns:a16="http://schemas.microsoft.com/office/drawing/2014/main" id="{3D175ABD-AC37-429D-A6CE-F78909E65FD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3132" name="Text Box 192">
          <a:extLst>
            <a:ext uri="{FF2B5EF4-FFF2-40B4-BE49-F238E27FC236}">
              <a16:creationId xmlns:a16="http://schemas.microsoft.com/office/drawing/2014/main" id="{BD724616-778B-4200-9ADA-B005795896C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3133" name="Text Box 192">
          <a:extLst>
            <a:ext uri="{FF2B5EF4-FFF2-40B4-BE49-F238E27FC236}">
              <a16:creationId xmlns:a16="http://schemas.microsoft.com/office/drawing/2014/main" id="{F6F07ECD-B0FC-489C-8023-E1B97E42524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3134" name="Text Box 192">
          <a:extLst>
            <a:ext uri="{FF2B5EF4-FFF2-40B4-BE49-F238E27FC236}">
              <a16:creationId xmlns:a16="http://schemas.microsoft.com/office/drawing/2014/main" id="{86A8E58A-5320-4DAE-BCBE-2FD496C253F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3135" name="Text Box 192">
          <a:extLst>
            <a:ext uri="{FF2B5EF4-FFF2-40B4-BE49-F238E27FC236}">
              <a16:creationId xmlns:a16="http://schemas.microsoft.com/office/drawing/2014/main" id="{931CF970-B030-4575-A385-5ECA0FA09BA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3136" name="Text Box 192">
          <a:extLst>
            <a:ext uri="{FF2B5EF4-FFF2-40B4-BE49-F238E27FC236}">
              <a16:creationId xmlns:a16="http://schemas.microsoft.com/office/drawing/2014/main" id="{903B3289-6541-4C85-AB58-22F9ACCB066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96</xdr:row>
      <xdr:rowOff>0</xdr:rowOff>
    </xdr:from>
    <xdr:ext cx="10372" cy="228955"/>
    <xdr:sp macro="" textlink="">
      <xdr:nvSpPr>
        <xdr:cNvPr id="3137" name="Text Box 192">
          <a:extLst>
            <a:ext uri="{FF2B5EF4-FFF2-40B4-BE49-F238E27FC236}">
              <a16:creationId xmlns:a16="http://schemas.microsoft.com/office/drawing/2014/main" id="{1AC4312E-6FF5-470A-A43A-1A2218A1214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3138" name="Text Box 192">
          <a:extLst>
            <a:ext uri="{FF2B5EF4-FFF2-40B4-BE49-F238E27FC236}">
              <a16:creationId xmlns:a16="http://schemas.microsoft.com/office/drawing/2014/main" id="{677596C1-E326-477D-8B8F-BA8C1AB15DC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3139" name="Text Box 192">
          <a:extLst>
            <a:ext uri="{FF2B5EF4-FFF2-40B4-BE49-F238E27FC236}">
              <a16:creationId xmlns:a16="http://schemas.microsoft.com/office/drawing/2014/main" id="{F7D8937F-BDB0-483F-AE96-C4C7C8FB7DA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3140" name="Text Box 192">
          <a:extLst>
            <a:ext uri="{FF2B5EF4-FFF2-40B4-BE49-F238E27FC236}">
              <a16:creationId xmlns:a16="http://schemas.microsoft.com/office/drawing/2014/main" id="{4DB5AE30-4803-4C02-8D2A-BDA724FC8AB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3141" name="Text Box 192">
          <a:extLst>
            <a:ext uri="{FF2B5EF4-FFF2-40B4-BE49-F238E27FC236}">
              <a16:creationId xmlns:a16="http://schemas.microsoft.com/office/drawing/2014/main" id="{4496F914-BF28-4E54-8925-D5CF1371BDA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3142" name="Text Box 192">
          <a:extLst>
            <a:ext uri="{FF2B5EF4-FFF2-40B4-BE49-F238E27FC236}">
              <a16:creationId xmlns:a16="http://schemas.microsoft.com/office/drawing/2014/main" id="{652E2711-7819-4946-929A-A2EC8BB44C2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97</xdr:row>
      <xdr:rowOff>0</xdr:rowOff>
    </xdr:from>
    <xdr:ext cx="10372" cy="228955"/>
    <xdr:sp macro="" textlink="">
      <xdr:nvSpPr>
        <xdr:cNvPr id="3143" name="Text Box 192">
          <a:extLst>
            <a:ext uri="{FF2B5EF4-FFF2-40B4-BE49-F238E27FC236}">
              <a16:creationId xmlns:a16="http://schemas.microsoft.com/office/drawing/2014/main" id="{DFBE08FF-3DE1-4505-AB3E-60B393E4AFA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99</xdr:row>
      <xdr:rowOff>0</xdr:rowOff>
    </xdr:from>
    <xdr:ext cx="10372" cy="228955"/>
    <xdr:sp macro="" textlink="">
      <xdr:nvSpPr>
        <xdr:cNvPr id="3144" name="Text Box 192">
          <a:extLst>
            <a:ext uri="{FF2B5EF4-FFF2-40B4-BE49-F238E27FC236}">
              <a16:creationId xmlns:a16="http://schemas.microsoft.com/office/drawing/2014/main" id="{D9AABCE3-61CF-45F7-BE9A-8048C4F459D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3145" name="Text Box 192">
          <a:extLst>
            <a:ext uri="{FF2B5EF4-FFF2-40B4-BE49-F238E27FC236}">
              <a16:creationId xmlns:a16="http://schemas.microsoft.com/office/drawing/2014/main" id="{24DC5CF7-39BE-442B-831C-7C879A2F869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99</xdr:row>
      <xdr:rowOff>0</xdr:rowOff>
    </xdr:from>
    <xdr:ext cx="10372" cy="228955"/>
    <xdr:sp macro="" textlink="">
      <xdr:nvSpPr>
        <xdr:cNvPr id="3146" name="Text Box 192">
          <a:extLst>
            <a:ext uri="{FF2B5EF4-FFF2-40B4-BE49-F238E27FC236}">
              <a16:creationId xmlns:a16="http://schemas.microsoft.com/office/drawing/2014/main" id="{D3175FA6-76E4-4A4A-8601-E2D7E32F0A2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3147" name="Text Box 192">
          <a:extLst>
            <a:ext uri="{FF2B5EF4-FFF2-40B4-BE49-F238E27FC236}">
              <a16:creationId xmlns:a16="http://schemas.microsoft.com/office/drawing/2014/main" id="{62B2A09F-114C-4546-AD57-C0ACE92BEE6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3148" name="Text Box 192">
          <a:extLst>
            <a:ext uri="{FF2B5EF4-FFF2-40B4-BE49-F238E27FC236}">
              <a16:creationId xmlns:a16="http://schemas.microsoft.com/office/drawing/2014/main" id="{AF9A855C-F2A1-426B-B93B-9EC844F13D9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3149" name="Text Box 192">
          <a:extLst>
            <a:ext uri="{FF2B5EF4-FFF2-40B4-BE49-F238E27FC236}">
              <a16:creationId xmlns:a16="http://schemas.microsoft.com/office/drawing/2014/main" id="{A908B69A-672F-4902-9CDE-D9242791563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3150" name="Text Box 192">
          <a:extLst>
            <a:ext uri="{FF2B5EF4-FFF2-40B4-BE49-F238E27FC236}">
              <a16:creationId xmlns:a16="http://schemas.microsoft.com/office/drawing/2014/main" id="{2C14A6E6-1C77-4C31-9F92-68C4FB75459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3151" name="Text Box 192">
          <a:extLst>
            <a:ext uri="{FF2B5EF4-FFF2-40B4-BE49-F238E27FC236}">
              <a16:creationId xmlns:a16="http://schemas.microsoft.com/office/drawing/2014/main" id="{AFAC886F-8631-46C8-8E6F-B3D221658C8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3152" name="Text Box 192">
          <a:extLst>
            <a:ext uri="{FF2B5EF4-FFF2-40B4-BE49-F238E27FC236}">
              <a16:creationId xmlns:a16="http://schemas.microsoft.com/office/drawing/2014/main" id="{51EB06E7-5BF7-4683-81AD-8E4B70439E1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3153" name="Text Box 192">
          <a:extLst>
            <a:ext uri="{FF2B5EF4-FFF2-40B4-BE49-F238E27FC236}">
              <a16:creationId xmlns:a16="http://schemas.microsoft.com/office/drawing/2014/main" id="{8ECAC140-3949-4EA3-B71A-C7DDDE8D821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3154" name="Text Box 192">
          <a:extLst>
            <a:ext uri="{FF2B5EF4-FFF2-40B4-BE49-F238E27FC236}">
              <a16:creationId xmlns:a16="http://schemas.microsoft.com/office/drawing/2014/main" id="{38B5DA61-7553-4A8F-8163-FACCCC511E2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100</xdr:row>
      <xdr:rowOff>0</xdr:rowOff>
    </xdr:from>
    <xdr:ext cx="10372" cy="228955"/>
    <xdr:sp macro="" textlink="">
      <xdr:nvSpPr>
        <xdr:cNvPr id="3155" name="Text Box 192">
          <a:extLst>
            <a:ext uri="{FF2B5EF4-FFF2-40B4-BE49-F238E27FC236}">
              <a16:creationId xmlns:a16="http://schemas.microsoft.com/office/drawing/2014/main" id="{FC11A9C9-8F4C-4C1D-817D-ABABCC54A5A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3156" name="Text Box 192">
          <a:extLst>
            <a:ext uri="{FF2B5EF4-FFF2-40B4-BE49-F238E27FC236}">
              <a16:creationId xmlns:a16="http://schemas.microsoft.com/office/drawing/2014/main" id="{E0F5A26B-2E04-4485-A2F5-409498E15EA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3157" name="Text Box 192">
          <a:extLst>
            <a:ext uri="{FF2B5EF4-FFF2-40B4-BE49-F238E27FC236}">
              <a16:creationId xmlns:a16="http://schemas.microsoft.com/office/drawing/2014/main" id="{D13E6BB5-9851-435B-8971-1E0FDE4E6C1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3158" name="Text Box 192">
          <a:extLst>
            <a:ext uri="{FF2B5EF4-FFF2-40B4-BE49-F238E27FC236}">
              <a16:creationId xmlns:a16="http://schemas.microsoft.com/office/drawing/2014/main" id="{2BCEA0E4-6787-419F-BB11-568001B381F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3159" name="Text Box 192">
          <a:extLst>
            <a:ext uri="{FF2B5EF4-FFF2-40B4-BE49-F238E27FC236}">
              <a16:creationId xmlns:a16="http://schemas.microsoft.com/office/drawing/2014/main" id="{03DF042C-F2DA-4231-A09C-A73E8F27463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3160" name="Text Box 192">
          <a:extLst>
            <a:ext uri="{FF2B5EF4-FFF2-40B4-BE49-F238E27FC236}">
              <a16:creationId xmlns:a16="http://schemas.microsoft.com/office/drawing/2014/main" id="{DD104E6A-5991-4F92-B45B-08299B1927A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101</xdr:row>
      <xdr:rowOff>0</xdr:rowOff>
    </xdr:from>
    <xdr:ext cx="10372" cy="228955"/>
    <xdr:sp macro="" textlink="">
      <xdr:nvSpPr>
        <xdr:cNvPr id="3161" name="Text Box 192">
          <a:extLst>
            <a:ext uri="{FF2B5EF4-FFF2-40B4-BE49-F238E27FC236}">
              <a16:creationId xmlns:a16="http://schemas.microsoft.com/office/drawing/2014/main" id="{17CB71E7-55BA-4415-8A5B-5CFC32A1707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104</xdr:row>
      <xdr:rowOff>0</xdr:rowOff>
    </xdr:from>
    <xdr:ext cx="10372" cy="228955"/>
    <xdr:sp macro="" textlink="">
      <xdr:nvSpPr>
        <xdr:cNvPr id="3162" name="Text Box 192">
          <a:extLst>
            <a:ext uri="{FF2B5EF4-FFF2-40B4-BE49-F238E27FC236}">
              <a16:creationId xmlns:a16="http://schemas.microsoft.com/office/drawing/2014/main" id="{97961108-8184-433A-AFE0-B44F9A94B0A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3163" name="Text Box 192">
          <a:extLst>
            <a:ext uri="{FF2B5EF4-FFF2-40B4-BE49-F238E27FC236}">
              <a16:creationId xmlns:a16="http://schemas.microsoft.com/office/drawing/2014/main" id="{8CE7E37C-64FC-4F31-A538-3D59EA0156B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104</xdr:row>
      <xdr:rowOff>0</xdr:rowOff>
    </xdr:from>
    <xdr:ext cx="10372" cy="228955"/>
    <xdr:sp macro="" textlink="">
      <xdr:nvSpPr>
        <xdr:cNvPr id="3164" name="Text Box 192">
          <a:extLst>
            <a:ext uri="{FF2B5EF4-FFF2-40B4-BE49-F238E27FC236}">
              <a16:creationId xmlns:a16="http://schemas.microsoft.com/office/drawing/2014/main" id="{34E1D5C8-B12D-433B-B917-8C24A387F1A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3165" name="Text Box 192">
          <a:extLst>
            <a:ext uri="{FF2B5EF4-FFF2-40B4-BE49-F238E27FC236}">
              <a16:creationId xmlns:a16="http://schemas.microsoft.com/office/drawing/2014/main" id="{2EEAE23A-EE39-4BA0-93A5-C695D3C7FC5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3166" name="Text Box 192">
          <a:extLst>
            <a:ext uri="{FF2B5EF4-FFF2-40B4-BE49-F238E27FC236}">
              <a16:creationId xmlns:a16="http://schemas.microsoft.com/office/drawing/2014/main" id="{F3A854F1-F8AF-4FAA-A823-53E935029F7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3167" name="Text Box 192">
          <a:extLst>
            <a:ext uri="{FF2B5EF4-FFF2-40B4-BE49-F238E27FC236}">
              <a16:creationId xmlns:a16="http://schemas.microsoft.com/office/drawing/2014/main" id="{CFEE07A7-DEE0-4D35-8B1C-BD35FAF2B52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3168" name="Text Box 192">
          <a:extLst>
            <a:ext uri="{FF2B5EF4-FFF2-40B4-BE49-F238E27FC236}">
              <a16:creationId xmlns:a16="http://schemas.microsoft.com/office/drawing/2014/main" id="{72681DB3-8888-411C-B110-19FD5442E5F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3169" name="Text Box 192">
          <a:extLst>
            <a:ext uri="{FF2B5EF4-FFF2-40B4-BE49-F238E27FC236}">
              <a16:creationId xmlns:a16="http://schemas.microsoft.com/office/drawing/2014/main" id="{D50356FF-03D0-4597-A320-3C71D9B7930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3170" name="Text Box 192">
          <a:extLst>
            <a:ext uri="{FF2B5EF4-FFF2-40B4-BE49-F238E27FC236}">
              <a16:creationId xmlns:a16="http://schemas.microsoft.com/office/drawing/2014/main" id="{85BCBC07-8500-4291-9295-689F44661CC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3171" name="Text Box 192">
          <a:extLst>
            <a:ext uri="{FF2B5EF4-FFF2-40B4-BE49-F238E27FC236}">
              <a16:creationId xmlns:a16="http://schemas.microsoft.com/office/drawing/2014/main" id="{F25202B1-06F9-4A2A-938E-37771DC3C13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3172" name="Text Box 192">
          <a:extLst>
            <a:ext uri="{FF2B5EF4-FFF2-40B4-BE49-F238E27FC236}">
              <a16:creationId xmlns:a16="http://schemas.microsoft.com/office/drawing/2014/main" id="{72CC1CE6-EE9B-496B-8138-F6CA3D0B907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105</xdr:row>
      <xdr:rowOff>0</xdr:rowOff>
    </xdr:from>
    <xdr:ext cx="10372" cy="228955"/>
    <xdr:sp macro="" textlink="">
      <xdr:nvSpPr>
        <xdr:cNvPr id="3173" name="Text Box 192">
          <a:extLst>
            <a:ext uri="{FF2B5EF4-FFF2-40B4-BE49-F238E27FC236}">
              <a16:creationId xmlns:a16="http://schemas.microsoft.com/office/drawing/2014/main" id="{4738051D-3892-401A-9221-76C1906D42F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3174" name="Text Box 192">
          <a:extLst>
            <a:ext uri="{FF2B5EF4-FFF2-40B4-BE49-F238E27FC236}">
              <a16:creationId xmlns:a16="http://schemas.microsoft.com/office/drawing/2014/main" id="{4D7660B0-F1B1-4F69-9DC8-7FA69482680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3175" name="Text Box 192">
          <a:extLst>
            <a:ext uri="{FF2B5EF4-FFF2-40B4-BE49-F238E27FC236}">
              <a16:creationId xmlns:a16="http://schemas.microsoft.com/office/drawing/2014/main" id="{4B3263B1-1CD2-4847-A2D0-5F7F702EB4B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3176" name="Text Box 192">
          <a:extLst>
            <a:ext uri="{FF2B5EF4-FFF2-40B4-BE49-F238E27FC236}">
              <a16:creationId xmlns:a16="http://schemas.microsoft.com/office/drawing/2014/main" id="{FC14475F-F36B-4582-942B-44D513AF7BD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3177" name="Text Box 192">
          <a:extLst>
            <a:ext uri="{FF2B5EF4-FFF2-40B4-BE49-F238E27FC236}">
              <a16:creationId xmlns:a16="http://schemas.microsoft.com/office/drawing/2014/main" id="{DC9EB751-EE14-4A6B-9689-A479F7EDE8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3178" name="Text Box 192">
          <a:extLst>
            <a:ext uri="{FF2B5EF4-FFF2-40B4-BE49-F238E27FC236}">
              <a16:creationId xmlns:a16="http://schemas.microsoft.com/office/drawing/2014/main" id="{1A4AE34B-2B13-47E7-AF33-2BDA5791FA0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3179" name="Text Box 192">
          <a:extLst>
            <a:ext uri="{FF2B5EF4-FFF2-40B4-BE49-F238E27FC236}">
              <a16:creationId xmlns:a16="http://schemas.microsoft.com/office/drawing/2014/main" id="{C99EB103-559F-4B6C-AB15-33CC1572AD6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3180" name="Text Box 192">
          <a:extLst>
            <a:ext uri="{FF2B5EF4-FFF2-40B4-BE49-F238E27FC236}">
              <a16:creationId xmlns:a16="http://schemas.microsoft.com/office/drawing/2014/main" id="{9719DE1F-CA15-4AE0-961C-45425B3ACC4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3181" name="Text Box 192">
          <a:extLst>
            <a:ext uri="{FF2B5EF4-FFF2-40B4-BE49-F238E27FC236}">
              <a16:creationId xmlns:a16="http://schemas.microsoft.com/office/drawing/2014/main" id="{2683FD49-6C04-4DD1-BF7A-073A61D6566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106</xdr:row>
      <xdr:rowOff>0</xdr:rowOff>
    </xdr:from>
    <xdr:ext cx="10372" cy="228955"/>
    <xdr:sp macro="" textlink="">
      <xdr:nvSpPr>
        <xdr:cNvPr id="3182" name="Text Box 192">
          <a:extLst>
            <a:ext uri="{FF2B5EF4-FFF2-40B4-BE49-F238E27FC236}">
              <a16:creationId xmlns:a16="http://schemas.microsoft.com/office/drawing/2014/main" id="{EE5D108C-7367-4F71-808D-64B2F7858F2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3183" name="Text Box 192">
          <a:extLst>
            <a:ext uri="{FF2B5EF4-FFF2-40B4-BE49-F238E27FC236}">
              <a16:creationId xmlns:a16="http://schemas.microsoft.com/office/drawing/2014/main" id="{ADD009DA-25C7-411E-B98C-D13E9E72980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3184" name="Text Box 192">
          <a:extLst>
            <a:ext uri="{FF2B5EF4-FFF2-40B4-BE49-F238E27FC236}">
              <a16:creationId xmlns:a16="http://schemas.microsoft.com/office/drawing/2014/main" id="{CC84EFDA-E4F7-4F0C-88B9-C7380615D6E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3185" name="Text Box 192">
          <a:extLst>
            <a:ext uri="{FF2B5EF4-FFF2-40B4-BE49-F238E27FC236}">
              <a16:creationId xmlns:a16="http://schemas.microsoft.com/office/drawing/2014/main" id="{D9637666-1EEB-4B2C-83A1-1624DDD6887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3186" name="Text Box 192">
          <a:extLst>
            <a:ext uri="{FF2B5EF4-FFF2-40B4-BE49-F238E27FC236}">
              <a16:creationId xmlns:a16="http://schemas.microsoft.com/office/drawing/2014/main" id="{41F41068-703F-4BFD-BCA9-9B29D15734F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3187" name="Text Box 192">
          <a:extLst>
            <a:ext uri="{FF2B5EF4-FFF2-40B4-BE49-F238E27FC236}">
              <a16:creationId xmlns:a16="http://schemas.microsoft.com/office/drawing/2014/main" id="{6015F90E-09FE-4358-B3F2-B7479875562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107</xdr:row>
      <xdr:rowOff>0</xdr:rowOff>
    </xdr:from>
    <xdr:ext cx="10372" cy="228955"/>
    <xdr:sp macro="" textlink="">
      <xdr:nvSpPr>
        <xdr:cNvPr id="3188" name="Text Box 192">
          <a:extLst>
            <a:ext uri="{FF2B5EF4-FFF2-40B4-BE49-F238E27FC236}">
              <a16:creationId xmlns:a16="http://schemas.microsoft.com/office/drawing/2014/main" id="{8162A20D-2CF3-449C-8834-DB173A7D021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109</xdr:row>
      <xdr:rowOff>0</xdr:rowOff>
    </xdr:from>
    <xdr:ext cx="10372" cy="228955"/>
    <xdr:sp macro="" textlink="">
      <xdr:nvSpPr>
        <xdr:cNvPr id="3189" name="Text Box 192">
          <a:extLst>
            <a:ext uri="{FF2B5EF4-FFF2-40B4-BE49-F238E27FC236}">
              <a16:creationId xmlns:a16="http://schemas.microsoft.com/office/drawing/2014/main" id="{09AAD684-9534-40AF-AC70-43E22D093AD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3190" name="Text Box 192">
          <a:extLst>
            <a:ext uri="{FF2B5EF4-FFF2-40B4-BE49-F238E27FC236}">
              <a16:creationId xmlns:a16="http://schemas.microsoft.com/office/drawing/2014/main" id="{978A47EF-6529-4C53-92E8-7B1C7D8ED6B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109</xdr:row>
      <xdr:rowOff>0</xdr:rowOff>
    </xdr:from>
    <xdr:ext cx="10372" cy="228955"/>
    <xdr:sp macro="" textlink="">
      <xdr:nvSpPr>
        <xdr:cNvPr id="3191" name="Text Box 192">
          <a:extLst>
            <a:ext uri="{FF2B5EF4-FFF2-40B4-BE49-F238E27FC236}">
              <a16:creationId xmlns:a16="http://schemas.microsoft.com/office/drawing/2014/main" id="{0E053207-C3DE-4F2B-A888-B933EE5E865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3192" name="Text Box 192">
          <a:extLst>
            <a:ext uri="{FF2B5EF4-FFF2-40B4-BE49-F238E27FC236}">
              <a16:creationId xmlns:a16="http://schemas.microsoft.com/office/drawing/2014/main" id="{E6109E23-C140-4A1B-9837-BD31A25A9F5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3193" name="Text Box 192">
          <a:extLst>
            <a:ext uri="{FF2B5EF4-FFF2-40B4-BE49-F238E27FC236}">
              <a16:creationId xmlns:a16="http://schemas.microsoft.com/office/drawing/2014/main" id="{EF245B1C-0E97-43E2-B48E-1AFED6987DB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3194" name="Text Box 192">
          <a:extLst>
            <a:ext uri="{FF2B5EF4-FFF2-40B4-BE49-F238E27FC236}">
              <a16:creationId xmlns:a16="http://schemas.microsoft.com/office/drawing/2014/main" id="{D1702DBF-A1D6-4B4D-BD75-57878F03304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3195" name="Text Box 192">
          <a:extLst>
            <a:ext uri="{FF2B5EF4-FFF2-40B4-BE49-F238E27FC236}">
              <a16:creationId xmlns:a16="http://schemas.microsoft.com/office/drawing/2014/main" id="{ACC1601B-1FDD-4367-BCAB-A7AF197038D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3196" name="Text Box 192">
          <a:extLst>
            <a:ext uri="{FF2B5EF4-FFF2-40B4-BE49-F238E27FC236}">
              <a16:creationId xmlns:a16="http://schemas.microsoft.com/office/drawing/2014/main" id="{D2251AB3-D100-4193-A8D8-8BE7E823C60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3197" name="Text Box 192">
          <a:extLst>
            <a:ext uri="{FF2B5EF4-FFF2-40B4-BE49-F238E27FC236}">
              <a16:creationId xmlns:a16="http://schemas.microsoft.com/office/drawing/2014/main" id="{B0178365-83B8-4EBE-A72A-025286EBF4E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3198" name="Text Box 192">
          <a:extLst>
            <a:ext uri="{FF2B5EF4-FFF2-40B4-BE49-F238E27FC236}">
              <a16:creationId xmlns:a16="http://schemas.microsoft.com/office/drawing/2014/main" id="{DF181CEB-A1AF-4E6B-9447-EEFCE5DD6C6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3199" name="Text Box 192">
          <a:extLst>
            <a:ext uri="{FF2B5EF4-FFF2-40B4-BE49-F238E27FC236}">
              <a16:creationId xmlns:a16="http://schemas.microsoft.com/office/drawing/2014/main" id="{7B90191E-E12C-483C-B161-C0AECA3FA39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110</xdr:row>
      <xdr:rowOff>0</xdr:rowOff>
    </xdr:from>
    <xdr:ext cx="10372" cy="228955"/>
    <xdr:sp macro="" textlink="">
      <xdr:nvSpPr>
        <xdr:cNvPr id="3200" name="Text Box 192">
          <a:extLst>
            <a:ext uri="{FF2B5EF4-FFF2-40B4-BE49-F238E27FC236}">
              <a16:creationId xmlns:a16="http://schemas.microsoft.com/office/drawing/2014/main" id="{D0BDBEB9-DB25-4A6F-B46C-EB5EF464DD8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3201" name="Text Box 192">
          <a:extLst>
            <a:ext uri="{FF2B5EF4-FFF2-40B4-BE49-F238E27FC236}">
              <a16:creationId xmlns:a16="http://schemas.microsoft.com/office/drawing/2014/main" id="{ACF25A27-DD66-47AF-9E95-BEA52351DC3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3202" name="Text Box 192">
          <a:extLst>
            <a:ext uri="{FF2B5EF4-FFF2-40B4-BE49-F238E27FC236}">
              <a16:creationId xmlns:a16="http://schemas.microsoft.com/office/drawing/2014/main" id="{978848CB-DBAF-49B3-8AEC-D01084F0886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3203" name="Text Box 192">
          <a:extLst>
            <a:ext uri="{FF2B5EF4-FFF2-40B4-BE49-F238E27FC236}">
              <a16:creationId xmlns:a16="http://schemas.microsoft.com/office/drawing/2014/main" id="{5F9793E1-1268-40DB-A092-91DF7C76381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3204" name="Text Box 192">
          <a:extLst>
            <a:ext uri="{FF2B5EF4-FFF2-40B4-BE49-F238E27FC236}">
              <a16:creationId xmlns:a16="http://schemas.microsoft.com/office/drawing/2014/main" id="{D45E7801-088F-480E-96A6-4484CF56213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3205" name="Text Box 192">
          <a:extLst>
            <a:ext uri="{FF2B5EF4-FFF2-40B4-BE49-F238E27FC236}">
              <a16:creationId xmlns:a16="http://schemas.microsoft.com/office/drawing/2014/main" id="{20C74508-B922-4D2B-BDA9-ACD1AAE0518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3206" name="Text Box 192">
          <a:extLst>
            <a:ext uri="{FF2B5EF4-FFF2-40B4-BE49-F238E27FC236}">
              <a16:creationId xmlns:a16="http://schemas.microsoft.com/office/drawing/2014/main" id="{43878B53-578F-4E91-9238-EB291084B6C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3207" name="Text Box 192">
          <a:extLst>
            <a:ext uri="{FF2B5EF4-FFF2-40B4-BE49-F238E27FC236}">
              <a16:creationId xmlns:a16="http://schemas.microsoft.com/office/drawing/2014/main" id="{2E27EED0-04A9-402B-A79F-48877519568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3208" name="Text Box 192">
          <a:extLst>
            <a:ext uri="{FF2B5EF4-FFF2-40B4-BE49-F238E27FC236}">
              <a16:creationId xmlns:a16="http://schemas.microsoft.com/office/drawing/2014/main" id="{33498103-1D91-460C-A42C-DD01CC6B684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111</xdr:row>
      <xdr:rowOff>0</xdr:rowOff>
    </xdr:from>
    <xdr:ext cx="10372" cy="228955"/>
    <xdr:sp macro="" textlink="">
      <xdr:nvSpPr>
        <xdr:cNvPr id="3209" name="Text Box 192">
          <a:extLst>
            <a:ext uri="{FF2B5EF4-FFF2-40B4-BE49-F238E27FC236}">
              <a16:creationId xmlns:a16="http://schemas.microsoft.com/office/drawing/2014/main" id="{9A512C7A-3F62-453B-8302-AF528D1DDEE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3210" name="Text Box 192">
          <a:extLst>
            <a:ext uri="{FF2B5EF4-FFF2-40B4-BE49-F238E27FC236}">
              <a16:creationId xmlns:a16="http://schemas.microsoft.com/office/drawing/2014/main" id="{DAC8D538-E567-4475-89E6-267B62EF101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3211" name="Text Box 192">
          <a:extLst>
            <a:ext uri="{FF2B5EF4-FFF2-40B4-BE49-F238E27FC236}">
              <a16:creationId xmlns:a16="http://schemas.microsoft.com/office/drawing/2014/main" id="{B1DB00FA-6A4F-462B-92AE-FACA95CAA7B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3212" name="Text Box 192">
          <a:extLst>
            <a:ext uri="{FF2B5EF4-FFF2-40B4-BE49-F238E27FC236}">
              <a16:creationId xmlns:a16="http://schemas.microsoft.com/office/drawing/2014/main" id="{18CAD44E-C6F6-4DE4-8220-61882745F11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3213" name="Text Box 192">
          <a:extLst>
            <a:ext uri="{FF2B5EF4-FFF2-40B4-BE49-F238E27FC236}">
              <a16:creationId xmlns:a16="http://schemas.microsoft.com/office/drawing/2014/main" id="{02BBB90B-8C14-4974-8553-29EB3763C21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3214" name="Text Box 192">
          <a:extLst>
            <a:ext uri="{FF2B5EF4-FFF2-40B4-BE49-F238E27FC236}">
              <a16:creationId xmlns:a16="http://schemas.microsoft.com/office/drawing/2014/main" id="{F16C1BF3-AC04-4B20-858E-1DBDD64353F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3215" name="Text Box 192">
          <a:extLst>
            <a:ext uri="{FF2B5EF4-FFF2-40B4-BE49-F238E27FC236}">
              <a16:creationId xmlns:a16="http://schemas.microsoft.com/office/drawing/2014/main" id="{3C329FB1-FD01-42A5-BACE-D94390EC7FD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3216" name="Text Box 192">
          <a:extLst>
            <a:ext uri="{FF2B5EF4-FFF2-40B4-BE49-F238E27FC236}">
              <a16:creationId xmlns:a16="http://schemas.microsoft.com/office/drawing/2014/main" id="{71AC4262-D2E9-4E1B-B93C-27C18F7D91E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3217" name="Text Box 192">
          <a:extLst>
            <a:ext uri="{FF2B5EF4-FFF2-40B4-BE49-F238E27FC236}">
              <a16:creationId xmlns:a16="http://schemas.microsoft.com/office/drawing/2014/main" id="{42C4DA44-092B-472A-86DB-2AE346C8995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112</xdr:row>
      <xdr:rowOff>0</xdr:rowOff>
    </xdr:from>
    <xdr:ext cx="10372" cy="228955"/>
    <xdr:sp macro="" textlink="">
      <xdr:nvSpPr>
        <xdr:cNvPr id="3218" name="Text Box 192">
          <a:extLst>
            <a:ext uri="{FF2B5EF4-FFF2-40B4-BE49-F238E27FC236}">
              <a16:creationId xmlns:a16="http://schemas.microsoft.com/office/drawing/2014/main" id="{40EE6AC2-F382-4488-AEE0-7F94901C814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3219" name="Text Box 192">
          <a:extLst>
            <a:ext uri="{FF2B5EF4-FFF2-40B4-BE49-F238E27FC236}">
              <a16:creationId xmlns:a16="http://schemas.microsoft.com/office/drawing/2014/main" id="{5726905F-DEE6-4859-82CF-EDC823EF5E2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3220" name="Text Box 192">
          <a:extLst>
            <a:ext uri="{FF2B5EF4-FFF2-40B4-BE49-F238E27FC236}">
              <a16:creationId xmlns:a16="http://schemas.microsoft.com/office/drawing/2014/main" id="{796D0656-D756-44DF-993E-33FEB10AD80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3221" name="Text Box 192">
          <a:extLst>
            <a:ext uri="{FF2B5EF4-FFF2-40B4-BE49-F238E27FC236}">
              <a16:creationId xmlns:a16="http://schemas.microsoft.com/office/drawing/2014/main" id="{43370DAF-84BF-4938-ADC6-5F794BD91FF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3222" name="Text Box 192">
          <a:extLst>
            <a:ext uri="{FF2B5EF4-FFF2-40B4-BE49-F238E27FC236}">
              <a16:creationId xmlns:a16="http://schemas.microsoft.com/office/drawing/2014/main" id="{71300877-D0EE-4675-BF38-9CE617014C6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3223" name="Text Box 192">
          <a:extLst>
            <a:ext uri="{FF2B5EF4-FFF2-40B4-BE49-F238E27FC236}">
              <a16:creationId xmlns:a16="http://schemas.microsoft.com/office/drawing/2014/main" id="{2A373EB1-94ED-4B8C-B6B2-3760CAFFC36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113</xdr:row>
      <xdr:rowOff>0</xdr:rowOff>
    </xdr:from>
    <xdr:ext cx="10372" cy="228955"/>
    <xdr:sp macro="" textlink="">
      <xdr:nvSpPr>
        <xdr:cNvPr id="3224" name="Text Box 192">
          <a:extLst>
            <a:ext uri="{FF2B5EF4-FFF2-40B4-BE49-F238E27FC236}">
              <a16:creationId xmlns:a16="http://schemas.microsoft.com/office/drawing/2014/main" id="{9418D1D6-4493-4899-BE7B-1FD4401794A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115</xdr:row>
      <xdr:rowOff>0</xdr:rowOff>
    </xdr:from>
    <xdr:ext cx="10372" cy="228955"/>
    <xdr:sp macro="" textlink="">
      <xdr:nvSpPr>
        <xdr:cNvPr id="3225" name="Text Box 192">
          <a:extLst>
            <a:ext uri="{FF2B5EF4-FFF2-40B4-BE49-F238E27FC236}">
              <a16:creationId xmlns:a16="http://schemas.microsoft.com/office/drawing/2014/main" id="{03F5DF4C-7836-4DA6-856F-EE5CBCACE97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3226" name="Text Box 192">
          <a:extLst>
            <a:ext uri="{FF2B5EF4-FFF2-40B4-BE49-F238E27FC236}">
              <a16:creationId xmlns:a16="http://schemas.microsoft.com/office/drawing/2014/main" id="{0C03D5A4-A643-4637-A79D-FFCC2480685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115</xdr:row>
      <xdr:rowOff>0</xdr:rowOff>
    </xdr:from>
    <xdr:ext cx="10372" cy="228955"/>
    <xdr:sp macro="" textlink="">
      <xdr:nvSpPr>
        <xdr:cNvPr id="3227" name="Text Box 192">
          <a:extLst>
            <a:ext uri="{FF2B5EF4-FFF2-40B4-BE49-F238E27FC236}">
              <a16:creationId xmlns:a16="http://schemas.microsoft.com/office/drawing/2014/main" id="{6518EDF8-9BFC-4B95-8C09-A9C5B60329B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3228" name="Text Box 192">
          <a:extLst>
            <a:ext uri="{FF2B5EF4-FFF2-40B4-BE49-F238E27FC236}">
              <a16:creationId xmlns:a16="http://schemas.microsoft.com/office/drawing/2014/main" id="{C1EE1FC6-760B-4E40-9616-EA2A060F3C9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3229" name="Text Box 192">
          <a:extLst>
            <a:ext uri="{FF2B5EF4-FFF2-40B4-BE49-F238E27FC236}">
              <a16:creationId xmlns:a16="http://schemas.microsoft.com/office/drawing/2014/main" id="{8FCE6E0F-79D1-4148-9803-0D25B153679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3230" name="Text Box 192">
          <a:extLst>
            <a:ext uri="{FF2B5EF4-FFF2-40B4-BE49-F238E27FC236}">
              <a16:creationId xmlns:a16="http://schemas.microsoft.com/office/drawing/2014/main" id="{BE17A850-7362-40EC-88D7-33A5C7DE501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3231" name="Text Box 192">
          <a:extLst>
            <a:ext uri="{FF2B5EF4-FFF2-40B4-BE49-F238E27FC236}">
              <a16:creationId xmlns:a16="http://schemas.microsoft.com/office/drawing/2014/main" id="{2DBCA7FD-E759-41A5-860F-3A09D525525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3232" name="Text Box 192">
          <a:extLst>
            <a:ext uri="{FF2B5EF4-FFF2-40B4-BE49-F238E27FC236}">
              <a16:creationId xmlns:a16="http://schemas.microsoft.com/office/drawing/2014/main" id="{77B041FD-138B-4A8E-978E-878F9ED3DEF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3233" name="Text Box 192">
          <a:extLst>
            <a:ext uri="{FF2B5EF4-FFF2-40B4-BE49-F238E27FC236}">
              <a16:creationId xmlns:a16="http://schemas.microsoft.com/office/drawing/2014/main" id="{16C4053F-64E0-4431-9B9C-4E92C0D63BA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3234" name="Text Box 192">
          <a:extLst>
            <a:ext uri="{FF2B5EF4-FFF2-40B4-BE49-F238E27FC236}">
              <a16:creationId xmlns:a16="http://schemas.microsoft.com/office/drawing/2014/main" id="{56D16FA4-6934-49C8-8250-F9344CD7719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3235" name="Text Box 192">
          <a:extLst>
            <a:ext uri="{FF2B5EF4-FFF2-40B4-BE49-F238E27FC236}">
              <a16:creationId xmlns:a16="http://schemas.microsoft.com/office/drawing/2014/main" id="{AFD701D4-6449-4C63-919A-F54D04B286D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116</xdr:row>
      <xdr:rowOff>0</xdr:rowOff>
    </xdr:from>
    <xdr:ext cx="10372" cy="228955"/>
    <xdr:sp macro="" textlink="">
      <xdr:nvSpPr>
        <xdr:cNvPr id="3236" name="Text Box 192">
          <a:extLst>
            <a:ext uri="{FF2B5EF4-FFF2-40B4-BE49-F238E27FC236}">
              <a16:creationId xmlns:a16="http://schemas.microsoft.com/office/drawing/2014/main" id="{713090FB-A127-4B3A-9C4E-DEDE5863308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3237" name="Text Box 192">
          <a:extLst>
            <a:ext uri="{FF2B5EF4-FFF2-40B4-BE49-F238E27FC236}">
              <a16:creationId xmlns:a16="http://schemas.microsoft.com/office/drawing/2014/main" id="{A35F57C9-3E6D-46CA-AE80-3705F6C1F77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3238" name="Text Box 192">
          <a:extLst>
            <a:ext uri="{FF2B5EF4-FFF2-40B4-BE49-F238E27FC236}">
              <a16:creationId xmlns:a16="http://schemas.microsoft.com/office/drawing/2014/main" id="{4A455C66-DF13-4D71-97D5-8679933A09E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3239" name="Text Box 192">
          <a:extLst>
            <a:ext uri="{FF2B5EF4-FFF2-40B4-BE49-F238E27FC236}">
              <a16:creationId xmlns:a16="http://schemas.microsoft.com/office/drawing/2014/main" id="{BC5F4763-9EE7-4266-9A04-6D4C5D5D3D5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3240" name="Text Box 192">
          <a:extLst>
            <a:ext uri="{FF2B5EF4-FFF2-40B4-BE49-F238E27FC236}">
              <a16:creationId xmlns:a16="http://schemas.microsoft.com/office/drawing/2014/main" id="{3A593E10-1E2C-43F1-B18C-30B1332BB8A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3241" name="Text Box 192">
          <a:extLst>
            <a:ext uri="{FF2B5EF4-FFF2-40B4-BE49-F238E27FC236}">
              <a16:creationId xmlns:a16="http://schemas.microsoft.com/office/drawing/2014/main" id="{2563EC63-FE52-49B1-8258-DC996A8903F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3242" name="Text Box 192">
          <a:extLst>
            <a:ext uri="{FF2B5EF4-FFF2-40B4-BE49-F238E27FC236}">
              <a16:creationId xmlns:a16="http://schemas.microsoft.com/office/drawing/2014/main" id="{F5DB818D-D441-4B31-9135-430A4871AFE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3243" name="Text Box 192">
          <a:extLst>
            <a:ext uri="{FF2B5EF4-FFF2-40B4-BE49-F238E27FC236}">
              <a16:creationId xmlns:a16="http://schemas.microsoft.com/office/drawing/2014/main" id="{52E1C713-F3DD-407C-B475-B05BBC8D35C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3244" name="Text Box 192">
          <a:extLst>
            <a:ext uri="{FF2B5EF4-FFF2-40B4-BE49-F238E27FC236}">
              <a16:creationId xmlns:a16="http://schemas.microsoft.com/office/drawing/2014/main" id="{14696E08-EA37-4B44-BC2F-D7D968F9BA1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117</xdr:row>
      <xdr:rowOff>0</xdr:rowOff>
    </xdr:from>
    <xdr:ext cx="10372" cy="228955"/>
    <xdr:sp macro="" textlink="">
      <xdr:nvSpPr>
        <xdr:cNvPr id="3245" name="Text Box 192">
          <a:extLst>
            <a:ext uri="{FF2B5EF4-FFF2-40B4-BE49-F238E27FC236}">
              <a16:creationId xmlns:a16="http://schemas.microsoft.com/office/drawing/2014/main" id="{0843F749-EE7B-441D-8FD9-3CD7496ED17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3246" name="Text Box 192">
          <a:extLst>
            <a:ext uri="{FF2B5EF4-FFF2-40B4-BE49-F238E27FC236}">
              <a16:creationId xmlns:a16="http://schemas.microsoft.com/office/drawing/2014/main" id="{0AF69627-AA10-4CD8-863E-3695996DFD5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3247" name="Text Box 192">
          <a:extLst>
            <a:ext uri="{FF2B5EF4-FFF2-40B4-BE49-F238E27FC236}">
              <a16:creationId xmlns:a16="http://schemas.microsoft.com/office/drawing/2014/main" id="{9FA4D5E2-0AC2-4A88-94C2-189693A1427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3248" name="Text Box 192">
          <a:extLst>
            <a:ext uri="{FF2B5EF4-FFF2-40B4-BE49-F238E27FC236}">
              <a16:creationId xmlns:a16="http://schemas.microsoft.com/office/drawing/2014/main" id="{56C74A0D-538E-4467-9D3C-22B152BA3BA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3249" name="Text Box 192">
          <a:extLst>
            <a:ext uri="{FF2B5EF4-FFF2-40B4-BE49-F238E27FC236}">
              <a16:creationId xmlns:a16="http://schemas.microsoft.com/office/drawing/2014/main" id="{EF367FCE-1A1B-42A8-B40F-1CD9D473B0F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3250" name="Text Box 192">
          <a:extLst>
            <a:ext uri="{FF2B5EF4-FFF2-40B4-BE49-F238E27FC236}">
              <a16:creationId xmlns:a16="http://schemas.microsoft.com/office/drawing/2014/main" id="{364F043C-8A76-4EF8-B24A-B1C6A54EBC6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3251" name="Text Box 192">
          <a:extLst>
            <a:ext uri="{FF2B5EF4-FFF2-40B4-BE49-F238E27FC236}">
              <a16:creationId xmlns:a16="http://schemas.microsoft.com/office/drawing/2014/main" id="{DD0BAF96-3262-4606-9B5A-CA887AC2B0B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3252" name="Text Box 192">
          <a:extLst>
            <a:ext uri="{FF2B5EF4-FFF2-40B4-BE49-F238E27FC236}">
              <a16:creationId xmlns:a16="http://schemas.microsoft.com/office/drawing/2014/main" id="{98555816-58B4-4D91-AFE0-ABE2245B340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3253" name="Text Box 192">
          <a:extLst>
            <a:ext uri="{FF2B5EF4-FFF2-40B4-BE49-F238E27FC236}">
              <a16:creationId xmlns:a16="http://schemas.microsoft.com/office/drawing/2014/main" id="{8235421E-0CFE-419D-A520-146FE4388C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118</xdr:row>
      <xdr:rowOff>0</xdr:rowOff>
    </xdr:from>
    <xdr:ext cx="10372" cy="228955"/>
    <xdr:sp macro="" textlink="">
      <xdr:nvSpPr>
        <xdr:cNvPr id="3254" name="Text Box 192">
          <a:extLst>
            <a:ext uri="{FF2B5EF4-FFF2-40B4-BE49-F238E27FC236}">
              <a16:creationId xmlns:a16="http://schemas.microsoft.com/office/drawing/2014/main" id="{B817E3A9-C1D6-4DD9-8F15-8D534C83B64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3255" name="Text Box 192">
          <a:extLst>
            <a:ext uri="{FF2B5EF4-FFF2-40B4-BE49-F238E27FC236}">
              <a16:creationId xmlns:a16="http://schemas.microsoft.com/office/drawing/2014/main" id="{D1DC5E99-3334-4B02-84A6-E59F7CDAFB6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3256" name="Text Box 192">
          <a:extLst>
            <a:ext uri="{FF2B5EF4-FFF2-40B4-BE49-F238E27FC236}">
              <a16:creationId xmlns:a16="http://schemas.microsoft.com/office/drawing/2014/main" id="{8216EB3B-9D18-45BA-A972-C85483F64C4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3257" name="Text Box 192">
          <a:extLst>
            <a:ext uri="{FF2B5EF4-FFF2-40B4-BE49-F238E27FC236}">
              <a16:creationId xmlns:a16="http://schemas.microsoft.com/office/drawing/2014/main" id="{6974E524-184A-4A8A-A622-945E506FC1B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3258" name="Text Box 192">
          <a:extLst>
            <a:ext uri="{FF2B5EF4-FFF2-40B4-BE49-F238E27FC236}">
              <a16:creationId xmlns:a16="http://schemas.microsoft.com/office/drawing/2014/main" id="{EE8ADA42-56B8-4F9F-86AF-A01A1C16D09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3259" name="Text Box 192">
          <a:extLst>
            <a:ext uri="{FF2B5EF4-FFF2-40B4-BE49-F238E27FC236}">
              <a16:creationId xmlns:a16="http://schemas.microsoft.com/office/drawing/2014/main" id="{11A5DA8F-B7E9-4DBC-B117-9BF683088A6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119</xdr:row>
      <xdr:rowOff>0</xdr:rowOff>
    </xdr:from>
    <xdr:ext cx="10372" cy="228955"/>
    <xdr:sp macro="" textlink="">
      <xdr:nvSpPr>
        <xdr:cNvPr id="3260" name="Text Box 192">
          <a:extLst>
            <a:ext uri="{FF2B5EF4-FFF2-40B4-BE49-F238E27FC236}">
              <a16:creationId xmlns:a16="http://schemas.microsoft.com/office/drawing/2014/main" id="{D30EE027-305B-4468-BF3C-A17EF7CFCA5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121</xdr:row>
      <xdr:rowOff>0</xdr:rowOff>
    </xdr:from>
    <xdr:ext cx="10372" cy="228955"/>
    <xdr:sp macro="" textlink="">
      <xdr:nvSpPr>
        <xdr:cNvPr id="3261" name="Text Box 192">
          <a:extLst>
            <a:ext uri="{FF2B5EF4-FFF2-40B4-BE49-F238E27FC236}">
              <a16:creationId xmlns:a16="http://schemas.microsoft.com/office/drawing/2014/main" id="{C6BEF0E4-97FD-40E3-A6A4-CAFF7685EEE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3262" name="Text Box 192">
          <a:extLst>
            <a:ext uri="{FF2B5EF4-FFF2-40B4-BE49-F238E27FC236}">
              <a16:creationId xmlns:a16="http://schemas.microsoft.com/office/drawing/2014/main" id="{C159C386-2FCC-41B9-8E33-30989BAD948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121</xdr:row>
      <xdr:rowOff>0</xdr:rowOff>
    </xdr:from>
    <xdr:ext cx="10372" cy="228955"/>
    <xdr:sp macro="" textlink="">
      <xdr:nvSpPr>
        <xdr:cNvPr id="3263" name="Text Box 192">
          <a:extLst>
            <a:ext uri="{FF2B5EF4-FFF2-40B4-BE49-F238E27FC236}">
              <a16:creationId xmlns:a16="http://schemas.microsoft.com/office/drawing/2014/main" id="{56625CC2-9CC7-4B51-ABDA-140D49534D1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3264" name="Text Box 192">
          <a:extLst>
            <a:ext uri="{FF2B5EF4-FFF2-40B4-BE49-F238E27FC236}">
              <a16:creationId xmlns:a16="http://schemas.microsoft.com/office/drawing/2014/main" id="{2DAE0392-D80C-44CE-944D-9F6BEE86AB4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3265" name="Text Box 192">
          <a:extLst>
            <a:ext uri="{FF2B5EF4-FFF2-40B4-BE49-F238E27FC236}">
              <a16:creationId xmlns:a16="http://schemas.microsoft.com/office/drawing/2014/main" id="{FD6CD735-8251-4F29-BD7A-819ECC86FDC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3266" name="Text Box 192">
          <a:extLst>
            <a:ext uri="{FF2B5EF4-FFF2-40B4-BE49-F238E27FC236}">
              <a16:creationId xmlns:a16="http://schemas.microsoft.com/office/drawing/2014/main" id="{E4A260F7-E802-4AB4-84FA-6A10E723E58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3267" name="Text Box 192">
          <a:extLst>
            <a:ext uri="{FF2B5EF4-FFF2-40B4-BE49-F238E27FC236}">
              <a16:creationId xmlns:a16="http://schemas.microsoft.com/office/drawing/2014/main" id="{E72BC647-7CC1-4DFD-88BE-9369453C0FB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3268" name="Text Box 192">
          <a:extLst>
            <a:ext uri="{FF2B5EF4-FFF2-40B4-BE49-F238E27FC236}">
              <a16:creationId xmlns:a16="http://schemas.microsoft.com/office/drawing/2014/main" id="{2E3ADBE2-C9CB-4E7C-93C0-CB6DD4166BC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3269" name="Text Box 192">
          <a:extLst>
            <a:ext uri="{FF2B5EF4-FFF2-40B4-BE49-F238E27FC236}">
              <a16:creationId xmlns:a16="http://schemas.microsoft.com/office/drawing/2014/main" id="{1F76E71E-555C-40E3-95B3-DC699E03D3F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3270" name="Text Box 192">
          <a:extLst>
            <a:ext uri="{FF2B5EF4-FFF2-40B4-BE49-F238E27FC236}">
              <a16:creationId xmlns:a16="http://schemas.microsoft.com/office/drawing/2014/main" id="{7483DFCE-1FA3-404D-9E17-9269E2D15F3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3271" name="Text Box 192">
          <a:extLst>
            <a:ext uri="{FF2B5EF4-FFF2-40B4-BE49-F238E27FC236}">
              <a16:creationId xmlns:a16="http://schemas.microsoft.com/office/drawing/2014/main" id="{1E43D6D9-2882-4DCE-8487-DA3F7682122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122</xdr:row>
      <xdr:rowOff>0</xdr:rowOff>
    </xdr:from>
    <xdr:ext cx="10372" cy="228955"/>
    <xdr:sp macro="" textlink="">
      <xdr:nvSpPr>
        <xdr:cNvPr id="3272" name="Text Box 192">
          <a:extLst>
            <a:ext uri="{FF2B5EF4-FFF2-40B4-BE49-F238E27FC236}">
              <a16:creationId xmlns:a16="http://schemas.microsoft.com/office/drawing/2014/main" id="{2CC2842A-22EF-412C-8EFA-C64F6B4C98C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3273" name="Text Box 192">
          <a:extLst>
            <a:ext uri="{FF2B5EF4-FFF2-40B4-BE49-F238E27FC236}">
              <a16:creationId xmlns:a16="http://schemas.microsoft.com/office/drawing/2014/main" id="{033449BC-75E4-48C3-993C-D1B7A0F36A3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3274" name="Text Box 192">
          <a:extLst>
            <a:ext uri="{FF2B5EF4-FFF2-40B4-BE49-F238E27FC236}">
              <a16:creationId xmlns:a16="http://schemas.microsoft.com/office/drawing/2014/main" id="{8D8DD9DE-720B-4770-87ED-9898DA88145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3275" name="Text Box 192">
          <a:extLst>
            <a:ext uri="{FF2B5EF4-FFF2-40B4-BE49-F238E27FC236}">
              <a16:creationId xmlns:a16="http://schemas.microsoft.com/office/drawing/2014/main" id="{79A6D8D3-C398-438D-AC93-0A6854A020C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3276" name="Text Box 192">
          <a:extLst>
            <a:ext uri="{FF2B5EF4-FFF2-40B4-BE49-F238E27FC236}">
              <a16:creationId xmlns:a16="http://schemas.microsoft.com/office/drawing/2014/main" id="{EED04AD0-FBAC-4751-9BD3-4C22281D2A9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3277" name="Text Box 192">
          <a:extLst>
            <a:ext uri="{FF2B5EF4-FFF2-40B4-BE49-F238E27FC236}">
              <a16:creationId xmlns:a16="http://schemas.microsoft.com/office/drawing/2014/main" id="{B0E11F64-B86D-4E9A-87F6-A522EDA70DB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3278" name="Text Box 192">
          <a:extLst>
            <a:ext uri="{FF2B5EF4-FFF2-40B4-BE49-F238E27FC236}">
              <a16:creationId xmlns:a16="http://schemas.microsoft.com/office/drawing/2014/main" id="{8657F902-0B0C-4174-8B66-D7FC1384F35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3279" name="Text Box 192">
          <a:extLst>
            <a:ext uri="{FF2B5EF4-FFF2-40B4-BE49-F238E27FC236}">
              <a16:creationId xmlns:a16="http://schemas.microsoft.com/office/drawing/2014/main" id="{534A6293-B829-4624-9FD5-984759D47F1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3280" name="Text Box 192">
          <a:extLst>
            <a:ext uri="{FF2B5EF4-FFF2-40B4-BE49-F238E27FC236}">
              <a16:creationId xmlns:a16="http://schemas.microsoft.com/office/drawing/2014/main" id="{34CA74CF-11DC-4B5B-B261-74B574F4AAE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123</xdr:row>
      <xdr:rowOff>0</xdr:rowOff>
    </xdr:from>
    <xdr:ext cx="10372" cy="228955"/>
    <xdr:sp macro="" textlink="">
      <xdr:nvSpPr>
        <xdr:cNvPr id="3281" name="Text Box 192">
          <a:extLst>
            <a:ext uri="{FF2B5EF4-FFF2-40B4-BE49-F238E27FC236}">
              <a16:creationId xmlns:a16="http://schemas.microsoft.com/office/drawing/2014/main" id="{654E6FD3-7D60-433C-8F57-04948F796FA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3282" name="Text Box 192">
          <a:extLst>
            <a:ext uri="{FF2B5EF4-FFF2-40B4-BE49-F238E27FC236}">
              <a16:creationId xmlns:a16="http://schemas.microsoft.com/office/drawing/2014/main" id="{2BF12650-3300-4153-9942-C2C49D253A4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3283" name="Text Box 192">
          <a:extLst>
            <a:ext uri="{FF2B5EF4-FFF2-40B4-BE49-F238E27FC236}">
              <a16:creationId xmlns:a16="http://schemas.microsoft.com/office/drawing/2014/main" id="{B40EDABA-33EF-4F01-901E-E35E8712F32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3284" name="Text Box 192">
          <a:extLst>
            <a:ext uri="{FF2B5EF4-FFF2-40B4-BE49-F238E27FC236}">
              <a16:creationId xmlns:a16="http://schemas.microsoft.com/office/drawing/2014/main" id="{9BC54068-CB2A-4502-9F50-D3CB3750024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3285" name="Text Box 192">
          <a:extLst>
            <a:ext uri="{FF2B5EF4-FFF2-40B4-BE49-F238E27FC236}">
              <a16:creationId xmlns:a16="http://schemas.microsoft.com/office/drawing/2014/main" id="{2B9D3B89-BCAE-45B9-862A-7565B548DF3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3286" name="Text Box 192">
          <a:extLst>
            <a:ext uri="{FF2B5EF4-FFF2-40B4-BE49-F238E27FC236}">
              <a16:creationId xmlns:a16="http://schemas.microsoft.com/office/drawing/2014/main" id="{3900715E-AFE3-4000-A525-F64D984FAEF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3287" name="Text Box 192">
          <a:extLst>
            <a:ext uri="{FF2B5EF4-FFF2-40B4-BE49-F238E27FC236}">
              <a16:creationId xmlns:a16="http://schemas.microsoft.com/office/drawing/2014/main" id="{79D34E04-BE93-49CB-A757-EABA310CF38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3288" name="Text Box 192">
          <a:extLst>
            <a:ext uri="{FF2B5EF4-FFF2-40B4-BE49-F238E27FC236}">
              <a16:creationId xmlns:a16="http://schemas.microsoft.com/office/drawing/2014/main" id="{C4F362F3-F66E-47D0-BE79-969DEC7AD4A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3289" name="Text Box 192">
          <a:extLst>
            <a:ext uri="{FF2B5EF4-FFF2-40B4-BE49-F238E27FC236}">
              <a16:creationId xmlns:a16="http://schemas.microsoft.com/office/drawing/2014/main" id="{9A7A9452-9CE9-4F97-BBAD-042DB174DBB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124</xdr:row>
      <xdr:rowOff>0</xdr:rowOff>
    </xdr:from>
    <xdr:ext cx="10372" cy="228955"/>
    <xdr:sp macro="" textlink="">
      <xdr:nvSpPr>
        <xdr:cNvPr id="3290" name="Text Box 192">
          <a:extLst>
            <a:ext uri="{FF2B5EF4-FFF2-40B4-BE49-F238E27FC236}">
              <a16:creationId xmlns:a16="http://schemas.microsoft.com/office/drawing/2014/main" id="{EC62181D-8CC9-4A19-9AD7-2CA61B6EA8D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3291" name="Text Box 192">
          <a:extLst>
            <a:ext uri="{FF2B5EF4-FFF2-40B4-BE49-F238E27FC236}">
              <a16:creationId xmlns:a16="http://schemas.microsoft.com/office/drawing/2014/main" id="{6D570C24-3F7C-4995-9497-490B486337D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3292" name="Text Box 192">
          <a:extLst>
            <a:ext uri="{FF2B5EF4-FFF2-40B4-BE49-F238E27FC236}">
              <a16:creationId xmlns:a16="http://schemas.microsoft.com/office/drawing/2014/main" id="{D8E4B8C2-E6AC-412F-A907-7EA91D72C5E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3293" name="Text Box 192">
          <a:extLst>
            <a:ext uri="{FF2B5EF4-FFF2-40B4-BE49-F238E27FC236}">
              <a16:creationId xmlns:a16="http://schemas.microsoft.com/office/drawing/2014/main" id="{1C8AC8B4-A848-4592-AF70-BF3AEB51115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3294" name="Text Box 192">
          <a:extLst>
            <a:ext uri="{FF2B5EF4-FFF2-40B4-BE49-F238E27FC236}">
              <a16:creationId xmlns:a16="http://schemas.microsoft.com/office/drawing/2014/main" id="{7C2C341E-5994-4F44-9655-DBCE6E13EC7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3295" name="Text Box 192">
          <a:extLst>
            <a:ext uri="{FF2B5EF4-FFF2-40B4-BE49-F238E27FC236}">
              <a16:creationId xmlns:a16="http://schemas.microsoft.com/office/drawing/2014/main" id="{5E5423C3-3E0C-4E84-8A4B-30B50E550D5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3296" name="Text Box 192">
          <a:extLst>
            <a:ext uri="{FF2B5EF4-FFF2-40B4-BE49-F238E27FC236}">
              <a16:creationId xmlns:a16="http://schemas.microsoft.com/office/drawing/2014/main" id="{FA5A8433-AFDE-4B82-A6E2-C8BD7503472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3297" name="Text Box 192">
          <a:extLst>
            <a:ext uri="{FF2B5EF4-FFF2-40B4-BE49-F238E27FC236}">
              <a16:creationId xmlns:a16="http://schemas.microsoft.com/office/drawing/2014/main" id="{A0DC17E1-6C2E-4AF7-95A7-53DD5A2BABE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3298" name="Text Box 192">
          <a:extLst>
            <a:ext uri="{FF2B5EF4-FFF2-40B4-BE49-F238E27FC236}">
              <a16:creationId xmlns:a16="http://schemas.microsoft.com/office/drawing/2014/main" id="{8E0E9DEB-EF56-46DA-8EA5-A610F496BBC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125</xdr:row>
      <xdr:rowOff>0</xdr:rowOff>
    </xdr:from>
    <xdr:ext cx="10372" cy="228955"/>
    <xdr:sp macro="" textlink="">
      <xdr:nvSpPr>
        <xdr:cNvPr id="3299" name="Text Box 192">
          <a:extLst>
            <a:ext uri="{FF2B5EF4-FFF2-40B4-BE49-F238E27FC236}">
              <a16:creationId xmlns:a16="http://schemas.microsoft.com/office/drawing/2014/main" id="{C50451D1-5AE7-4E95-B300-AE9AC800F83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3300" name="Text Box 192">
          <a:extLst>
            <a:ext uri="{FF2B5EF4-FFF2-40B4-BE49-F238E27FC236}">
              <a16:creationId xmlns:a16="http://schemas.microsoft.com/office/drawing/2014/main" id="{E4AB9EF4-4949-40F5-8DA9-58596F0FA36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3301" name="Text Box 192">
          <a:extLst>
            <a:ext uri="{FF2B5EF4-FFF2-40B4-BE49-F238E27FC236}">
              <a16:creationId xmlns:a16="http://schemas.microsoft.com/office/drawing/2014/main" id="{DBCE8489-3942-4A86-87BD-80A8D7D80F7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3302" name="Text Box 192">
          <a:extLst>
            <a:ext uri="{FF2B5EF4-FFF2-40B4-BE49-F238E27FC236}">
              <a16:creationId xmlns:a16="http://schemas.microsoft.com/office/drawing/2014/main" id="{8BBE57CF-99F1-42D6-B546-F7C83958693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3303" name="Text Box 192">
          <a:extLst>
            <a:ext uri="{FF2B5EF4-FFF2-40B4-BE49-F238E27FC236}">
              <a16:creationId xmlns:a16="http://schemas.microsoft.com/office/drawing/2014/main" id="{C31554F8-417B-40A5-9436-93B2F0DC917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3304" name="Text Box 192">
          <a:extLst>
            <a:ext uri="{FF2B5EF4-FFF2-40B4-BE49-F238E27FC236}">
              <a16:creationId xmlns:a16="http://schemas.microsoft.com/office/drawing/2014/main" id="{32D392F0-BEE3-41F2-8D7E-D26FF02DED6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3305" name="Text Box 192">
          <a:extLst>
            <a:ext uri="{FF2B5EF4-FFF2-40B4-BE49-F238E27FC236}">
              <a16:creationId xmlns:a16="http://schemas.microsoft.com/office/drawing/2014/main" id="{CED94E83-79AA-48E2-9112-EAC3209FC1A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3306" name="Text Box 192">
          <a:extLst>
            <a:ext uri="{FF2B5EF4-FFF2-40B4-BE49-F238E27FC236}">
              <a16:creationId xmlns:a16="http://schemas.microsoft.com/office/drawing/2014/main" id="{1FC1ECDD-A7DF-4AD1-ABE6-C1EFBE992B8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3307" name="Text Box 192">
          <a:extLst>
            <a:ext uri="{FF2B5EF4-FFF2-40B4-BE49-F238E27FC236}">
              <a16:creationId xmlns:a16="http://schemas.microsoft.com/office/drawing/2014/main" id="{59E4BAAC-9C62-42F3-B5CA-D97AB746A10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126</xdr:row>
      <xdr:rowOff>0</xdr:rowOff>
    </xdr:from>
    <xdr:ext cx="10372" cy="228955"/>
    <xdr:sp macro="" textlink="">
      <xdr:nvSpPr>
        <xdr:cNvPr id="3308" name="Text Box 192">
          <a:extLst>
            <a:ext uri="{FF2B5EF4-FFF2-40B4-BE49-F238E27FC236}">
              <a16:creationId xmlns:a16="http://schemas.microsoft.com/office/drawing/2014/main" id="{980253C1-FD31-4AA9-B611-39A812A011F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3309" name="Text Box 192">
          <a:extLst>
            <a:ext uri="{FF2B5EF4-FFF2-40B4-BE49-F238E27FC236}">
              <a16:creationId xmlns:a16="http://schemas.microsoft.com/office/drawing/2014/main" id="{FD2DFF20-0356-49BE-BD05-56EC012D93F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3310" name="Text Box 192">
          <a:extLst>
            <a:ext uri="{FF2B5EF4-FFF2-40B4-BE49-F238E27FC236}">
              <a16:creationId xmlns:a16="http://schemas.microsoft.com/office/drawing/2014/main" id="{3485795A-3617-49AE-9050-7E173B8EE41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3311" name="Text Box 192">
          <a:extLst>
            <a:ext uri="{FF2B5EF4-FFF2-40B4-BE49-F238E27FC236}">
              <a16:creationId xmlns:a16="http://schemas.microsoft.com/office/drawing/2014/main" id="{5F232D3F-0E68-4A22-B554-876121D905F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3312" name="Text Box 192">
          <a:extLst>
            <a:ext uri="{FF2B5EF4-FFF2-40B4-BE49-F238E27FC236}">
              <a16:creationId xmlns:a16="http://schemas.microsoft.com/office/drawing/2014/main" id="{DDECC0F9-F861-41D2-A6BD-4E68E146C55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3313" name="Text Box 192">
          <a:extLst>
            <a:ext uri="{FF2B5EF4-FFF2-40B4-BE49-F238E27FC236}">
              <a16:creationId xmlns:a16="http://schemas.microsoft.com/office/drawing/2014/main" id="{C6932AB0-4169-4F32-BBC1-59678ADAE5C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127</xdr:row>
      <xdr:rowOff>0</xdr:rowOff>
    </xdr:from>
    <xdr:ext cx="10372" cy="228955"/>
    <xdr:sp macro="" textlink="">
      <xdr:nvSpPr>
        <xdr:cNvPr id="3314" name="Text Box 192">
          <a:extLst>
            <a:ext uri="{FF2B5EF4-FFF2-40B4-BE49-F238E27FC236}">
              <a16:creationId xmlns:a16="http://schemas.microsoft.com/office/drawing/2014/main" id="{DFB632C0-0FF1-4027-8A02-D476730B09A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130</xdr:row>
      <xdr:rowOff>0</xdr:rowOff>
    </xdr:from>
    <xdr:ext cx="10372" cy="228955"/>
    <xdr:sp macro="" textlink="">
      <xdr:nvSpPr>
        <xdr:cNvPr id="3315" name="Text Box 192">
          <a:extLst>
            <a:ext uri="{FF2B5EF4-FFF2-40B4-BE49-F238E27FC236}">
              <a16:creationId xmlns:a16="http://schemas.microsoft.com/office/drawing/2014/main" id="{78A7D83F-9B69-450C-B9F2-C85A7AB9FBA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3316" name="Text Box 192">
          <a:extLst>
            <a:ext uri="{FF2B5EF4-FFF2-40B4-BE49-F238E27FC236}">
              <a16:creationId xmlns:a16="http://schemas.microsoft.com/office/drawing/2014/main" id="{8E79DA7C-3EA1-4A3E-AE46-1AF60C6D7CE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130</xdr:row>
      <xdr:rowOff>0</xdr:rowOff>
    </xdr:from>
    <xdr:ext cx="10372" cy="228955"/>
    <xdr:sp macro="" textlink="">
      <xdr:nvSpPr>
        <xdr:cNvPr id="3317" name="Text Box 192">
          <a:extLst>
            <a:ext uri="{FF2B5EF4-FFF2-40B4-BE49-F238E27FC236}">
              <a16:creationId xmlns:a16="http://schemas.microsoft.com/office/drawing/2014/main" id="{E2BDEEA3-2AA7-4667-9DA2-0C12CABC869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3318" name="Text Box 192">
          <a:extLst>
            <a:ext uri="{FF2B5EF4-FFF2-40B4-BE49-F238E27FC236}">
              <a16:creationId xmlns:a16="http://schemas.microsoft.com/office/drawing/2014/main" id="{FE42F63A-C5A6-40B3-B88A-5C76B10FEB2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3319" name="Text Box 192">
          <a:extLst>
            <a:ext uri="{FF2B5EF4-FFF2-40B4-BE49-F238E27FC236}">
              <a16:creationId xmlns:a16="http://schemas.microsoft.com/office/drawing/2014/main" id="{9FF933D0-0BB4-4D8B-A436-BDE33BDD2E0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3320" name="Text Box 192">
          <a:extLst>
            <a:ext uri="{FF2B5EF4-FFF2-40B4-BE49-F238E27FC236}">
              <a16:creationId xmlns:a16="http://schemas.microsoft.com/office/drawing/2014/main" id="{67758327-D7C3-498B-8666-4464ABBFF57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3321" name="Text Box 192">
          <a:extLst>
            <a:ext uri="{FF2B5EF4-FFF2-40B4-BE49-F238E27FC236}">
              <a16:creationId xmlns:a16="http://schemas.microsoft.com/office/drawing/2014/main" id="{1D16F737-B843-4BD5-B89E-7ACB6CEB841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3322" name="Text Box 192">
          <a:extLst>
            <a:ext uri="{FF2B5EF4-FFF2-40B4-BE49-F238E27FC236}">
              <a16:creationId xmlns:a16="http://schemas.microsoft.com/office/drawing/2014/main" id="{D3088E7F-A202-4925-AD61-D227EACEC73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3323" name="Text Box 192">
          <a:extLst>
            <a:ext uri="{FF2B5EF4-FFF2-40B4-BE49-F238E27FC236}">
              <a16:creationId xmlns:a16="http://schemas.microsoft.com/office/drawing/2014/main" id="{4EA3608E-562B-4020-8BB2-4B695C05A41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3324" name="Text Box 192">
          <a:extLst>
            <a:ext uri="{FF2B5EF4-FFF2-40B4-BE49-F238E27FC236}">
              <a16:creationId xmlns:a16="http://schemas.microsoft.com/office/drawing/2014/main" id="{0D7F03C4-55F5-45DF-AB6E-7462293BC52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3325" name="Text Box 192">
          <a:extLst>
            <a:ext uri="{FF2B5EF4-FFF2-40B4-BE49-F238E27FC236}">
              <a16:creationId xmlns:a16="http://schemas.microsoft.com/office/drawing/2014/main" id="{A2E79579-E868-4B0E-B779-5C56298A498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131</xdr:row>
      <xdr:rowOff>0</xdr:rowOff>
    </xdr:from>
    <xdr:ext cx="10372" cy="228955"/>
    <xdr:sp macro="" textlink="">
      <xdr:nvSpPr>
        <xdr:cNvPr id="3326" name="Text Box 192">
          <a:extLst>
            <a:ext uri="{FF2B5EF4-FFF2-40B4-BE49-F238E27FC236}">
              <a16:creationId xmlns:a16="http://schemas.microsoft.com/office/drawing/2014/main" id="{0EDF1C64-D6C1-4CF2-BB71-CFB708F2BB5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3327" name="Text Box 192">
          <a:extLst>
            <a:ext uri="{FF2B5EF4-FFF2-40B4-BE49-F238E27FC236}">
              <a16:creationId xmlns:a16="http://schemas.microsoft.com/office/drawing/2014/main" id="{0912FB8F-0968-485E-BB70-708E8D1B0D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3328" name="Text Box 192">
          <a:extLst>
            <a:ext uri="{FF2B5EF4-FFF2-40B4-BE49-F238E27FC236}">
              <a16:creationId xmlns:a16="http://schemas.microsoft.com/office/drawing/2014/main" id="{A03A1595-2E4A-457A-BCD1-A1B3F1BD9DE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3329" name="Text Box 192">
          <a:extLst>
            <a:ext uri="{FF2B5EF4-FFF2-40B4-BE49-F238E27FC236}">
              <a16:creationId xmlns:a16="http://schemas.microsoft.com/office/drawing/2014/main" id="{2C03FF8F-B3F0-432A-A16E-30F1FA40521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3330" name="Text Box 192">
          <a:extLst>
            <a:ext uri="{FF2B5EF4-FFF2-40B4-BE49-F238E27FC236}">
              <a16:creationId xmlns:a16="http://schemas.microsoft.com/office/drawing/2014/main" id="{C9A040B6-2D07-4EE9-B9BC-95CD7EA8FD8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3331" name="Text Box 192">
          <a:extLst>
            <a:ext uri="{FF2B5EF4-FFF2-40B4-BE49-F238E27FC236}">
              <a16:creationId xmlns:a16="http://schemas.microsoft.com/office/drawing/2014/main" id="{EAF0C13A-A5A4-47A8-A666-BF569EAFC6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3332" name="Text Box 192">
          <a:extLst>
            <a:ext uri="{FF2B5EF4-FFF2-40B4-BE49-F238E27FC236}">
              <a16:creationId xmlns:a16="http://schemas.microsoft.com/office/drawing/2014/main" id="{D7FD36A1-9A9E-4238-ACB5-9586875E722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3333" name="Text Box 192">
          <a:extLst>
            <a:ext uri="{FF2B5EF4-FFF2-40B4-BE49-F238E27FC236}">
              <a16:creationId xmlns:a16="http://schemas.microsoft.com/office/drawing/2014/main" id="{4F6A3A73-3C72-4682-A5CE-35C697005DE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3334" name="Text Box 192">
          <a:extLst>
            <a:ext uri="{FF2B5EF4-FFF2-40B4-BE49-F238E27FC236}">
              <a16:creationId xmlns:a16="http://schemas.microsoft.com/office/drawing/2014/main" id="{D98203B3-5931-4CE6-B72B-7F3B1586D16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132</xdr:row>
      <xdr:rowOff>0</xdr:rowOff>
    </xdr:from>
    <xdr:ext cx="10372" cy="228955"/>
    <xdr:sp macro="" textlink="">
      <xdr:nvSpPr>
        <xdr:cNvPr id="3335" name="Text Box 192">
          <a:extLst>
            <a:ext uri="{FF2B5EF4-FFF2-40B4-BE49-F238E27FC236}">
              <a16:creationId xmlns:a16="http://schemas.microsoft.com/office/drawing/2014/main" id="{CA22D9F5-0DCB-4DA7-B1D0-94D27040040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3336" name="Text Box 192">
          <a:extLst>
            <a:ext uri="{FF2B5EF4-FFF2-40B4-BE49-F238E27FC236}">
              <a16:creationId xmlns:a16="http://schemas.microsoft.com/office/drawing/2014/main" id="{7B15A123-31FE-4977-A9CE-CD4DC9EA512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3337" name="Text Box 192">
          <a:extLst>
            <a:ext uri="{FF2B5EF4-FFF2-40B4-BE49-F238E27FC236}">
              <a16:creationId xmlns:a16="http://schemas.microsoft.com/office/drawing/2014/main" id="{B562F38D-6713-450E-B5C7-BC8E5F0DC8F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3338" name="Text Box 192">
          <a:extLst>
            <a:ext uri="{FF2B5EF4-FFF2-40B4-BE49-F238E27FC236}">
              <a16:creationId xmlns:a16="http://schemas.microsoft.com/office/drawing/2014/main" id="{E0B95B1E-DFFC-4D90-A730-5F2BD0ED438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3339" name="Text Box 192">
          <a:extLst>
            <a:ext uri="{FF2B5EF4-FFF2-40B4-BE49-F238E27FC236}">
              <a16:creationId xmlns:a16="http://schemas.microsoft.com/office/drawing/2014/main" id="{2C7EF7F5-8019-482F-A219-05C7C5257E4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3340" name="Text Box 192">
          <a:extLst>
            <a:ext uri="{FF2B5EF4-FFF2-40B4-BE49-F238E27FC236}">
              <a16:creationId xmlns:a16="http://schemas.microsoft.com/office/drawing/2014/main" id="{44118F20-3082-463A-B8AA-90C78C9ECB9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3341" name="Text Box 192">
          <a:extLst>
            <a:ext uri="{FF2B5EF4-FFF2-40B4-BE49-F238E27FC236}">
              <a16:creationId xmlns:a16="http://schemas.microsoft.com/office/drawing/2014/main" id="{CCC024F9-9623-4D0E-945C-4FF1B2CB7E4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3342" name="Text Box 192">
          <a:extLst>
            <a:ext uri="{FF2B5EF4-FFF2-40B4-BE49-F238E27FC236}">
              <a16:creationId xmlns:a16="http://schemas.microsoft.com/office/drawing/2014/main" id="{CED46957-BB03-4D15-83B1-93D506EB3FE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3343" name="Text Box 192">
          <a:extLst>
            <a:ext uri="{FF2B5EF4-FFF2-40B4-BE49-F238E27FC236}">
              <a16:creationId xmlns:a16="http://schemas.microsoft.com/office/drawing/2014/main" id="{68E20162-9EF3-48F1-9AC1-3230671A1FA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133</xdr:row>
      <xdr:rowOff>0</xdr:rowOff>
    </xdr:from>
    <xdr:ext cx="10372" cy="228955"/>
    <xdr:sp macro="" textlink="">
      <xdr:nvSpPr>
        <xdr:cNvPr id="3344" name="Text Box 192">
          <a:extLst>
            <a:ext uri="{FF2B5EF4-FFF2-40B4-BE49-F238E27FC236}">
              <a16:creationId xmlns:a16="http://schemas.microsoft.com/office/drawing/2014/main" id="{1A3A010D-3468-4322-AD51-72CF75C69CD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3345" name="Text Box 192">
          <a:extLst>
            <a:ext uri="{FF2B5EF4-FFF2-40B4-BE49-F238E27FC236}">
              <a16:creationId xmlns:a16="http://schemas.microsoft.com/office/drawing/2014/main" id="{178F7DB9-669E-4BE5-ABC2-F351C6B42F7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3346" name="Text Box 192">
          <a:extLst>
            <a:ext uri="{FF2B5EF4-FFF2-40B4-BE49-F238E27FC236}">
              <a16:creationId xmlns:a16="http://schemas.microsoft.com/office/drawing/2014/main" id="{6B7911D8-5EC8-4BE8-A0D1-1AB4FC842BB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3347" name="Text Box 192">
          <a:extLst>
            <a:ext uri="{FF2B5EF4-FFF2-40B4-BE49-F238E27FC236}">
              <a16:creationId xmlns:a16="http://schemas.microsoft.com/office/drawing/2014/main" id="{EDB7BCFD-4D16-49EA-9A63-7D9E2A04EF6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3348" name="Text Box 192">
          <a:extLst>
            <a:ext uri="{FF2B5EF4-FFF2-40B4-BE49-F238E27FC236}">
              <a16:creationId xmlns:a16="http://schemas.microsoft.com/office/drawing/2014/main" id="{54E06E6F-DC37-4ADC-9D30-92A986A74B3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3349" name="Text Box 192">
          <a:extLst>
            <a:ext uri="{FF2B5EF4-FFF2-40B4-BE49-F238E27FC236}">
              <a16:creationId xmlns:a16="http://schemas.microsoft.com/office/drawing/2014/main" id="{7BE6173C-8FB2-4C24-A99E-F52B0518C87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3350" name="Text Box 192">
          <a:extLst>
            <a:ext uri="{FF2B5EF4-FFF2-40B4-BE49-F238E27FC236}">
              <a16:creationId xmlns:a16="http://schemas.microsoft.com/office/drawing/2014/main" id="{A8AB953A-BE97-4172-B72B-EFAA24F1A82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3351" name="Text Box 192">
          <a:extLst>
            <a:ext uri="{FF2B5EF4-FFF2-40B4-BE49-F238E27FC236}">
              <a16:creationId xmlns:a16="http://schemas.microsoft.com/office/drawing/2014/main" id="{A8363F3D-6B9C-4AF1-A636-BB4E20CB265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3352" name="Text Box 192">
          <a:extLst>
            <a:ext uri="{FF2B5EF4-FFF2-40B4-BE49-F238E27FC236}">
              <a16:creationId xmlns:a16="http://schemas.microsoft.com/office/drawing/2014/main" id="{202CD4E9-84FA-4780-AC6F-3A0601F0248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134</xdr:row>
      <xdr:rowOff>0</xdr:rowOff>
    </xdr:from>
    <xdr:ext cx="10372" cy="228955"/>
    <xdr:sp macro="" textlink="">
      <xdr:nvSpPr>
        <xdr:cNvPr id="3353" name="Text Box 192">
          <a:extLst>
            <a:ext uri="{FF2B5EF4-FFF2-40B4-BE49-F238E27FC236}">
              <a16:creationId xmlns:a16="http://schemas.microsoft.com/office/drawing/2014/main" id="{BE9CFF60-DDE5-4CCD-B4E8-15AF5B86DFA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3354" name="Text Box 192">
          <a:extLst>
            <a:ext uri="{FF2B5EF4-FFF2-40B4-BE49-F238E27FC236}">
              <a16:creationId xmlns:a16="http://schemas.microsoft.com/office/drawing/2014/main" id="{26D9BE55-EF0A-4AC4-9F57-F66C6FDC684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3355" name="Text Box 192">
          <a:extLst>
            <a:ext uri="{FF2B5EF4-FFF2-40B4-BE49-F238E27FC236}">
              <a16:creationId xmlns:a16="http://schemas.microsoft.com/office/drawing/2014/main" id="{4EA17B8E-CD59-4833-8520-5608EFA85FD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3356" name="Text Box 192">
          <a:extLst>
            <a:ext uri="{FF2B5EF4-FFF2-40B4-BE49-F238E27FC236}">
              <a16:creationId xmlns:a16="http://schemas.microsoft.com/office/drawing/2014/main" id="{9A37B11A-3C80-4855-912E-1941620E0EE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3357" name="Text Box 192">
          <a:extLst>
            <a:ext uri="{FF2B5EF4-FFF2-40B4-BE49-F238E27FC236}">
              <a16:creationId xmlns:a16="http://schemas.microsoft.com/office/drawing/2014/main" id="{D58930B4-8D03-4301-A1EE-0817A985FCF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3358" name="Text Box 192">
          <a:extLst>
            <a:ext uri="{FF2B5EF4-FFF2-40B4-BE49-F238E27FC236}">
              <a16:creationId xmlns:a16="http://schemas.microsoft.com/office/drawing/2014/main" id="{73346927-9AC6-43F7-BB73-33AB34B2A60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3359" name="Text Box 192">
          <a:extLst>
            <a:ext uri="{FF2B5EF4-FFF2-40B4-BE49-F238E27FC236}">
              <a16:creationId xmlns:a16="http://schemas.microsoft.com/office/drawing/2014/main" id="{212BD7A1-9069-4928-9DAB-047C0DE8A45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3360" name="Text Box 192">
          <a:extLst>
            <a:ext uri="{FF2B5EF4-FFF2-40B4-BE49-F238E27FC236}">
              <a16:creationId xmlns:a16="http://schemas.microsoft.com/office/drawing/2014/main" id="{71944DCC-D03B-4F95-9EBA-6E9256B171E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3361" name="Text Box 192">
          <a:extLst>
            <a:ext uri="{FF2B5EF4-FFF2-40B4-BE49-F238E27FC236}">
              <a16:creationId xmlns:a16="http://schemas.microsoft.com/office/drawing/2014/main" id="{1801908A-B5CB-4976-BB76-3C42028151F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135</xdr:row>
      <xdr:rowOff>0</xdr:rowOff>
    </xdr:from>
    <xdr:ext cx="10372" cy="228955"/>
    <xdr:sp macro="" textlink="">
      <xdr:nvSpPr>
        <xdr:cNvPr id="3362" name="Text Box 192">
          <a:extLst>
            <a:ext uri="{FF2B5EF4-FFF2-40B4-BE49-F238E27FC236}">
              <a16:creationId xmlns:a16="http://schemas.microsoft.com/office/drawing/2014/main" id="{00C8E18A-E68A-4763-B1E7-0BB7B56BB61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3363" name="Text Box 192">
          <a:extLst>
            <a:ext uri="{FF2B5EF4-FFF2-40B4-BE49-F238E27FC236}">
              <a16:creationId xmlns:a16="http://schemas.microsoft.com/office/drawing/2014/main" id="{8DD6B4A4-EAB9-4A31-967D-F2E1F393B47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3364" name="Text Box 192">
          <a:extLst>
            <a:ext uri="{FF2B5EF4-FFF2-40B4-BE49-F238E27FC236}">
              <a16:creationId xmlns:a16="http://schemas.microsoft.com/office/drawing/2014/main" id="{3295B01D-3838-4B83-82B1-88C18BD234B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3365" name="Text Box 192">
          <a:extLst>
            <a:ext uri="{FF2B5EF4-FFF2-40B4-BE49-F238E27FC236}">
              <a16:creationId xmlns:a16="http://schemas.microsoft.com/office/drawing/2014/main" id="{ED13C79C-6B94-4AAA-87C6-9F6A296D9D8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3366" name="Text Box 192">
          <a:extLst>
            <a:ext uri="{FF2B5EF4-FFF2-40B4-BE49-F238E27FC236}">
              <a16:creationId xmlns:a16="http://schemas.microsoft.com/office/drawing/2014/main" id="{DB9C5324-69EE-46CF-B8EC-6B8D79831CF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3367" name="Text Box 192">
          <a:extLst>
            <a:ext uri="{FF2B5EF4-FFF2-40B4-BE49-F238E27FC236}">
              <a16:creationId xmlns:a16="http://schemas.microsoft.com/office/drawing/2014/main" id="{E0A78B46-2524-439C-BDD6-2A9724F7781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3368" name="Text Box 192">
          <a:extLst>
            <a:ext uri="{FF2B5EF4-FFF2-40B4-BE49-F238E27FC236}">
              <a16:creationId xmlns:a16="http://schemas.microsoft.com/office/drawing/2014/main" id="{9E6F62E1-8755-4388-A624-02E8CBC7E57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3369" name="Text Box 192">
          <a:extLst>
            <a:ext uri="{FF2B5EF4-FFF2-40B4-BE49-F238E27FC236}">
              <a16:creationId xmlns:a16="http://schemas.microsoft.com/office/drawing/2014/main" id="{BBBD4974-2ECF-46B2-A3D1-6D7BC792E00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3370" name="Text Box 192">
          <a:extLst>
            <a:ext uri="{FF2B5EF4-FFF2-40B4-BE49-F238E27FC236}">
              <a16:creationId xmlns:a16="http://schemas.microsoft.com/office/drawing/2014/main" id="{F73AA172-46C7-40BA-8DEC-CA914489270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136</xdr:row>
      <xdr:rowOff>0</xdr:rowOff>
    </xdr:from>
    <xdr:ext cx="10372" cy="228955"/>
    <xdr:sp macro="" textlink="">
      <xdr:nvSpPr>
        <xdr:cNvPr id="3371" name="Text Box 192">
          <a:extLst>
            <a:ext uri="{FF2B5EF4-FFF2-40B4-BE49-F238E27FC236}">
              <a16:creationId xmlns:a16="http://schemas.microsoft.com/office/drawing/2014/main" id="{8E717CAD-C2F1-45A8-9B24-7FC0AEA4369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3372" name="Text Box 192">
          <a:extLst>
            <a:ext uri="{FF2B5EF4-FFF2-40B4-BE49-F238E27FC236}">
              <a16:creationId xmlns:a16="http://schemas.microsoft.com/office/drawing/2014/main" id="{ECF6FA39-DA41-407D-8EE5-33C7368B1E4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3373" name="Text Box 192">
          <a:extLst>
            <a:ext uri="{FF2B5EF4-FFF2-40B4-BE49-F238E27FC236}">
              <a16:creationId xmlns:a16="http://schemas.microsoft.com/office/drawing/2014/main" id="{318E342D-3ED7-421C-A5B3-61BB0A073FB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3374" name="Text Box 192">
          <a:extLst>
            <a:ext uri="{FF2B5EF4-FFF2-40B4-BE49-F238E27FC236}">
              <a16:creationId xmlns:a16="http://schemas.microsoft.com/office/drawing/2014/main" id="{3B78DAAC-7059-46DA-ADA7-2F16ECE7353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3375" name="Text Box 192">
          <a:extLst>
            <a:ext uri="{FF2B5EF4-FFF2-40B4-BE49-F238E27FC236}">
              <a16:creationId xmlns:a16="http://schemas.microsoft.com/office/drawing/2014/main" id="{BFF3EB4C-2666-46E2-91D0-D9FA0A16938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3376" name="Text Box 192">
          <a:extLst>
            <a:ext uri="{FF2B5EF4-FFF2-40B4-BE49-F238E27FC236}">
              <a16:creationId xmlns:a16="http://schemas.microsoft.com/office/drawing/2014/main" id="{FF0B64CC-2596-4F8D-8CEE-CC0CFFE642E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3377" name="Text Box 192">
          <a:extLst>
            <a:ext uri="{FF2B5EF4-FFF2-40B4-BE49-F238E27FC236}">
              <a16:creationId xmlns:a16="http://schemas.microsoft.com/office/drawing/2014/main" id="{9C93BDF8-B06E-491B-9093-F6972502054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3378" name="Text Box 192">
          <a:extLst>
            <a:ext uri="{FF2B5EF4-FFF2-40B4-BE49-F238E27FC236}">
              <a16:creationId xmlns:a16="http://schemas.microsoft.com/office/drawing/2014/main" id="{8E932613-7B2C-4791-BC4D-73889C1A02B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3379" name="Text Box 192">
          <a:extLst>
            <a:ext uri="{FF2B5EF4-FFF2-40B4-BE49-F238E27FC236}">
              <a16:creationId xmlns:a16="http://schemas.microsoft.com/office/drawing/2014/main" id="{079D6086-42B2-403F-9B31-39796DE1D4F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137</xdr:row>
      <xdr:rowOff>0</xdr:rowOff>
    </xdr:from>
    <xdr:ext cx="10372" cy="228955"/>
    <xdr:sp macro="" textlink="">
      <xdr:nvSpPr>
        <xdr:cNvPr id="3380" name="Text Box 192">
          <a:extLst>
            <a:ext uri="{FF2B5EF4-FFF2-40B4-BE49-F238E27FC236}">
              <a16:creationId xmlns:a16="http://schemas.microsoft.com/office/drawing/2014/main" id="{41F94F6C-DA73-41D8-B36A-319C76E8D7A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3381" name="Text Box 192">
          <a:extLst>
            <a:ext uri="{FF2B5EF4-FFF2-40B4-BE49-F238E27FC236}">
              <a16:creationId xmlns:a16="http://schemas.microsoft.com/office/drawing/2014/main" id="{4E780B9E-7DC9-471A-BAC3-7FBD93C6C29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3382" name="Text Box 192">
          <a:extLst>
            <a:ext uri="{FF2B5EF4-FFF2-40B4-BE49-F238E27FC236}">
              <a16:creationId xmlns:a16="http://schemas.microsoft.com/office/drawing/2014/main" id="{6071B641-0C20-496C-A0D1-3F345B0EB87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3383" name="Text Box 192">
          <a:extLst>
            <a:ext uri="{FF2B5EF4-FFF2-40B4-BE49-F238E27FC236}">
              <a16:creationId xmlns:a16="http://schemas.microsoft.com/office/drawing/2014/main" id="{319D67D4-B192-46ED-99A1-D8543014766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3384" name="Text Box 192">
          <a:extLst>
            <a:ext uri="{FF2B5EF4-FFF2-40B4-BE49-F238E27FC236}">
              <a16:creationId xmlns:a16="http://schemas.microsoft.com/office/drawing/2014/main" id="{B322DD76-B982-43F4-A09A-225D5481C4B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3385" name="Text Box 192">
          <a:extLst>
            <a:ext uri="{FF2B5EF4-FFF2-40B4-BE49-F238E27FC236}">
              <a16:creationId xmlns:a16="http://schemas.microsoft.com/office/drawing/2014/main" id="{CC028248-4D90-4399-B985-B4D225070B8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3386" name="Text Box 192">
          <a:extLst>
            <a:ext uri="{FF2B5EF4-FFF2-40B4-BE49-F238E27FC236}">
              <a16:creationId xmlns:a16="http://schemas.microsoft.com/office/drawing/2014/main" id="{67269DAF-EBEA-45A4-AC73-B66D045B3EA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3387" name="Text Box 192">
          <a:extLst>
            <a:ext uri="{FF2B5EF4-FFF2-40B4-BE49-F238E27FC236}">
              <a16:creationId xmlns:a16="http://schemas.microsoft.com/office/drawing/2014/main" id="{C89282AC-4615-4535-A389-B252141C443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3388" name="Text Box 192">
          <a:extLst>
            <a:ext uri="{FF2B5EF4-FFF2-40B4-BE49-F238E27FC236}">
              <a16:creationId xmlns:a16="http://schemas.microsoft.com/office/drawing/2014/main" id="{247B195D-7380-471A-AAF1-586F4ED270B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138</xdr:row>
      <xdr:rowOff>0</xdr:rowOff>
    </xdr:from>
    <xdr:ext cx="10372" cy="228955"/>
    <xdr:sp macro="" textlink="">
      <xdr:nvSpPr>
        <xdr:cNvPr id="3389" name="Text Box 192">
          <a:extLst>
            <a:ext uri="{FF2B5EF4-FFF2-40B4-BE49-F238E27FC236}">
              <a16:creationId xmlns:a16="http://schemas.microsoft.com/office/drawing/2014/main" id="{5F19FCA8-B2FD-47D2-9DEA-2E038474EDE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3390" name="Text Box 192">
          <a:extLst>
            <a:ext uri="{FF2B5EF4-FFF2-40B4-BE49-F238E27FC236}">
              <a16:creationId xmlns:a16="http://schemas.microsoft.com/office/drawing/2014/main" id="{60CE182A-D478-4EF3-B300-735317A82C2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3391" name="Text Box 192">
          <a:extLst>
            <a:ext uri="{FF2B5EF4-FFF2-40B4-BE49-F238E27FC236}">
              <a16:creationId xmlns:a16="http://schemas.microsoft.com/office/drawing/2014/main" id="{FF43092E-6A55-4B2E-A1C6-0D50D6AEDDE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3392" name="Text Box 192">
          <a:extLst>
            <a:ext uri="{FF2B5EF4-FFF2-40B4-BE49-F238E27FC236}">
              <a16:creationId xmlns:a16="http://schemas.microsoft.com/office/drawing/2014/main" id="{60AA13A5-8702-499E-9383-529D511074E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3393" name="Text Box 192">
          <a:extLst>
            <a:ext uri="{FF2B5EF4-FFF2-40B4-BE49-F238E27FC236}">
              <a16:creationId xmlns:a16="http://schemas.microsoft.com/office/drawing/2014/main" id="{0880872A-ABE5-4599-9B5A-8C92B4A2E55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3394" name="Text Box 192">
          <a:extLst>
            <a:ext uri="{FF2B5EF4-FFF2-40B4-BE49-F238E27FC236}">
              <a16:creationId xmlns:a16="http://schemas.microsoft.com/office/drawing/2014/main" id="{03B1377B-7ECF-4911-940B-7FE7B5313B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3395" name="Text Box 192">
          <a:extLst>
            <a:ext uri="{FF2B5EF4-FFF2-40B4-BE49-F238E27FC236}">
              <a16:creationId xmlns:a16="http://schemas.microsoft.com/office/drawing/2014/main" id="{8B6E3614-65D5-4E19-8159-A65D478AEC2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3396" name="Text Box 192">
          <a:extLst>
            <a:ext uri="{FF2B5EF4-FFF2-40B4-BE49-F238E27FC236}">
              <a16:creationId xmlns:a16="http://schemas.microsoft.com/office/drawing/2014/main" id="{AABCCFE6-5FE6-4307-AD7D-28B74669C1A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3397" name="Text Box 192">
          <a:extLst>
            <a:ext uri="{FF2B5EF4-FFF2-40B4-BE49-F238E27FC236}">
              <a16:creationId xmlns:a16="http://schemas.microsoft.com/office/drawing/2014/main" id="{C10637D2-7708-4AFE-AFF6-61D8F3F3194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139</xdr:row>
      <xdr:rowOff>0</xdr:rowOff>
    </xdr:from>
    <xdr:ext cx="10372" cy="228955"/>
    <xdr:sp macro="" textlink="">
      <xdr:nvSpPr>
        <xdr:cNvPr id="3398" name="Text Box 192">
          <a:extLst>
            <a:ext uri="{FF2B5EF4-FFF2-40B4-BE49-F238E27FC236}">
              <a16:creationId xmlns:a16="http://schemas.microsoft.com/office/drawing/2014/main" id="{3B5C5924-EBF6-4C0E-BDA2-7C275DAA595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3399" name="Text Box 192">
          <a:extLst>
            <a:ext uri="{FF2B5EF4-FFF2-40B4-BE49-F238E27FC236}">
              <a16:creationId xmlns:a16="http://schemas.microsoft.com/office/drawing/2014/main" id="{2E6C99E2-0FE9-4C9C-8BAB-9ABAFDFEFF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3400" name="Text Box 192">
          <a:extLst>
            <a:ext uri="{FF2B5EF4-FFF2-40B4-BE49-F238E27FC236}">
              <a16:creationId xmlns:a16="http://schemas.microsoft.com/office/drawing/2014/main" id="{A81A5187-616A-4F45-BF72-1EC10FB4A92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3401" name="Text Box 192">
          <a:extLst>
            <a:ext uri="{FF2B5EF4-FFF2-40B4-BE49-F238E27FC236}">
              <a16:creationId xmlns:a16="http://schemas.microsoft.com/office/drawing/2014/main" id="{0C99B2B6-6D4F-4838-B35C-9FCFC3D991B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3402" name="Text Box 192">
          <a:extLst>
            <a:ext uri="{FF2B5EF4-FFF2-40B4-BE49-F238E27FC236}">
              <a16:creationId xmlns:a16="http://schemas.microsoft.com/office/drawing/2014/main" id="{7692E9A5-1DFE-4F4D-A312-43C1EC02ADF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3403" name="Text Box 192">
          <a:extLst>
            <a:ext uri="{FF2B5EF4-FFF2-40B4-BE49-F238E27FC236}">
              <a16:creationId xmlns:a16="http://schemas.microsoft.com/office/drawing/2014/main" id="{AEBAC6CE-78B4-43A7-A271-011B532865A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3404" name="Text Box 192">
          <a:extLst>
            <a:ext uri="{FF2B5EF4-FFF2-40B4-BE49-F238E27FC236}">
              <a16:creationId xmlns:a16="http://schemas.microsoft.com/office/drawing/2014/main" id="{A3BB6300-35D6-42FA-AA62-F3106A93B0B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3405" name="Text Box 192">
          <a:extLst>
            <a:ext uri="{FF2B5EF4-FFF2-40B4-BE49-F238E27FC236}">
              <a16:creationId xmlns:a16="http://schemas.microsoft.com/office/drawing/2014/main" id="{7B7FEF67-161E-4ECD-BC32-F3ABC97FDEB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3406" name="Text Box 192">
          <a:extLst>
            <a:ext uri="{FF2B5EF4-FFF2-40B4-BE49-F238E27FC236}">
              <a16:creationId xmlns:a16="http://schemas.microsoft.com/office/drawing/2014/main" id="{0BC37C26-4E49-4BA3-9187-B73B9135FE0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140</xdr:row>
      <xdr:rowOff>0</xdr:rowOff>
    </xdr:from>
    <xdr:ext cx="10372" cy="228955"/>
    <xdr:sp macro="" textlink="">
      <xdr:nvSpPr>
        <xdr:cNvPr id="3407" name="Text Box 192">
          <a:extLst>
            <a:ext uri="{FF2B5EF4-FFF2-40B4-BE49-F238E27FC236}">
              <a16:creationId xmlns:a16="http://schemas.microsoft.com/office/drawing/2014/main" id="{53882BC9-559B-44A0-9EF0-3B7361135AE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3408" name="Text Box 192">
          <a:extLst>
            <a:ext uri="{FF2B5EF4-FFF2-40B4-BE49-F238E27FC236}">
              <a16:creationId xmlns:a16="http://schemas.microsoft.com/office/drawing/2014/main" id="{01718753-74FD-4C66-92AA-5DBDAA49065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3409" name="Text Box 192">
          <a:extLst>
            <a:ext uri="{FF2B5EF4-FFF2-40B4-BE49-F238E27FC236}">
              <a16:creationId xmlns:a16="http://schemas.microsoft.com/office/drawing/2014/main" id="{59B62E0C-9922-4ED6-9BBB-E4E75024C68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3410" name="Text Box 192">
          <a:extLst>
            <a:ext uri="{FF2B5EF4-FFF2-40B4-BE49-F238E27FC236}">
              <a16:creationId xmlns:a16="http://schemas.microsoft.com/office/drawing/2014/main" id="{FD44EDDF-705D-4491-BBF8-B24EC905C94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3411" name="Text Box 192">
          <a:extLst>
            <a:ext uri="{FF2B5EF4-FFF2-40B4-BE49-F238E27FC236}">
              <a16:creationId xmlns:a16="http://schemas.microsoft.com/office/drawing/2014/main" id="{CF1FE697-90F1-433D-84D8-15FB5DA331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3412" name="Text Box 192">
          <a:extLst>
            <a:ext uri="{FF2B5EF4-FFF2-40B4-BE49-F238E27FC236}">
              <a16:creationId xmlns:a16="http://schemas.microsoft.com/office/drawing/2014/main" id="{A489B3ED-B61D-4F64-BCEF-3ADABCFD3BA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3413" name="Text Box 192">
          <a:extLst>
            <a:ext uri="{FF2B5EF4-FFF2-40B4-BE49-F238E27FC236}">
              <a16:creationId xmlns:a16="http://schemas.microsoft.com/office/drawing/2014/main" id="{6A3D0862-C223-4108-8166-A44A04B19C1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3414" name="Text Box 192">
          <a:extLst>
            <a:ext uri="{FF2B5EF4-FFF2-40B4-BE49-F238E27FC236}">
              <a16:creationId xmlns:a16="http://schemas.microsoft.com/office/drawing/2014/main" id="{F0A27C0B-7002-4A02-A267-1676AFB2800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3415" name="Text Box 192">
          <a:extLst>
            <a:ext uri="{FF2B5EF4-FFF2-40B4-BE49-F238E27FC236}">
              <a16:creationId xmlns:a16="http://schemas.microsoft.com/office/drawing/2014/main" id="{3D599470-5E15-41AC-B145-51F0CFA0AF9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141</xdr:row>
      <xdr:rowOff>0</xdr:rowOff>
    </xdr:from>
    <xdr:ext cx="10372" cy="228955"/>
    <xdr:sp macro="" textlink="">
      <xdr:nvSpPr>
        <xdr:cNvPr id="3416" name="Text Box 192">
          <a:extLst>
            <a:ext uri="{FF2B5EF4-FFF2-40B4-BE49-F238E27FC236}">
              <a16:creationId xmlns:a16="http://schemas.microsoft.com/office/drawing/2014/main" id="{47FB3318-9BB0-46B2-B5E5-87A67161022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3417" name="Text Box 192">
          <a:extLst>
            <a:ext uri="{FF2B5EF4-FFF2-40B4-BE49-F238E27FC236}">
              <a16:creationId xmlns:a16="http://schemas.microsoft.com/office/drawing/2014/main" id="{5E5D7FC5-8134-491F-B5C0-C880DFD4823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3418" name="Text Box 192">
          <a:extLst>
            <a:ext uri="{FF2B5EF4-FFF2-40B4-BE49-F238E27FC236}">
              <a16:creationId xmlns:a16="http://schemas.microsoft.com/office/drawing/2014/main" id="{937C4D50-5DE9-42A4-8FBD-3B31FDC1F2E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3419" name="Text Box 192">
          <a:extLst>
            <a:ext uri="{FF2B5EF4-FFF2-40B4-BE49-F238E27FC236}">
              <a16:creationId xmlns:a16="http://schemas.microsoft.com/office/drawing/2014/main" id="{F7B33F9C-C7D3-4116-83BB-3C265728A5A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3420" name="Text Box 192">
          <a:extLst>
            <a:ext uri="{FF2B5EF4-FFF2-40B4-BE49-F238E27FC236}">
              <a16:creationId xmlns:a16="http://schemas.microsoft.com/office/drawing/2014/main" id="{93842398-45A4-4A68-A3B4-0C57755C758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3421" name="Text Box 192">
          <a:extLst>
            <a:ext uri="{FF2B5EF4-FFF2-40B4-BE49-F238E27FC236}">
              <a16:creationId xmlns:a16="http://schemas.microsoft.com/office/drawing/2014/main" id="{49E8EF2A-9B74-43A4-93E5-3E0957B4350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3422" name="Text Box 192">
          <a:extLst>
            <a:ext uri="{FF2B5EF4-FFF2-40B4-BE49-F238E27FC236}">
              <a16:creationId xmlns:a16="http://schemas.microsoft.com/office/drawing/2014/main" id="{4359497C-805C-482C-890F-2807606A561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3423" name="Text Box 192">
          <a:extLst>
            <a:ext uri="{FF2B5EF4-FFF2-40B4-BE49-F238E27FC236}">
              <a16:creationId xmlns:a16="http://schemas.microsoft.com/office/drawing/2014/main" id="{BB100EAB-438E-4677-BAA8-ED0350C10EE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3424" name="Text Box 192">
          <a:extLst>
            <a:ext uri="{FF2B5EF4-FFF2-40B4-BE49-F238E27FC236}">
              <a16:creationId xmlns:a16="http://schemas.microsoft.com/office/drawing/2014/main" id="{AAE4F5B5-3B1E-4CB1-97BD-3AA0061A90B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142</xdr:row>
      <xdr:rowOff>0</xdr:rowOff>
    </xdr:from>
    <xdr:ext cx="10372" cy="228955"/>
    <xdr:sp macro="" textlink="">
      <xdr:nvSpPr>
        <xdr:cNvPr id="3425" name="Text Box 192">
          <a:extLst>
            <a:ext uri="{FF2B5EF4-FFF2-40B4-BE49-F238E27FC236}">
              <a16:creationId xmlns:a16="http://schemas.microsoft.com/office/drawing/2014/main" id="{61727A4B-4C34-43FB-9873-FA8A33B6C17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3426" name="Text Box 192">
          <a:extLst>
            <a:ext uri="{FF2B5EF4-FFF2-40B4-BE49-F238E27FC236}">
              <a16:creationId xmlns:a16="http://schemas.microsoft.com/office/drawing/2014/main" id="{C4B1498B-F7FB-41F5-AD18-58D3A0D6FDD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3427" name="Text Box 192">
          <a:extLst>
            <a:ext uri="{FF2B5EF4-FFF2-40B4-BE49-F238E27FC236}">
              <a16:creationId xmlns:a16="http://schemas.microsoft.com/office/drawing/2014/main" id="{92A47284-3729-49F8-A326-24A1CA0DF58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3428" name="Text Box 192">
          <a:extLst>
            <a:ext uri="{FF2B5EF4-FFF2-40B4-BE49-F238E27FC236}">
              <a16:creationId xmlns:a16="http://schemas.microsoft.com/office/drawing/2014/main" id="{534B14B7-DD59-47E6-9FEF-6D45B6882CE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3429" name="Text Box 192">
          <a:extLst>
            <a:ext uri="{FF2B5EF4-FFF2-40B4-BE49-F238E27FC236}">
              <a16:creationId xmlns:a16="http://schemas.microsoft.com/office/drawing/2014/main" id="{C74242C5-10F1-431E-8F77-EAEBCFF1A5A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3430" name="Text Box 192">
          <a:extLst>
            <a:ext uri="{FF2B5EF4-FFF2-40B4-BE49-F238E27FC236}">
              <a16:creationId xmlns:a16="http://schemas.microsoft.com/office/drawing/2014/main" id="{FC364D62-03E6-4CC5-B83E-D25C350A73D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3431" name="Text Box 192">
          <a:extLst>
            <a:ext uri="{FF2B5EF4-FFF2-40B4-BE49-F238E27FC236}">
              <a16:creationId xmlns:a16="http://schemas.microsoft.com/office/drawing/2014/main" id="{5A36F842-8971-461E-AA3E-5585B9767D6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3432" name="Text Box 192">
          <a:extLst>
            <a:ext uri="{FF2B5EF4-FFF2-40B4-BE49-F238E27FC236}">
              <a16:creationId xmlns:a16="http://schemas.microsoft.com/office/drawing/2014/main" id="{3EEA4E58-6549-4500-94F8-88E95EF36BA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3433" name="Text Box 192">
          <a:extLst>
            <a:ext uri="{FF2B5EF4-FFF2-40B4-BE49-F238E27FC236}">
              <a16:creationId xmlns:a16="http://schemas.microsoft.com/office/drawing/2014/main" id="{6404DB5E-3955-498A-9CD6-7148E492368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143</xdr:row>
      <xdr:rowOff>0</xdr:rowOff>
    </xdr:from>
    <xdr:ext cx="10372" cy="228955"/>
    <xdr:sp macro="" textlink="">
      <xdr:nvSpPr>
        <xdr:cNvPr id="3434" name="Text Box 192">
          <a:extLst>
            <a:ext uri="{FF2B5EF4-FFF2-40B4-BE49-F238E27FC236}">
              <a16:creationId xmlns:a16="http://schemas.microsoft.com/office/drawing/2014/main" id="{2241591A-1345-412A-9C5B-A26801488C7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3435" name="Text Box 192">
          <a:extLst>
            <a:ext uri="{FF2B5EF4-FFF2-40B4-BE49-F238E27FC236}">
              <a16:creationId xmlns:a16="http://schemas.microsoft.com/office/drawing/2014/main" id="{BDDA31EB-7224-468B-A3E6-EFE7F01F16B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3436" name="Text Box 192">
          <a:extLst>
            <a:ext uri="{FF2B5EF4-FFF2-40B4-BE49-F238E27FC236}">
              <a16:creationId xmlns:a16="http://schemas.microsoft.com/office/drawing/2014/main" id="{F8E43539-800E-4D63-A087-18D6037B7F5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3437" name="Text Box 192">
          <a:extLst>
            <a:ext uri="{FF2B5EF4-FFF2-40B4-BE49-F238E27FC236}">
              <a16:creationId xmlns:a16="http://schemas.microsoft.com/office/drawing/2014/main" id="{97621BF8-6B8F-4D4B-A312-E2BF8CFE9E5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3438" name="Text Box 192">
          <a:extLst>
            <a:ext uri="{FF2B5EF4-FFF2-40B4-BE49-F238E27FC236}">
              <a16:creationId xmlns:a16="http://schemas.microsoft.com/office/drawing/2014/main" id="{31BFC9FB-748C-40D3-B3CE-925CAB0BFF4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3439" name="Text Box 192">
          <a:extLst>
            <a:ext uri="{FF2B5EF4-FFF2-40B4-BE49-F238E27FC236}">
              <a16:creationId xmlns:a16="http://schemas.microsoft.com/office/drawing/2014/main" id="{BD838104-0958-46B2-ACF3-0C8CFDC4B24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3440" name="Text Box 192">
          <a:extLst>
            <a:ext uri="{FF2B5EF4-FFF2-40B4-BE49-F238E27FC236}">
              <a16:creationId xmlns:a16="http://schemas.microsoft.com/office/drawing/2014/main" id="{868DBF5D-A18F-46DA-8B14-1D12B0E6EB8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3441" name="Text Box 192">
          <a:extLst>
            <a:ext uri="{FF2B5EF4-FFF2-40B4-BE49-F238E27FC236}">
              <a16:creationId xmlns:a16="http://schemas.microsoft.com/office/drawing/2014/main" id="{BDF063D1-14A8-4A3C-A24C-2F6D46D4282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3442" name="Text Box 192">
          <a:extLst>
            <a:ext uri="{FF2B5EF4-FFF2-40B4-BE49-F238E27FC236}">
              <a16:creationId xmlns:a16="http://schemas.microsoft.com/office/drawing/2014/main" id="{187EC764-5E87-47A8-8CE6-2CE9F2E7CD3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144</xdr:row>
      <xdr:rowOff>0</xdr:rowOff>
    </xdr:from>
    <xdr:ext cx="10372" cy="228955"/>
    <xdr:sp macro="" textlink="">
      <xdr:nvSpPr>
        <xdr:cNvPr id="3443" name="Text Box 192">
          <a:extLst>
            <a:ext uri="{FF2B5EF4-FFF2-40B4-BE49-F238E27FC236}">
              <a16:creationId xmlns:a16="http://schemas.microsoft.com/office/drawing/2014/main" id="{5D4DECE6-41AD-4BB5-A8F2-4C900F26DB4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3444" name="Text Box 192">
          <a:extLst>
            <a:ext uri="{FF2B5EF4-FFF2-40B4-BE49-F238E27FC236}">
              <a16:creationId xmlns:a16="http://schemas.microsoft.com/office/drawing/2014/main" id="{A541215B-D007-49F6-9319-CDAD3E28C75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3445" name="Text Box 192">
          <a:extLst>
            <a:ext uri="{FF2B5EF4-FFF2-40B4-BE49-F238E27FC236}">
              <a16:creationId xmlns:a16="http://schemas.microsoft.com/office/drawing/2014/main" id="{40CEC7EF-4749-4E9D-BD4C-EB4B1D4E5C5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3446" name="Text Box 192">
          <a:extLst>
            <a:ext uri="{FF2B5EF4-FFF2-40B4-BE49-F238E27FC236}">
              <a16:creationId xmlns:a16="http://schemas.microsoft.com/office/drawing/2014/main" id="{5867545D-699B-45E8-A316-FB16075381D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3447" name="Text Box 192">
          <a:extLst>
            <a:ext uri="{FF2B5EF4-FFF2-40B4-BE49-F238E27FC236}">
              <a16:creationId xmlns:a16="http://schemas.microsoft.com/office/drawing/2014/main" id="{3091CB40-7828-4165-8A13-81697AB6781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3448" name="Text Box 192">
          <a:extLst>
            <a:ext uri="{FF2B5EF4-FFF2-40B4-BE49-F238E27FC236}">
              <a16:creationId xmlns:a16="http://schemas.microsoft.com/office/drawing/2014/main" id="{8CB3E001-7A07-42A2-BFFA-0F476BCF0D0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3449" name="Text Box 192">
          <a:extLst>
            <a:ext uri="{FF2B5EF4-FFF2-40B4-BE49-F238E27FC236}">
              <a16:creationId xmlns:a16="http://schemas.microsoft.com/office/drawing/2014/main" id="{0963BB2E-2E3F-48B7-BFAA-C2C1D4AB9E2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3450" name="Text Box 192">
          <a:extLst>
            <a:ext uri="{FF2B5EF4-FFF2-40B4-BE49-F238E27FC236}">
              <a16:creationId xmlns:a16="http://schemas.microsoft.com/office/drawing/2014/main" id="{F8683372-9779-4A1B-BAE8-DFA8329DB12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3451" name="Text Box 192">
          <a:extLst>
            <a:ext uri="{FF2B5EF4-FFF2-40B4-BE49-F238E27FC236}">
              <a16:creationId xmlns:a16="http://schemas.microsoft.com/office/drawing/2014/main" id="{F7FD40D3-7DEA-4C99-AB8D-9484CE0A81A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145</xdr:row>
      <xdr:rowOff>0</xdr:rowOff>
    </xdr:from>
    <xdr:ext cx="10372" cy="228955"/>
    <xdr:sp macro="" textlink="">
      <xdr:nvSpPr>
        <xdr:cNvPr id="3452" name="Text Box 192">
          <a:extLst>
            <a:ext uri="{FF2B5EF4-FFF2-40B4-BE49-F238E27FC236}">
              <a16:creationId xmlns:a16="http://schemas.microsoft.com/office/drawing/2014/main" id="{AEB474EF-8F19-4803-8DDA-DA32131BFA8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3453" name="Text Box 192">
          <a:extLst>
            <a:ext uri="{FF2B5EF4-FFF2-40B4-BE49-F238E27FC236}">
              <a16:creationId xmlns:a16="http://schemas.microsoft.com/office/drawing/2014/main" id="{D64A45F9-C689-4C46-9874-C4C7FC8612D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3454" name="Text Box 192">
          <a:extLst>
            <a:ext uri="{FF2B5EF4-FFF2-40B4-BE49-F238E27FC236}">
              <a16:creationId xmlns:a16="http://schemas.microsoft.com/office/drawing/2014/main" id="{BDFE012E-804D-4390-9BB1-2EDB9BA6A11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3455" name="Text Box 192">
          <a:extLst>
            <a:ext uri="{FF2B5EF4-FFF2-40B4-BE49-F238E27FC236}">
              <a16:creationId xmlns:a16="http://schemas.microsoft.com/office/drawing/2014/main" id="{EC80DD6B-DC16-4639-8A9E-3D0A601106C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3456" name="Text Box 192">
          <a:extLst>
            <a:ext uri="{FF2B5EF4-FFF2-40B4-BE49-F238E27FC236}">
              <a16:creationId xmlns:a16="http://schemas.microsoft.com/office/drawing/2014/main" id="{EBCA1997-4542-4544-8059-B41E9516DB3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3457" name="Text Box 192">
          <a:extLst>
            <a:ext uri="{FF2B5EF4-FFF2-40B4-BE49-F238E27FC236}">
              <a16:creationId xmlns:a16="http://schemas.microsoft.com/office/drawing/2014/main" id="{A59C6BED-BBDD-43CF-BA9A-EBE02321078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3458" name="Text Box 192">
          <a:extLst>
            <a:ext uri="{FF2B5EF4-FFF2-40B4-BE49-F238E27FC236}">
              <a16:creationId xmlns:a16="http://schemas.microsoft.com/office/drawing/2014/main" id="{A9189AA4-392E-4FCC-9B3B-6A1679A5DB2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3459" name="Text Box 192">
          <a:extLst>
            <a:ext uri="{FF2B5EF4-FFF2-40B4-BE49-F238E27FC236}">
              <a16:creationId xmlns:a16="http://schemas.microsoft.com/office/drawing/2014/main" id="{E7ED4F36-F396-431B-B737-70C0B468119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3460" name="Text Box 192">
          <a:extLst>
            <a:ext uri="{FF2B5EF4-FFF2-40B4-BE49-F238E27FC236}">
              <a16:creationId xmlns:a16="http://schemas.microsoft.com/office/drawing/2014/main" id="{810FC733-1BE6-443E-B3BA-73B5F5DE500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146</xdr:row>
      <xdr:rowOff>0</xdr:rowOff>
    </xdr:from>
    <xdr:ext cx="10372" cy="228955"/>
    <xdr:sp macro="" textlink="">
      <xdr:nvSpPr>
        <xdr:cNvPr id="3461" name="Text Box 192">
          <a:extLst>
            <a:ext uri="{FF2B5EF4-FFF2-40B4-BE49-F238E27FC236}">
              <a16:creationId xmlns:a16="http://schemas.microsoft.com/office/drawing/2014/main" id="{38EDAA99-00DC-47C5-97AF-1DBC117BC95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3462" name="Text Box 192">
          <a:extLst>
            <a:ext uri="{FF2B5EF4-FFF2-40B4-BE49-F238E27FC236}">
              <a16:creationId xmlns:a16="http://schemas.microsoft.com/office/drawing/2014/main" id="{66574B76-A9C3-46A2-B4F2-985B0148768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3463" name="Text Box 192">
          <a:extLst>
            <a:ext uri="{FF2B5EF4-FFF2-40B4-BE49-F238E27FC236}">
              <a16:creationId xmlns:a16="http://schemas.microsoft.com/office/drawing/2014/main" id="{FE90E06B-3C13-4544-AE8A-FE24195933B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3464" name="Text Box 192">
          <a:extLst>
            <a:ext uri="{FF2B5EF4-FFF2-40B4-BE49-F238E27FC236}">
              <a16:creationId xmlns:a16="http://schemas.microsoft.com/office/drawing/2014/main" id="{DAA454E3-C6C0-40D5-AA15-69D0F72D273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3465" name="Text Box 192">
          <a:extLst>
            <a:ext uri="{FF2B5EF4-FFF2-40B4-BE49-F238E27FC236}">
              <a16:creationId xmlns:a16="http://schemas.microsoft.com/office/drawing/2014/main" id="{7E419304-545E-4619-8115-18149420DF9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3466" name="Text Box 192">
          <a:extLst>
            <a:ext uri="{FF2B5EF4-FFF2-40B4-BE49-F238E27FC236}">
              <a16:creationId xmlns:a16="http://schemas.microsoft.com/office/drawing/2014/main" id="{569401B1-6B2A-42BE-A753-B15BE67AEC3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3467" name="Text Box 192">
          <a:extLst>
            <a:ext uri="{FF2B5EF4-FFF2-40B4-BE49-F238E27FC236}">
              <a16:creationId xmlns:a16="http://schemas.microsoft.com/office/drawing/2014/main" id="{409E8C04-7CC7-4B97-A5C5-B86CF76A890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3468" name="Text Box 192">
          <a:extLst>
            <a:ext uri="{FF2B5EF4-FFF2-40B4-BE49-F238E27FC236}">
              <a16:creationId xmlns:a16="http://schemas.microsoft.com/office/drawing/2014/main" id="{3DCB2F48-4522-4D10-B476-640136008E7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3469" name="Text Box 192">
          <a:extLst>
            <a:ext uri="{FF2B5EF4-FFF2-40B4-BE49-F238E27FC236}">
              <a16:creationId xmlns:a16="http://schemas.microsoft.com/office/drawing/2014/main" id="{0307ECEF-7D5A-4AC3-AB0F-E673FBF7C0C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147</xdr:row>
      <xdr:rowOff>0</xdr:rowOff>
    </xdr:from>
    <xdr:ext cx="10372" cy="228955"/>
    <xdr:sp macro="" textlink="">
      <xdr:nvSpPr>
        <xdr:cNvPr id="3470" name="Text Box 192">
          <a:extLst>
            <a:ext uri="{FF2B5EF4-FFF2-40B4-BE49-F238E27FC236}">
              <a16:creationId xmlns:a16="http://schemas.microsoft.com/office/drawing/2014/main" id="{AE06B284-9BB6-46AF-AD94-BFBE2533F97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3471" name="Text Box 192">
          <a:extLst>
            <a:ext uri="{FF2B5EF4-FFF2-40B4-BE49-F238E27FC236}">
              <a16:creationId xmlns:a16="http://schemas.microsoft.com/office/drawing/2014/main" id="{5D771208-97C5-4CFA-89D9-C1E336D8560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3472" name="Text Box 192">
          <a:extLst>
            <a:ext uri="{FF2B5EF4-FFF2-40B4-BE49-F238E27FC236}">
              <a16:creationId xmlns:a16="http://schemas.microsoft.com/office/drawing/2014/main" id="{42A7685C-7B53-4942-A5B5-3B51029D7C1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3473" name="Text Box 192">
          <a:extLst>
            <a:ext uri="{FF2B5EF4-FFF2-40B4-BE49-F238E27FC236}">
              <a16:creationId xmlns:a16="http://schemas.microsoft.com/office/drawing/2014/main" id="{6144669E-BE44-4E4E-A952-9693664417C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3474" name="Text Box 192">
          <a:extLst>
            <a:ext uri="{FF2B5EF4-FFF2-40B4-BE49-F238E27FC236}">
              <a16:creationId xmlns:a16="http://schemas.microsoft.com/office/drawing/2014/main" id="{159256D3-A38B-48F8-88A7-971EA8F55C2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3475" name="Text Box 192">
          <a:extLst>
            <a:ext uri="{FF2B5EF4-FFF2-40B4-BE49-F238E27FC236}">
              <a16:creationId xmlns:a16="http://schemas.microsoft.com/office/drawing/2014/main" id="{F7E9054A-C362-4733-919F-2ED965AF735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3476" name="Text Box 192">
          <a:extLst>
            <a:ext uri="{FF2B5EF4-FFF2-40B4-BE49-F238E27FC236}">
              <a16:creationId xmlns:a16="http://schemas.microsoft.com/office/drawing/2014/main" id="{29D3A2A3-DBE8-4B95-8F12-35CF5B5F1C6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3477" name="Text Box 192">
          <a:extLst>
            <a:ext uri="{FF2B5EF4-FFF2-40B4-BE49-F238E27FC236}">
              <a16:creationId xmlns:a16="http://schemas.microsoft.com/office/drawing/2014/main" id="{3100919C-C8E5-439B-B611-85DD6DB3B9B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3478" name="Text Box 192">
          <a:extLst>
            <a:ext uri="{FF2B5EF4-FFF2-40B4-BE49-F238E27FC236}">
              <a16:creationId xmlns:a16="http://schemas.microsoft.com/office/drawing/2014/main" id="{DDD0C051-CF61-4413-B660-EB9AE764F9D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148</xdr:row>
      <xdr:rowOff>0</xdr:rowOff>
    </xdr:from>
    <xdr:ext cx="10372" cy="228955"/>
    <xdr:sp macro="" textlink="">
      <xdr:nvSpPr>
        <xdr:cNvPr id="3479" name="Text Box 192">
          <a:extLst>
            <a:ext uri="{FF2B5EF4-FFF2-40B4-BE49-F238E27FC236}">
              <a16:creationId xmlns:a16="http://schemas.microsoft.com/office/drawing/2014/main" id="{1B4F8231-DA54-4C8B-B009-9AD2F46905A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3480" name="Text Box 192">
          <a:extLst>
            <a:ext uri="{FF2B5EF4-FFF2-40B4-BE49-F238E27FC236}">
              <a16:creationId xmlns:a16="http://schemas.microsoft.com/office/drawing/2014/main" id="{5E72E530-48C5-43E7-96AF-B4993CEDABB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3481" name="Text Box 192">
          <a:extLst>
            <a:ext uri="{FF2B5EF4-FFF2-40B4-BE49-F238E27FC236}">
              <a16:creationId xmlns:a16="http://schemas.microsoft.com/office/drawing/2014/main" id="{F41DDB73-B002-49A1-B607-6AF8A63DF3E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3482" name="Text Box 192">
          <a:extLst>
            <a:ext uri="{FF2B5EF4-FFF2-40B4-BE49-F238E27FC236}">
              <a16:creationId xmlns:a16="http://schemas.microsoft.com/office/drawing/2014/main" id="{4374AE52-39E4-4AE4-814C-038E8555147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3483" name="Text Box 192">
          <a:extLst>
            <a:ext uri="{FF2B5EF4-FFF2-40B4-BE49-F238E27FC236}">
              <a16:creationId xmlns:a16="http://schemas.microsoft.com/office/drawing/2014/main" id="{48D84841-FEB7-42FA-90FF-2694A4AE26B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3484" name="Text Box 192">
          <a:extLst>
            <a:ext uri="{FF2B5EF4-FFF2-40B4-BE49-F238E27FC236}">
              <a16:creationId xmlns:a16="http://schemas.microsoft.com/office/drawing/2014/main" id="{99868263-CAD6-4A05-9947-4E88EA91487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149</xdr:row>
      <xdr:rowOff>0</xdr:rowOff>
    </xdr:from>
    <xdr:ext cx="10372" cy="228955"/>
    <xdr:sp macro="" textlink="">
      <xdr:nvSpPr>
        <xdr:cNvPr id="3485" name="Text Box 192">
          <a:extLst>
            <a:ext uri="{FF2B5EF4-FFF2-40B4-BE49-F238E27FC236}">
              <a16:creationId xmlns:a16="http://schemas.microsoft.com/office/drawing/2014/main" id="{2395F54C-9FA8-41A9-BC09-32783D664AB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151</xdr:row>
      <xdr:rowOff>0</xdr:rowOff>
    </xdr:from>
    <xdr:ext cx="10372" cy="228955"/>
    <xdr:sp macro="" textlink="">
      <xdr:nvSpPr>
        <xdr:cNvPr id="3486" name="Text Box 192">
          <a:extLst>
            <a:ext uri="{FF2B5EF4-FFF2-40B4-BE49-F238E27FC236}">
              <a16:creationId xmlns:a16="http://schemas.microsoft.com/office/drawing/2014/main" id="{AAC37F42-911E-4D97-BC32-DDC2256EA68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3487" name="Text Box 192">
          <a:extLst>
            <a:ext uri="{FF2B5EF4-FFF2-40B4-BE49-F238E27FC236}">
              <a16:creationId xmlns:a16="http://schemas.microsoft.com/office/drawing/2014/main" id="{CB7FF0A6-691A-4566-9A3B-E331F59BE57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151</xdr:row>
      <xdr:rowOff>0</xdr:rowOff>
    </xdr:from>
    <xdr:ext cx="10372" cy="228955"/>
    <xdr:sp macro="" textlink="">
      <xdr:nvSpPr>
        <xdr:cNvPr id="3488" name="Text Box 192">
          <a:extLst>
            <a:ext uri="{FF2B5EF4-FFF2-40B4-BE49-F238E27FC236}">
              <a16:creationId xmlns:a16="http://schemas.microsoft.com/office/drawing/2014/main" id="{94CAD21B-3636-420F-B30C-B7F17E9DA88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3489" name="Text Box 192">
          <a:extLst>
            <a:ext uri="{FF2B5EF4-FFF2-40B4-BE49-F238E27FC236}">
              <a16:creationId xmlns:a16="http://schemas.microsoft.com/office/drawing/2014/main" id="{5BACA840-4A11-4D0B-97DA-5EAFDDA14B6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3490" name="Text Box 192">
          <a:extLst>
            <a:ext uri="{FF2B5EF4-FFF2-40B4-BE49-F238E27FC236}">
              <a16:creationId xmlns:a16="http://schemas.microsoft.com/office/drawing/2014/main" id="{6582C26B-97FC-467C-8803-5A29F27C8BB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3491" name="Text Box 192">
          <a:extLst>
            <a:ext uri="{FF2B5EF4-FFF2-40B4-BE49-F238E27FC236}">
              <a16:creationId xmlns:a16="http://schemas.microsoft.com/office/drawing/2014/main" id="{F1A665E9-9FEC-47B8-8C97-FDCFC596FF0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3492" name="Text Box 192">
          <a:extLst>
            <a:ext uri="{FF2B5EF4-FFF2-40B4-BE49-F238E27FC236}">
              <a16:creationId xmlns:a16="http://schemas.microsoft.com/office/drawing/2014/main" id="{2C4A5B82-F2E0-467A-8654-7AE28FD2DE5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3493" name="Text Box 192">
          <a:extLst>
            <a:ext uri="{FF2B5EF4-FFF2-40B4-BE49-F238E27FC236}">
              <a16:creationId xmlns:a16="http://schemas.microsoft.com/office/drawing/2014/main" id="{D9A01B83-CD82-42D8-A0A3-D67BEC88935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3494" name="Text Box 192">
          <a:extLst>
            <a:ext uri="{FF2B5EF4-FFF2-40B4-BE49-F238E27FC236}">
              <a16:creationId xmlns:a16="http://schemas.microsoft.com/office/drawing/2014/main" id="{38395221-7A8E-41A3-B7F2-B63BE2B9943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3495" name="Text Box 192">
          <a:extLst>
            <a:ext uri="{FF2B5EF4-FFF2-40B4-BE49-F238E27FC236}">
              <a16:creationId xmlns:a16="http://schemas.microsoft.com/office/drawing/2014/main" id="{5EAE7416-523E-44A9-9263-D4C4C7F192E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3496" name="Text Box 192">
          <a:extLst>
            <a:ext uri="{FF2B5EF4-FFF2-40B4-BE49-F238E27FC236}">
              <a16:creationId xmlns:a16="http://schemas.microsoft.com/office/drawing/2014/main" id="{3654376B-16BA-4EA1-A467-B92211F8287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152</xdr:row>
      <xdr:rowOff>0</xdr:rowOff>
    </xdr:from>
    <xdr:ext cx="10372" cy="228955"/>
    <xdr:sp macro="" textlink="">
      <xdr:nvSpPr>
        <xdr:cNvPr id="3497" name="Text Box 192">
          <a:extLst>
            <a:ext uri="{FF2B5EF4-FFF2-40B4-BE49-F238E27FC236}">
              <a16:creationId xmlns:a16="http://schemas.microsoft.com/office/drawing/2014/main" id="{DE3D653C-C945-492B-9C97-44319FEA698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3498" name="Text Box 192">
          <a:extLst>
            <a:ext uri="{FF2B5EF4-FFF2-40B4-BE49-F238E27FC236}">
              <a16:creationId xmlns:a16="http://schemas.microsoft.com/office/drawing/2014/main" id="{FAFF9923-A782-463B-905E-FB75988EC2A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3499" name="Text Box 192">
          <a:extLst>
            <a:ext uri="{FF2B5EF4-FFF2-40B4-BE49-F238E27FC236}">
              <a16:creationId xmlns:a16="http://schemas.microsoft.com/office/drawing/2014/main" id="{3D118B2F-6514-4FD1-AE1A-933FAEF3B70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3500" name="Text Box 192">
          <a:extLst>
            <a:ext uri="{FF2B5EF4-FFF2-40B4-BE49-F238E27FC236}">
              <a16:creationId xmlns:a16="http://schemas.microsoft.com/office/drawing/2014/main" id="{9DCE4D84-B6E2-45EC-B46F-9C64DFEAD02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3501" name="Text Box 192">
          <a:extLst>
            <a:ext uri="{FF2B5EF4-FFF2-40B4-BE49-F238E27FC236}">
              <a16:creationId xmlns:a16="http://schemas.microsoft.com/office/drawing/2014/main" id="{76F27939-7A25-4566-B6E3-6358E53A8B1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3502" name="Text Box 192">
          <a:extLst>
            <a:ext uri="{FF2B5EF4-FFF2-40B4-BE49-F238E27FC236}">
              <a16:creationId xmlns:a16="http://schemas.microsoft.com/office/drawing/2014/main" id="{A91C2F70-1AC1-4260-858C-C107CDA0A42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3503" name="Text Box 192">
          <a:extLst>
            <a:ext uri="{FF2B5EF4-FFF2-40B4-BE49-F238E27FC236}">
              <a16:creationId xmlns:a16="http://schemas.microsoft.com/office/drawing/2014/main" id="{B1BC2756-0228-4C31-973A-F1B7E2F508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3504" name="Text Box 192">
          <a:extLst>
            <a:ext uri="{FF2B5EF4-FFF2-40B4-BE49-F238E27FC236}">
              <a16:creationId xmlns:a16="http://schemas.microsoft.com/office/drawing/2014/main" id="{0002EC52-22B5-4BBC-BE07-A704C022922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3505" name="Text Box 192">
          <a:extLst>
            <a:ext uri="{FF2B5EF4-FFF2-40B4-BE49-F238E27FC236}">
              <a16:creationId xmlns:a16="http://schemas.microsoft.com/office/drawing/2014/main" id="{677EAFA2-0CB0-4416-B3AC-0FE6F728D8D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153</xdr:row>
      <xdr:rowOff>0</xdr:rowOff>
    </xdr:from>
    <xdr:ext cx="10372" cy="228955"/>
    <xdr:sp macro="" textlink="">
      <xdr:nvSpPr>
        <xdr:cNvPr id="3506" name="Text Box 192">
          <a:extLst>
            <a:ext uri="{FF2B5EF4-FFF2-40B4-BE49-F238E27FC236}">
              <a16:creationId xmlns:a16="http://schemas.microsoft.com/office/drawing/2014/main" id="{6668B057-34DC-4028-850C-E66405B1C52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3507" name="Text Box 192">
          <a:extLst>
            <a:ext uri="{FF2B5EF4-FFF2-40B4-BE49-F238E27FC236}">
              <a16:creationId xmlns:a16="http://schemas.microsoft.com/office/drawing/2014/main" id="{97928824-635E-4074-A2D8-D12C027D65A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3508" name="Text Box 192">
          <a:extLst>
            <a:ext uri="{FF2B5EF4-FFF2-40B4-BE49-F238E27FC236}">
              <a16:creationId xmlns:a16="http://schemas.microsoft.com/office/drawing/2014/main" id="{69DBE9BD-50C5-4E28-A6AD-14C2E76F1D9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3509" name="Text Box 192">
          <a:extLst>
            <a:ext uri="{FF2B5EF4-FFF2-40B4-BE49-F238E27FC236}">
              <a16:creationId xmlns:a16="http://schemas.microsoft.com/office/drawing/2014/main" id="{E1FCBCAC-71C8-40D5-BE6D-82539003B74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3510" name="Text Box 192">
          <a:extLst>
            <a:ext uri="{FF2B5EF4-FFF2-40B4-BE49-F238E27FC236}">
              <a16:creationId xmlns:a16="http://schemas.microsoft.com/office/drawing/2014/main" id="{3F3A51B2-D162-4B89-ABE0-64E7857A01A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3511" name="Text Box 192">
          <a:extLst>
            <a:ext uri="{FF2B5EF4-FFF2-40B4-BE49-F238E27FC236}">
              <a16:creationId xmlns:a16="http://schemas.microsoft.com/office/drawing/2014/main" id="{70CBC5D9-3F29-4987-BF8D-5CB7B646102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3512" name="Text Box 192">
          <a:extLst>
            <a:ext uri="{FF2B5EF4-FFF2-40B4-BE49-F238E27FC236}">
              <a16:creationId xmlns:a16="http://schemas.microsoft.com/office/drawing/2014/main" id="{34C6449C-1046-4A66-A74C-1E35FEEFE0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3513" name="Text Box 192">
          <a:extLst>
            <a:ext uri="{FF2B5EF4-FFF2-40B4-BE49-F238E27FC236}">
              <a16:creationId xmlns:a16="http://schemas.microsoft.com/office/drawing/2014/main" id="{6505F476-AD2D-4EF2-B56C-38F8EEBCB6B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3514" name="Text Box 192">
          <a:extLst>
            <a:ext uri="{FF2B5EF4-FFF2-40B4-BE49-F238E27FC236}">
              <a16:creationId xmlns:a16="http://schemas.microsoft.com/office/drawing/2014/main" id="{E73ADD0C-88FA-4D99-996B-2CD8E02CAA7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154</xdr:row>
      <xdr:rowOff>0</xdr:rowOff>
    </xdr:from>
    <xdr:ext cx="10372" cy="228955"/>
    <xdr:sp macro="" textlink="">
      <xdr:nvSpPr>
        <xdr:cNvPr id="3515" name="Text Box 192">
          <a:extLst>
            <a:ext uri="{FF2B5EF4-FFF2-40B4-BE49-F238E27FC236}">
              <a16:creationId xmlns:a16="http://schemas.microsoft.com/office/drawing/2014/main" id="{3D799689-AF12-4CB7-B417-C798A077F89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3516" name="Text Box 192">
          <a:extLst>
            <a:ext uri="{FF2B5EF4-FFF2-40B4-BE49-F238E27FC236}">
              <a16:creationId xmlns:a16="http://schemas.microsoft.com/office/drawing/2014/main" id="{2D31BB42-DA3F-4D4F-AAAD-EB69C05DD6E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3517" name="Text Box 192">
          <a:extLst>
            <a:ext uri="{FF2B5EF4-FFF2-40B4-BE49-F238E27FC236}">
              <a16:creationId xmlns:a16="http://schemas.microsoft.com/office/drawing/2014/main" id="{85D849BB-5568-40B8-8C2E-6B9B69AA3A1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3518" name="Text Box 192">
          <a:extLst>
            <a:ext uri="{FF2B5EF4-FFF2-40B4-BE49-F238E27FC236}">
              <a16:creationId xmlns:a16="http://schemas.microsoft.com/office/drawing/2014/main" id="{FD613FA9-F6B3-4349-A2B5-1548C3E1671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3519" name="Text Box 192">
          <a:extLst>
            <a:ext uri="{FF2B5EF4-FFF2-40B4-BE49-F238E27FC236}">
              <a16:creationId xmlns:a16="http://schemas.microsoft.com/office/drawing/2014/main" id="{F0E92DFC-0AE0-4E77-8F39-0511C6EFE49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3520" name="Text Box 192">
          <a:extLst>
            <a:ext uri="{FF2B5EF4-FFF2-40B4-BE49-F238E27FC236}">
              <a16:creationId xmlns:a16="http://schemas.microsoft.com/office/drawing/2014/main" id="{61FDD91E-B651-434F-8942-8D43725DF9C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3521" name="Text Box 192">
          <a:extLst>
            <a:ext uri="{FF2B5EF4-FFF2-40B4-BE49-F238E27FC236}">
              <a16:creationId xmlns:a16="http://schemas.microsoft.com/office/drawing/2014/main" id="{F3AEBED6-BA64-4155-B1FC-990C13BFF64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3522" name="Text Box 192">
          <a:extLst>
            <a:ext uri="{FF2B5EF4-FFF2-40B4-BE49-F238E27FC236}">
              <a16:creationId xmlns:a16="http://schemas.microsoft.com/office/drawing/2014/main" id="{D9C7B4D8-B603-4EA4-839C-CEC63729FE6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3523" name="Text Box 192">
          <a:extLst>
            <a:ext uri="{FF2B5EF4-FFF2-40B4-BE49-F238E27FC236}">
              <a16:creationId xmlns:a16="http://schemas.microsoft.com/office/drawing/2014/main" id="{CDAEB368-1BE3-4CAB-9A52-A0E0F18C3B6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155</xdr:row>
      <xdr:rowOff>0</xdr:rowOff>
    </xdr:from>
    <xdr:ext cx="10372" cy="228955"/>
    <xdr:sp macro="" textlink="">
      <xdr:nvSpPr>
        <xdr:cNvPr id="3524" name="Text Box 192">
          <a:extLst>
            <a:ext uri="{FF2B5EF4-FFF2-40B4-BE49-F238E27FC236}">
              <a16:creationId xmlns:a16="http://schemas.microsoft.com/office/drawing/2014/main" id="{69A873D7-A889-4A06-82B4-7AED4E8A56A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3525" name="Text Box 192">
          <a:extLst>
            <a:ext uri="{FF2B5EF4-FFF2-40B4-BE49-F238E27FC236}">
              <a16:creationId xmlns:a16="http://schemas.microsoft.com/office/drawing/2014/main" id="{1E4D69F1-6F7E-4727-8758-70F95F3D63B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3526" name="Text Box 192">
          <a:extLst>
            <a:ext uri="{FF2B5EF4-FFF2-40B4-BE49-F238E27FC236}">
              <a16:creationId xmlns:a16="http://schemas.microsoft.com/office/drawing/2014/main" id="{D812C34F-E4BF-4CD1-A0C5-FFFCA125C1C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3527" name="Text Box 192">
          <a:extLst>
            <a:ext uri="{FF2B5EF4-FFF2-40B4-BE49-F238E27FC236}">
              <a16:creationId xmlns:a16="http://schemas.microsoft.com/office/drawing/2014/main" id="{6FF32686-3ECA-4569-8271-FB75E80C40F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3528" name="Text Box 192">
          <a:extLst>
            <a:ext uri="{FF2B5EF4-FFF2-40B4-BE49-F238E27FC236}">
              <a16:creationId xmlns:a16="http://schemas.microsoft.com/office/drawing/2014/main" id="{DEB981BD-E637-492C-89C7-AE2CDDF59FD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3529" name="Text Box 192">
          <a:extLst>
            <a:ext uri="{FF2B5EF4-FFF2-40B4-BE49-F238E27FC236}">
              <a16:creationId xmlns:a16="http://schemas.microsoft.com/office/drawing/2014/main" id="{A8B4F113-7E0C-4EFD-9208-060D33FCF46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3530" name="Text Box 192">
          <a:extLst>
            <a:ext uri="{FF2B5EF4-FFF2-40B4-BE49-F238E27FC236}">
              <a16:creationId xmlns:a16="http://schemas.microsoft.com/office/drawing/2014/main" id="{3976A726-BC51-406F-A9CC-AEDC6CEEE11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3531" name="Text Box 192">
          <a:extLst>
            <a:ext uri="{FF2B5EF4-FFF2-40B4-BE49-F238E27FC236}">
              <a16:creationId xmlns:a16="http://schemas.microsoft.com/office/drawing/2014/main" id="{A4898508-9F29-4F2D-B342-12A80856308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3532" name="Text Box 192">
          <a:extLst>
            <a:ext uri="{FF2B5EF4-FFF2-40B4-BE49-F238E27FC236}">
              <a16:creationId xmlns:a16="http://schemas.microsoft.com/office/drawing/2014/main" id="{F7E1B839-4180-4765-ABD2-35362ABFB0E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156</xdr:row>
      <xdr:rowOff>0</xdr:rowOff>
    </xdr:from>
    <xdr:ext cx="10372" cy="228955"/>
    <xdr:sp macro="" textlink="">
      <xdr:nvSpPr>
        <xdr:cNvPr id="3533" name="Text Box 192">
          <a:extLst>
            <a:ext uri="{FF2B5EF4-FFF2-40B4-BE49-F238E27FC236}">
              <a16:creationId xmlns:a16="http://schemas.microsoft.com/office/drawing/2014/main" id="{AEE4ED7B-E0A5-487F-BCEB-348A13D2AA6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3534" name="Text Box 192">
          <a:extLst>
            <a:ext uri="{FF2B5EF4-FFF2-40B4-BE49-F238E27FC236}">
              <a16:creationId xmlns:a16="http://schemas.microsoft.com/office/drawing/2014/main" id="{E7ED8363-D5D0-4449-AA65-B28A2CCE169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3535" name="Text Box 192">
          <a:extLst>
            <a:ext uri="{FF2B5EF4-FFF2-40B4-BE49-F238E27FC236}">
              <a16:creationId xmlns:a16="http://schemas.microsoft.com/office/drawing/2014/main" id="{609CDA81-3A60-4637-9C08-9E90B47B127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3536" name="Text Box 192">
          <a:extLst>
            <a:ext uri="{FF2B5EF4-FFF2-40B4-BE49-F238E27FC236}">
              <a16:creationId xmlns:a16="http://schemas.microsoft.com/office/drawing/2014/main" id="{02E702DF-9DC1-4253-8FC9-1062802836F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3537" name="Text Box 192">
          <a:extLst>
            <a:ext uri="{FF2B5EF4-FFF2-40B4-BE49-F238E27FC236}">
              <a16:creationId xmlns:a16="http://schemas.microsoft.com/office/drawing/2014/main" id="{F673972A-7095-407B-BDB5-792B2B2D41D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3538" name="Text Box 192">
          <a:extLst>
            <a:ext uri="{FF2B5EF4-FFF2-40B4-BE49-F238E27FC236}">
              <a16:creationId xmlns:a16="http://schemas.microsoft.com/office/drawing/2014/main" id="{2B2E6538-B625-431D-A05C-8B7A8C8F344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3539" name="Text Box 192">
          <a:extLst>
            <a:ext uri="{FF2B5EF4-FFF2-40B4-BE49-F238E27FC236}">
              <a16:creationId xmlns:a16="http://schemas.microsoft.com/office/drawing/2014/main" id="{1B0F5C09-AF76-49FD-A2D0-FFEE95F41CB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3540" name="Text Box 192">
          <a:extLst>
            <a:ext uri="{FF2B5EF4-FFF2-40B4-BE49-F238E27FC236}">
              <a16:creationId xmlns:a16="http://schemas.microsoft.com/office/drawing/2014/main" id="{ACD95286-2ED5-4154-BA4A-16894CF40E1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3541" name="Text Box 192">
          <a:extLst>
            <a:ext uri="{FF2B5EF4-FFF2-40B4-BE49-F238E27FC236}">
              <a16:creationId xmlns:a16="http://schemas.microsoft.com/office/drawing/2014/main" id="{A86B56EF-D13A-4E19-80D9-723018C7A27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157</xdr:row>
      <xdr:rowOff>0</xdr:rowOff>
    </xdr:from>
    <xdr:ext cx="10372" cy="228955"/>
    <xdr:sp macro="" textlink="">
      <xdr:nvSpPr>
        <xdr:cNvPr id="3542" name="Text Box 192">
          <a:extLst>
            <a:ext uri="{FF2B5EF4-FFF2-40B4-BE49-F238E27FC236}">
              <a16:creationId xmlns:a16="http://schemas.microsoft.com/office/drawing/2014/main" id="{E6373124-386A-4A05-BF91-0A7DA41B4D4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3543" name="Text Box 192">
          <a:extLst>
            <a:ext uri="{FF2B5EF4-FFF2-40B4-BE49-F238E27FC236}">
              <a16:creationId xmlns:a16="http://schemas.microsoft.com/office/drawing/2014/main" id="{F5873EBD-B3A8-4C11-A0FB-7BF802C9DF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3544" name="Text Box 192">
          <a:extLst>
            <a:ext uri="{FF2B5EF4-FFF2-40B4-BE49-F238E27FC236}">
              <a16:creationId xmlns:a16="http://schemas.microsoft.com/office/drawing/2014/main" id="{662C8F90-0A90-457D-96DB-032FE7577DA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3545" name="Text Box 192">
          <a:extLst>
            <a:ext uri="{FF2B5EF4-FFF2-40B4-BE49-F238E27FC236}">
              <a16:creationId xmlns:a16="http://schemas.microsoft.com/office/drawing/2014/main" id="{B4557BD6-22C2-425F-8163-712E0143872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3546" name="Text Box 192">
          <a:extLst>
            <a:ext uri="{FF2B5EF4-FFF2-40B4-BE49-F238E27FC236}">
              <a16:creationId xmlns:a16="http://schemas.microsoft.com/office/drawing/2014/main" id="{380C1E04-56B7-4DFE-AA23-8F9789FE073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3547" name="Text Box 192">
          <a:extLst>
            <a:ext uri="{FF2B5EF4-FFF2-40B4-BE49-F238E27FC236}">
              <a16:creationId xmlns:a16="http://schemas.microsoft.com/office/drawing/2014/main" id="{E703243B-B8A8-4567-9F19-DCBE44B468C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3548" name="Text Box 192">
          <a:extLst>
            <a:ext uri="{FF2B5EF4-FFF2-40B4-BE49-F238E27FC236}">
              <a16:creationId xmlns:a16="http://schemas.microsoft.com/office/drawing/2014/main" id="{98B17E22-A638-4A3D-B513-D2AF8ED18E5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3549" name="Text Box 192">
          <a:extLst>
            <a:ext uri="{FF2B5EF4-FFF2-40B4-BE49-F238E27FC236}">
              <a16:creationId xmlns:a16="http://schemas.microsoft.com/office/drawing/2014/main" id="{8D094B90-7B16-454E-ABCF-21AE561B5DE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3550" name="Text Box 192">
          <a:extLst>
            <a:ext uri="{FF2B5EF4-FFF2-40B4-BE49-F238E27FC236}">
              <a16:creationId xmlns:a16="http://schemas.microsoft.com/office/drawing/2014/main" id="{66987924-3C1B-4288-B452-CD00EB22DB8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158</xdr:row>
      <xdr:rowOff>0</xdr:rowOff>
    </xdr:from>
    <xdr:ext cx="10372" cy="228955"/>
    <xdr:sp macro="" textlink="">
      <xdr:nvSpPr>
        <xdr:cNvPr id="3551" name="Text Box 192">
          <a:extLst>
            <a:ext uri="{FF2B5EF4-FFF2-40B4-BE49-F238E27FC236}">
              <a16:creationId xmlns:a16="http://schemas.microsoft.com/office/drawing/2014/main" id="{06B21150-5A51-4048-957D-D4F301D0353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3552" name="Text Box 192">
          <a:extLst>
            <a:ext uri="{FF2B5EF4-FFF2-40B4-BE49-F238E27FC236}">
              <a16:creationId xmlns:a16="http://schemas.microsoft.com/office/drawing/2014/main" id="{D46C7862-8FAD-468D-A008-2DFA58B0DCE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3553" name="Text Box 192">
          <a:extLst>
            <a:ext uri="{FF2B5EF4-FFF2-40B4-BE49-F238E27FC236}">
              <a16:creationId xmlns:a16="http://schemas.microsoft.com/office/drawing/2014/main" id="{D2BA50B0-E896-4957-9AD2-F2368CBC168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3554" name="Text Box 192">
          <a:extLst>
            <a:ext uri="{FF2B5EF4-FFF2-40B4-BE49-F238E27FC236}">
              <a16:creationId xmlns:a16="http://schemas.microsoft.com/office/drawing/2014/main" id="{1B55EB66-87D3-49AB-B08A-00BFC90B525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3555" name="Text Box 192">
          <a:extLst>
            <a:ext uri="{FF2B5EF4-FFF2-40B4-BE49-F238E27FC236}">
              <a16:creationId xmlns:a16="http://schemas.microsoft.com/office/drawing/2014/main" id="{6628C2A4-AADC-426E-A152-7314CC1CDD8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3556" name="Text Box 192">
          <a:extLst>
            <a:ext uri="{FF2B5EF4-FFF2-40B4-BE49-F238E27FC236}">
              <a16:creationId xmlns:a16="http://schemas.microsoft.com/office/drawing/2014/main" id="{F32ACAE2-01A9-4321-AE58-8ABB36E7BC9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3557" name="Text Box 192">
          <a:extLst>
            <a:ext uri="{FF2B5EF4-FFF2-40B4-BE49-F238E27FC236}">
              <a16:creationId xmlns:a16="http://schemas.microsoft.com/office/drawing/2014/main" id="{A624F978-F0A7-4A20-A93E-D9A8A71049F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3558" name="Text Box 192">
          <a:extLst>
            <a:ext uri="{FF2B5EF4-FFF2-40B4-BE49-F238E27FC236}">
              <a16:creationId xmlns:a16="http://schemas.microsoft.com/office/drawing/2014/main" id="{F3B736B6-EFD8-4F48-A583-36D4E086AE1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3559" name="Text Box 192">
          <a:extLst>
            <a:ext uri="{FF2B5EF4-FFF2-40B4-BE49-F238E27FC236}">
              <a16:creationId xmlns:a16="http://schemas.microsoft.com/office/drawing/2014/main" id="{F67D87AD-056E-4F57-8E3C-520EBA8B093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159</xdr:row>
      <xdr:rowOff>0</xdr:rowOff>
    </xdr:from>
    <xdr:ext cx="10372" cy="228955"/>
    <xdr:sp macro="" textlink="">
      <xdr:nvSpPr>
        <xdr:cNvPr id="3560" name="Text Box 192">
          <a:extLst>
            <a:ext uri="{FF2B5EF4-FFF2-40B4-BE49-F238E27FC236}">
              <a16:creationId xmlns:a16="http://schemas.microsoft.com/office/drawing/2014/main" id="{41BFFB09-E143-42A6-9267-FE7F30D4828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3561" name="Text Box 192">
          <a:extLst>
            <a:ext uri="{FF2B5EF4-FFF2-40B4-BE49-F238E27FC236}">
              <a16:creationId xmlns:a16="http://schemas.microsoft.com/office/drawing/2014/main" id="{78C5B6A2-A6FE-4F49-B211-6279F12E385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3562" name="Text Box 192">
          <a:extLst>
            <a:ext uri="{FF2B5EF4-FFF2-40B4-BE49-F238E27FC236}">
              <a16:creationId xmlns:a16="http://schemas.microsoft.com/office/drawing/2014/main" id="{9BA9098C-4889-4B4E-BBBA-84A33C47355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3563" name="Text Box 192">
          <a:extLst>
            <a:ext uri="{FF2B5EF4-FFF2-40B4-BE49-F238E27FC236}">
              <a16:creationId xmlns:a16="http://schemas.microsoft.com/office/drawing/2014/main" id="{DFC8A37D-DCC1-48C1-B9F3-9902288E8F4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3564" name="Text Box 192">
          <a:extLst>
            <a:ext uri="{FF2B5EF4-FFF2-40B4-BE49-F238E27FC236}">
              <a16:creationId xmlns:a16="http://schemas.microsoft.com/office/drawing/2014/main" id="{8C195F8B-B5DB-4DF2-8DB3-D617A3FF7F3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3565" name="Text Box 192">
          <a:extLst>
            <a:ext uri="{FF2B5EF4-FFF2-40B4-BE49-F238E27FC236}">
              <a16:creationId xmlns:a16="http://schemas.microsoft.com/office/drawing/2014/main" id="{68A176DB-08D1-46CC-AE4E-5C82C13BEBB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3566" name="Text Box 192">
          <a:extLst>
            <a:ext uri="{FF2B5EF4-FFF2-40B4-BE49-F238E27FC236}">
              <a16:creationId xmlns:a16="http://schemas.microsoft.com/office/drawing/2014/main" id="{79AD028D-278F-4FC4-9B37-432152B7BFC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3567" name="Text Box 192">
          <a:extLst>
            <a:ext uri="{FF2B5EF4-FFF2-40B4-BE49-F238E27FC236}">
              <a16:creationId xmlns:a16="http://schemas.microsoft.com/office/drawing/2014/main" id="{9EB7F4E1-0D5A-4717-88C5-C7C0D6C1423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3568" name="Text Box 192">
          <a:extLst>
            <a:ext uri="{FF2B5EF4-FFF2-40B4-BE49-F238E27FC236}">
              <a16:creationId xmlns:a16="http://schemas.microsoft.com/office/drawing/2014/main" id="{BA145493-C60D-4E30-8DB4-76B6DF6EB49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160</xdr:row>
      <xdr:rowOff>0</xdr:rowOff>
    </xdr:from>
    <xdr:ext cx="10372" cy="228955"/>
    <xdr:sp macro="" textlink="">
      <xdr:nvSpPr>
        <xdr:cNvPr id="3569" name="Text Box 192">
          <a:extLst>
            <a:ext uri="{FF2B5EF4-FFF2-40B4-BE49-F238E27FC236}">
              <a16:creationId xmlns:a16="http://schemas.microsoft.com/office/drawing/2014/main" id="{85B372AF-524D-4A6B-9CFA-0A832F27F2E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3570" name="Text Box 192">
          <a:extLst>
            <a:ext uri="{FF2B5EF4-FFF2-40B4-BE49-F238E27FC236}">
              <a16:creationId xmlns:a16="http://schemas.microsoft.com/office/drawing/2014/main" id="{736F4E73-F652-4AEA-807A-D494B58D858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3571" name="Text Box 192">
          <a:extLst>
            <a:ext uri="{FF2B5EF4-FFF2-40B4-BE49-F238E27FC236}">
              <a16:creationId xmlns:a16="http://schemas.microsoft.com/office/drawing/2014/main" id="{1663CC8F-64FF-43EA-B64D-B1D99CA692E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3572" name="Text Box 192">
          <a:extLst>
            <a:ext uri="{FF2B5EF4-FFF2-40B4-BE49-F238E27FC236}">
              <a16:creationId xmlns:a16="http://schemas.microsoft.com/office/drawing/2014/main" id="{E1810BFD-4776-4F24-AA57-ABA66E5EF67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3573" name="Text Box 192">
          <a:extLst>
            <a:ext uri="{FF2B5EF4-FFF2-40B4-BE49-F238E27FC236}">
              <a16:creationId xmlns:a16="http://schemas.microsoft.com/office/drawing/2014/main" id="{DF3C4E1D-CB63-4459-BC60-90717C9D429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3574" name="Text Box 192">
          <a:extLst>
            <a:ext uri="{FF2B5EF4-FFF2-40B4-BE49-F238E27FC236}">
              <a16:creationId xmlns:a16="http://schemas.microsoft.com/office/drawing/2014/main" id="{460657FC-0FE1-4246-95B3-933F725F011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3575" name="Text Box 192">
          <a:extLst>
            <a:ext uri="{FF2B5EF4-FFF2-40B4-BE49-F238E27FC236}">
              <a16:creationId xmlns:a16="http://schemas.microsoft.com/office/drawing/2014/main" id="{C316BDB4-FFCF-4B1E-84BA-3C25F591DCA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3576" name="Text Box 192">
          <a:extLst>
            <a:ext uri="{FF2B5EF4-FFF2-40B4-BE49-F238E27FC236}">
              <a16:creationId xmlns:a16="http://schemas.microsoft.com/office/drawing/2014/main" id="{89C106B1-8A35-4116-8D83-8D3193FF77A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3577" name="Text Box 192">
          <a:extLst>
            <a:ext uri="{FF2B5EF4-FFF2-40B4-BE49-F238E27FC236}">
              <a16:creationId xmlns:a16="http://schemas.microsoft.com/office/drawing/2014/main" id="{B3C777DD-E884-4DC7-90DF-1ACF9A4F2EC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161</xdr:row>
      <xdr:rowOff>0</xdr:rowOff>
    </xdr:from>
    <xdr:ext cx="10372" cy="228955"/>
    <xdr:sp macro="" textlink="">
      <xdr:nvSpPr>
        <xdr:cNvPr id="3578" name="Text Box 192">
          <a:extLst>
            <a:ext uri="{FF2B5EF4-FFF2-40B4-BE49-F238E27FC236}">
              <a16:creationId xmlns:a16="http://schemas.microsoft.com/office/drawing/2014/main" id="{C969CA12-141E-4654-B122-6FB0068702C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3579" name="Text Box 192">
          <a:extLst>
            <a:ext uri="{FF2B5EF4-FFF2-40B4-BE49-F238E27FC236}">
              <a16:creationId xmlns:a16="http://schemas.microsoft.com/office/drawing/2014/main" id="{19EAF5DC-65F6-435F-A0F6-6020D6BE354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3580" name="Text Box 192">
          <a:extLst>
            <a:ext uri="{FF2B5EF4-FFF2-40B4-BE49-F238E27FC236}">
              <a16:creationId xmlns:a16="http://schemas.microsoft.com/office/drawing/2014/main" id="{9A5FD326-496E-4FB7-A7C8-450B3283043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3581" name="Text Box 192">
          <a:extLst>
            <a:ext uri="{FF2B5EF4-FFF2-40B4-BE49-F238E27FC236}">
              <a16:creationId xmlns:a16="http://schemas.microsoft.com/office/drawing/2014/main" id="{51D8E893-5F5A-4F96-990E-B5650F6A37F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3582" name="Text Box 192">
          <a:extLst>
            <a:ext uri="{FF2B5EF4-FFF2-40B4-BE49-F238E27FC236}">
              <a16:creationId xmlns:a16="http://schemas.microsoft.com/office/drawing/2014/main" id="{FF63663C-0F2A-48B5-A551-DEF3D4A15AE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3583" name="Text Box 192">
          <a:extLst>
            <a:ext uri="{FF2B5EF4-FFF2-40B4-BE49-F238E27FC236}">
              <a16:creationId xmlns:a16="http://schemas.microsoft.com/office/drawing/2014/main" id="{13D04CDE-424E-4369-8566-DDC388CD959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3584" name="Text Box 192">
          <a:extLst>
            <a:ext uri="{FF2B5EF4-FFF2-40B4-BE49-F238E27FC236}">
              <a16:creationId xmlns:a16="http://schemas.microsoft.com/office/drawing/2014/main" id="{E4E2B771-C325-4F59-93AB-182DC260431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3585" name="Text Box 192">
          <a:extLst>
            <a:ext uri="{FF2B5EF4-FFF2-40B4-BE49-F238E27FC236}">
              <a16:creationId xmlns:a16="http://schemas.microsoft.com/office/drawing/2014/main" id="{C97F145D-4718-4B0A-9B43-A433ED3A136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3586" name="Text Box 192">
          <a:extLst>
            <a:ext uri="{FF2B5EF4-FFF2-40B4-BE49-F238E27FC236}">
              <a16:creationId xmlns:a16="http://schemas.microsoft.com/office/drawing/2014/main" id="{848AA667-12E9-44CC-A5A2-84D0AEA2DC3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162</xdr:row>
      <xdr:rowOff>0</xdr:rowOff>
    </xdr:from>
    <xdr:ext cx="10372" cy="228955"/>
    <xdr:sp macro="" textlink="">
      <xdr:nvSpPr>
        <xdr:cNvPr id="3587" name="Text Box 192">
          <a:extLst>
            <a:ext uri="{FF2B5EF4-FFF2-40B4-BE49-F238E27FC236}">
              <a16:creationId xmlns:a16="http://schemas.microsoft.com/office/drawing/2014/main" id="{D4DA396C-D242-4C83-BAA1-9DCBA1ADA76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3588" name="Text Box 192">
          <a:extLst>
            <a:ext uri="{FF2B5EF4-FFF2-40B4-BE49-F238E27FC236}">
              <a16:creationId xmlns:a16="http://schemas.microsoft.com/office/drawing/2014/main" id="{807035EB-5339-4632-8BCC-326C9DE92FC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3589" name="Text Box 192">
          <a:extLst>
            <a:ext uri="{FF2B5EF4-FFF2-40B4-BE49-F238E27FC236}">
              <a16:creationId xmlns:a16="http://schemas.microsoft.com/office/drawing/2014/main" id="{3044AFCD-AB1F-498F-8692-C23B8FFDECF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3590" name="Text Box 192">
          <a:extLst>
            <a:ext uri="{FF2B5EF4-FFF2-40B4-BE49-F238E27FC236}">
              <a16:creationId xmlns:a16="http://schemas.microsoft.com/office/drawing/2014/main" id="{83DC5CBC-CBA1-49BE-B517-4B0D951BAF3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3591" name="Text Box 192">
          <a:extLst>
            <a:ext uri="{FF2B5EF4-FFF2-40B4-BE49-F238E27FC236}">
              <a16:creationId xmlns:a16="http://schemas.microsoft.com/office/drawing/2014/main" id="{8A1702FD-3A7E-490E-B1BA-41DDA5A42BF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3592" name="Text Box 192">
          <a:extLst>
            <a:ext uri="{FF2B5EF4-FFF2-40B4-BE49-F238E27FC236}">
              <a16:creationId xmlns:a16="http://schemas.microsoft.com/office/drawing/2014/main" id="{A6B132F5-CC7D-4D09-89C7-2AFA3DB228B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3593" name="Text Box 192">
          <a:extLst>
            <a:ext uri="{FF2B5EF4-FFF2-40B4-BE49-F238E27FC236}">
              <a16:creationId xmlns:a16="http://schemas.microsoft.com/office/drawing/2014/main" id="{0346301B-7D2C-475E-993F-D371B6EA381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3594" name="Text Box 192">
          <a:extLst>
            <a:ext uri="{FF2B5EF4-FFF2-40B4-BE49-F238E27FC236}">
              <a16:creationId xmlns:a16="http://schemas.microsoft.com/office/drawing/2014/main" id="{08D303F7-D520-4D45-94DD-A793511BC31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3595" name="Text Box 192">
          <a:extLst>
            <a:ext uri="{FF2B5EF4-FFF2-40B4-BE49-F238E27FC236}">
              <a16:creationId xmlns:a16="http://schemas.microsoft.com/office/drawing/2014/main" id="{5994E464-F8AE-40A4-A5B2-626CC113D04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163</xdr:row>
      <xdr:rowOff>0</xdr:rowOff>
    </xdr:from>
    <xdr:ext cx="10372" cy="228955"/>
    <xdr:sp macro="" textlink="">
      <xdr:nvSpPr>
        <xdr:cNvPr id="3596" name="Text Box 192">
          <a:extLst>
            <a:ext uri="{FF2B5EF4-FFF2-40B4-BE49-F238E27FC236}">
              <a16:creationId xmlns:a16="http://schemas.microsoft.com/office/drawing/2014/main" id="{5CC2C6F1-C6F2-4689-9B6E-87AD23394A3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3597" name="Text Box 192">
          <a:extLst>
            <a:ext uri="{FF2B5EF4-FFF2-40B4-BE49-F238E27FC236}">
              <a16:creationId xmlns:a16="http://schemas.microsoft.com/office/drawing/2014/main" id="{5681A913-52CE-431D-9025-E469F0523D6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3598" name="Text Box 192">
          <a:extLst>
            <a:ext uri="{FF2B5EF4-FFF2-40B4-BE49-F238E27FC236}">
              <a16:creationId xmlns:a16="http://schemas.microsoft.com/office/drawing/2014/main" id="{1EF5A992-EB82-44E4-827D-F9D890E79F1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3599" name="Text Box 192">
          <a:extLst>
            <a:ext uri="{FF2B5EF4-FFF2-40B4-BE49-F238E27FC236}">
              <a16:creationId xmlns:a16="http://schemas.microsoft.com/office/drawing/2014/main" id="{FEDAB001-FD25-4ACE-B1BA-78EB352A59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3600" name="Text Box 192">
          <a:extLst>
            <a:ext uri="{FF2B5EF4-FFF2-40B4-BE49-F238E27FC236}">
              <a16:creationId xmlns:a16="http://schemas.microsoft.com/office/drawing/2014/main" id="{0CDB2C96-7BEA-468F-A45D-34B5720F3AC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3601" name="Text Box 192">
          <a:extLst>
            <a:ext uri="{FF2B5EF4-FFF2-40B4-BE49-F238E27FC236}">
              <a16:creationId xmlns:a16="http://schemas.microsoft.com/office/drawing/2014/main" id="{1932B8FB-1542-4E24-94A7-B695A0E4FE0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3602" name="Text Box 192">
          <a:extLst>
            <a:ext uri="{FF2B5EF4-FFF2-40B4-BE49-F238E27FC236}">
              <a16:creationId xmlns:a16="http://schemas.microsoft.com/office/drawing/2014/main" id="{55C5DBB3-9AFC-4D22-BC0F-AC3E7C6795B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3603" name="Text Box 192">
          <a:extLst>
            <a:ext uri="{FF2B5EF4-FFF2-40B4-BE49-F238E27FC236}">
              <a16:creationId xmlns:a16="http://schemas.microsoft.com/office/drawing/2014/main" id="{67E7D7FC-678E-4F18-A6D3-D38ADAF09D6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3604" name="Text Box 192">
          <a:extLst>
            <a:ext uri="{FF2B5EF4-FFF2-40B4-BE49-F238E27FC236}">
              <a16:creationId xmlns:a16="http://schemas.microsoft.com/office/drawing/2014/main" id="{51CCBECE-4363-4DD2-B3E3-29D5760A38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164</xdr:row>
      <xdr:rowOff>0</xdr:rowOff>
    </xdr:from>
    <xdr:ext cx="10372" cy="228955"/>
    <xdr:sp macro="" textlink="">
      <xdr:nvSpPr>
        <xdr:cNvPr id="3605" name="Text Box 192">
          <a:extLst>
            <a:ext uri="{FF2B5EF4-FFF2-40B4-BE49-F238E27FC236}">
              <a16:creationId xmlns:a16="http://schemas.microsoft.com/office/drawing/2014/main" id="{B761B35A-91F8-494D-BD62-A46593BD2FB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3606" name="Text Box 192">
          <a:extLst>
            <a:ext uri="{FF2B5EF4-FFF2-40B4-BE49-F238E27FC236}">
              <a16:creationId xmlns:a16="http://schemas.microsoft.com/office/drawing/2014/main" id="{9986537B-700B-4333-9733-1CD846460F0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3607" name="Text Box 192">
          <a:extLst>
            <a:ext uri="{FF2B5EF4-FFF2-40B4-BE49-F238E27FC236}">
              <a16:creationId xmlns:a16="http://schemas.microsoft.com/office/drawing/2014/main" id="{DE8B67E2-99AD-4338-BCAA-1A0A960E1D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3608" name="Text Box 192">
          <a:extLst>
            <a:ext uri="{FF2B5EF4-FFF2-40B4-BE49-F238E27FC236}">
              <a16:creationId xmlns:a16="http://schemas.microsoft.com/office/drawing/2014/main" id="{8A9535AF-C22D-4263-BB85-BE194130140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3609" name="Text Box 192">
          <a:extLst>
            <a:ext uri="{FF2B5EF4-FFF2-40B4-BE49-F238E27FC236}">
              <a16:creationId xmlns:a16="http://schemas.microsoft.com/office/drawing/2014/main" id="{F07B7282-9F4A-48C7-8E96-87994DBF040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3610" name="Text Box 192">
          <a:extLst>
            <a:ext uri="{FF2B5EF4-FFF2-40B4-BE49-F238E27FC236}">
              <a16:creationId xmlns:a16="http://schemas.microsoft.com/office/drawing/2014/main" id="{D6B263FC-4811-4BC9-BD75-EEF34906504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3611" name="Text Box 192">
          <a:extLst>
            <a:ext uri="{FF2B5EF4-FFF2-40B4-BE49-F238E27FC236}">
              <a16:creationId xmlns:a16="http://schemas.microsoft.com/office/drawing/2014/main" id="{8D6085B3-FDB7-4FE5-8C69-FF6639761FB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3612" name="Text Box 192">
          <a:extLst>
            <a:ext uri="{FF2B5EF4-FFF2-40B4-BE49-F238E27FC236}">
              <a16:creationId xmlns:a16="http://schemas.microsoft.com/office/drawing/2014/main" id="{86094A98-A1AA-4E2E-A596-6704BA031B5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3613" name="Text Box 192">
          <a:extLst>
            <a:ext uri="{FF2B5EF4-FFF2-40B4-BE49-F238E27FC236}">
              <a16:creationId xmlns:a16="http://schemas.microsoft.com/office/drawing/2014/main" id="{2ED3FF9F-10A2-49BA-B83A-58BCC9E9194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165</xdr:row>
      <xdr:rowOff>0</xdr:rowOff>
    </xdr:from>
    <xdr:ext cx="10372" cy="228955"/>
    <xdr:sp macro="" textlink="">
      <xdr:nvSpPr>
        <xdr:cNvPr id="3614" name="Text Box 192">
          <a:extLst>
            <a:ext uri="{FF2B5EF4-FFF2-40B4-BE49-F238E27FC236}">
              <a16:creationId xmlns:a16="http://schemas.microsoft.com/office/drawing/2014/main" id="{C02C5322-2647-4AC2-9F93-B8F56873F43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3615" name="Text Box 192">
          <a:extLst>
            <a:ext uri="{FF2B5EF4-FFF2-40B4-BE49-F238E27FC236}">
              <a16:creationId xmlns:a16="http://schemas.microsoft.com/office/drawing/2014/main" id="{18365500-E70A-4A60-8589-9CADED538CF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3616" name="Text Box 192">
          <a:extLst>
            <a:ext uri="{FF2B5EF4-FFF2-40B4-BE49-F238E27FC236}">
              <a16:creationId xmlns:a16="http://schemas.microsoft.com/office/drawing/2014/main" id="{2C5FB86F-9D2C-40B0-9FB7-61982CD8BF4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3617" name="Text Box 192">
          <a:extLst>
            <a:ext uri="{FF2B5EF4-FFF2-40B4-BE49-F238E27FC236}">
              <a16:creationId xmlns:a16="http://schemas.microsoft.com/office/drawing/2014/main" id="{092EFE9B-7332-4F8B-A18C-BCF1330E90E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3618" name="Text Box 192">
          <a:extLst>
            <a:ext uri="{FF2B5EF4-FFF2-40B4-BE49-F238E27FC236}">
              <a16:creationId xmlns:a16="http://schemas.microsoft.com/office/drawing/2014/main" id="{B8436D15-900D-4CCB-B816-AEAEF4ECBDD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3619" name="Text Box 192">
          <a:extLst>
            <a:ext uri="{FF2B5EF4-FFF2-40B4-BE49-F238E27FC236}">
              <a16:creationId xmlns:a16="http://schemas.microsoft.com/office/drawing/2014/main" id="{AC1DBBA4-8CAA-41F2-AC33-005A65C6033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166</xdr:row>
      <xdr:rowOff>0</xdr:rowOff>
    </xdr:from>
    <xdr:ext cx="10372" cy="228955"/>
    <xdr:sp macro="" textlink="">
      <xdr:nvSpPr>
        <xdr:cNvPr id="3620" name="Text Box 192">
          <a:extLst>
            <a:ext uri="{FF2B5EF4-FFF2-40B4-BE49-F238E27FC236}">
              <a16:creationId xmlns:a16="http://schemas.microsoft.com/office/drawing/2014/main" id="{B6988E46-86F5-4574-91EB-666EBA5C6BE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168</xdr:row>
      <xdr:rowOff>0</xdr:rowOff>
    </xdr:from>
    <xdr:ext cx="10372" cy="228955"/>
    <xdr:sp macro="" textlink="">
      <xdr:nvSpPr>
        <xdr:cNvPr id="3621" name="Text Box 192">
          <a:extLst>
            <a:ext uri="{FF2B5EF4-FFF2-40B4-BE49-F238E27FC236}">
              <a16:creationId xmlns:a16="http://schemas.microsoft.com/office/drawing/2014/main" id="{CA0634BC-44C7-4CBA-A486-3CFFFD0D2F6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3622" name="Text Box 192">
          <a:extLst>
            <a:ext uri="{FF2B5EF4-FFF2-40B4-BE49-F238E27FC236}">
              <a16:creationId xmlns:a16="http://schemas.microsoft.com/office/drawing/2014/main" id="{D174DA6E-0684-40AD-B8B1-1A5462978AD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168</xdr:row>
      <xdr:rowOff>0</xdr:rowOff>
    </xdr:from>
    <xdr:ext cx="10372" cy="228955"/>
    <xdr:sp macro="" textlink="">
      <xdr:nvSpPr>
        <xdr:cNvPr id="3623" name="Text Box 192">
          <a:extLst>
            <a:ext uri="{FF2B5EF4-FFF2-40B4-BE49-F238E27FC236}">
              <a16:creationId xmlns:a16="http://schemas.microsoft.com/office/drawing/2014/main" id="{244E1610-67DF-44CA-8DA5-DA461D9B257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3624" name="Text Box 192">
          <a:extLst>
            <a:ext uri="{FF2B5EF4-FFF2-40B4-BE49-F238E27FC236}">
              <a16:creationId xmlns:a16="http://schemas.microsoft.com/office/drawing/2014/main" id="{3816792B-41BE-4FCB-BC2D-B275AB77359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3625" name="Text Box 192">
          <a:extLst>
            <a:ext uri="{FF2B5EF4-FFF2-40B4-BE49-F238E27FC236}">
              <a16:creationId xmlns:a16="http://schemas.microsoft.com/office/drawing/2014/main" id="{4A9044BC-168A-4253-8CF6-BFB2FA0FFC6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3626" name="Text Box 192">
          <a:extLst>
            <a:ext uri="{FF2B5EF4-FFF2-40B4-BE49-F238E27FC236}">
              <a16:creationId xmlns:a16="http://schemas.microsoft.com/office/drawing/2014/main" id="{9E7F5F0D-EAF1-4A49-A608-1FC03F08EE9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3627" name="Text Box 192">
          <a:extLst>
            <a:ext uri="{FF2B5EF4-FFF2-40B4-BE49-F238E27FC236}">
              <a16:creationId xmlns:a16="http://schemas.microsoft.com/office/drawing/2014/main" id="{8D7C4078-8F8D-4142-80CD-64156DEC930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3628" name="Text Box 192">
          <a:extLst>
            <a:ext uri="{FF2B5EF4-FFF2-40B4-BE49-F238E27FC236}">
              <a16:creationId xmlns:a16="http://schemas.microsoft.com/office/drawing/2014/main" id="{24735A6F-B249-4777-BCAD-88EFC4A2F00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3629" name="Text Box 192">
          <a:extLst>
            <a:ext uri="{FF2B5EF4-FFF2-40B4-BE49-F238E27FC236}">
              <a16:creationId xmlns:a16="http://schemas.microsoft.com/office/drawing/2014/main" id="{A13AD444-FD2F-4C04-B8BD-D1517EC89F8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3630" name="Text Box 192">
          <a:extLst>
            <a:ext uri="{FF2B5EF4-FFF2-40B4-BE49-F238E27FC236}">
              <a16:creationId xmlns:a16="http://schemas.microsoft.com/office/drawing/2014/main" id="{81565304-54EF-4D99-AAC3-79EA0FB6535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3631" name="Text Box 192">
          <a:extLst>
            <a:ext uri="{FF2B5EF4-FFF2-40B4-BE49-F238E27FC236}">
              <a16:creationId xmlns:a16="http://schemas.microsoft.com/office/drawing/2014/main" id="{8EFABE23-9D80-4CC1-A0D4-431ACA57DAC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169</xdr:row>
      <xdr:rowOff>0</xdr:rowOff>
    </xdr:from>
    <xdr:ext cx="10372" cy="228955"/>
    <xdr:sp macro="" textlink="">
      <xdr:nvSpPr>
        <xdr:cNvPr id="3632" name="Text Box 192">
          <a:extLst>
            <a:ext uri="{FF2B5EF4-FFF2-40B4-BE49-F238E27FC236}">
              <a16:creationId xmlns:a16="http://schemas.microsoft.com/office/drawing/2014/main" id="{9EC645CE-2D3F-4B89-BC66-70F147C0EA8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3633" name="Text Box 192">
          <a:extLst>
            <a:ext uri="{FF2B5EF4-FFF2-40B4-BE49-F238E27FC236}">
              <a16:creationId xmlns:a16="http://schemas.microsoft.com/office/drawing/2014/main" id="{73FB0E61-CF0D-4C6D-8268-1973B64DECB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3634" name="Text Box 192">
          <a:extLst>
            <a:ext uri="{FF2B5EF4-FFF2-40B4-BE49-F238E27FC236}">
              <a16:creationId xmlns:a16="http://schemas.microsoft.com/office/drawing/2014/main" id="{2DFA9F1A-4259-483E-ADEB-46D81A20ACC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3635" name="Text Box 192">
          <a:extLst>
            <a:ext uri="{FF2B5EF4-FFF2-40B4-BE49-F238E27FC236}">
              <a16:creationId xmlns:a16="http://schemas.microsoft.com/office/drawing/2014/main" id="{A8DC5041-4096-44DC-84D5-413183E7BB8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3636" name="Text Box 192">
          <a:extLst>
            <a:ext uri="{FF2B5EF4-FFF2-40B4-BE49-F238E27FC236}">
              <a16:creationId xmlns:a16="http://schemas.microsoft.com/office/drawing/2014/main" id="{887EEDB9-75E0-4515-8F75-397ADBAD972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3637" name="Text Box 192">
          <a:extLst>
            <a:ext uri="{FF2B5EF4-FFF2-40B4-BE49-F238E27FC236}">
              <a16:creationId xmlns:a16="http://schemas.microsoft.com/office/drawing/2014/main" id="{1B83CE9D-1992-4AC8-8D6C-3FE5B2559D4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3638" name="Text Box 192">
          <a:extLst>
            <a:ext uri="{FF2B5EF4-FFF2-40B4-BE49-F238E27FC236}">
              <a16:creationId xmlns:a16="http://schemas.microsoft.com/office/drawing/2014/main" id="{BDE2FBAC-AB3F-4AC7-A688-155D92FBD92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3639" name="Text Box 192">
          <a:extLst>
            <a:ext uri="{FF2B5EF4-FFF2-40B4-BE49-F238E27FC236}">
              <a16:creationId xmlns:a16="http://schemas.microsoft.com/office/drawing/2014/main" id="{C607CEC6-10F2-4D17-8A27-FD1782AC9CE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3640" name="Text Box 192">
          <a:extLst>
            <a:ext uri="{FF2B5EF4-FFF2-40B4-BE49-F238E27FC236}">
              <a16:creationId xmlns:a16="http://schemas.microsoft.com/office/drawing/2014/main" id="{D6DF990A-290D-44B9-802C-B60B794ADC8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170</xdr:row>
      <xdr:rowOff>0</xdr:rowOff>
    </xdr:from>
    <xdr:ext cx="10372" cy="228955"/>
    <xdr:sp macro="" textlink="">
      <xdr:nvSpPr>
        <xdr:cNvPr id="3641" name="Text Box 192">
          <a:extLst>
            <a:ext uri="{FF2B5EF4-FFF2-40B4-BE49-F238E27FC236}">
              <a16:creationId xmlns:a16="http://schemas.microsoft.com/office/drawing/2014/main" id="{035D8385-45A3-47B3-9524-AB9FD50F62C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3642" name="Text Box 192">
          <a:extLst>
            <a:ext uri="{FF2B5EF4-FFF2-40B4-BE49-F238E27FC236}">
              <a16:creationId xmlns:a16="http://schemas.microsoft.com/office/drawing/2014/main" id="{E63343A3-F1B3-4284-AA5D-35FD351294A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3643" name="Text Box 192">
          <a:extLst>
            <a:ext uri="{FF2B5EF4-FFF2-40B4-BE49-F238E27FC236}">
              <a16:creationId xmlns:a16="http://schemas.microsoft.com/office/drawing/2014/main" id="{E8641A80-2D68-4A5A-B9B7-C0DEBFF11BF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3644" name="Text Box 192">
          <a:extLst>
            <a:ext uri="{FF2B5EF4-FFF2-40B4-BE49-F238E27FC236}">
              <a16:creationId xmlns:a16="http://schemas.microsoft.com/office/drawing/2014/main" id="{EE89BB27-29C0-4FDB-BA76-355AF02EB72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3645" name="Text Box 192">
          <a:extLst>
            <a:ext uri="{FF2B5EF4-FFF2-40B4-BE49-F238E27FC236}">
              <a16:creationId xmlns:a16="http://schemas.microsoft.com/office/drawing/2014/main" id="{69D31FA1-8770-4335-B52A-AB83A5423A8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3646" name="Text Box 192">
          <a:extLst>
            <a:ext uri="{FF2B5EF4-FFF2-40B4-BE49-F238E27FC236}">
              <a16:creationId xmlns:a16="http://schemas.microsoft.com/office/drawing/2014/main" id="{4737EB78-A565-4A23-8D46-2050C327BB8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3647" name="Text Box 192">
          <a:extLst>
            <a:ext uri="{FF2B5EF4-FFF2-40B4-BE49-F238E27FC236}">
              <a16:creationId xmlns:a16="http://schemas.microsoft.com/office/drawing/2014/main" id="{B5BACF05-F2B1-46DB-B9AC-DBCFC30F714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3648" name="Text Box 192">
          <a:extLst>
            <a:ext uri="{FF2B5EF4-FFF2-40B4-BE49-F238E27FC236}">
              <a16:creationId xmlns:a16="http://schemas.microsoft.com/office/drawing/2014/main" id="{76370EBF-E7DE-4822-8AC9-A4079D7C296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3649" name="Text Box 192">
          <a:extLst>
            <a:ext uri="{FF2B5EF4-FFF2-40B4-BE49-F238E27FC236}">
              <a16:creationId xmlns:a16="http://schemas.microsoft.com/office/drawing/2014/main" id="{A8A26858-7846-4A7B-8BD7-075F7F25CD7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171</xdr:row>
      <xdr:rowOff>0</xdr:rowOff>
    </xdr:from>
    <xdr:ext cx="10372" cy="228955"/>
    <xdr:sp macro="" textlink="">
      <xdr:nvSpPr>
        <xdr:cNvPr id="3650" name="Text Box 192">
          <a:extLst>
            <a:ext uri="{FF2B5EF4-FFF2-40B4-BE49-F238E27FC236}">
              <a16:creationId xmlns:a16="http://schemas.microsoft.com/office/drawing/2014/main" id="{06DAAA1A-21B0-4A25-8ED0-D56A4F31F65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3651" name="Text Box 192">
          <a:extLst>
            <a:ext uri="{FF2B5EF4-FFF2-40B4-BE49-F238E27FC236}">
              <a16:creationId xmlns:a16="http://schemas.microsoft.com/office/drawing/2014/main" id="{87B2216E-6E75-4517-AEB7-753B9C078D2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3652" name="Text Box 192">
          <a:extLst>
            <a:ext uri="{FF2B5EF4-FFF2-40B4-BE49-F238E27FC236}">
              <a16:creationId xmlns:a16="http://schemas.microsoft.com/office/drawing/2014/main" id="{7A5D79D3-5279-4D98-BE79-8161571B315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3653" name="Text Box 192">
          <a:extLst>
            <a:ext uri="{FF2B5EF4-FFF2-40B4-BE49-F238E27FC236}">
              <a16:creationId xmlns:a16="http://schemas.microsoft.com/office/drawing/2014/main" id="{A0B1422F-DDDA-4D03-AC8C-69952B8B261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3654" name="Text Box 192">
          <a:extLst>
            <a:ext uri="{FF2B5EF4-FFF2-40B4-BE49-F238E27FC236}">
              <a16:creationId xmlns:a16="http://schemas.microsoft.com/office/drawing/2014/main" id="{DEE4FD0B-4907-49B9-AA23-7F4817F207B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3655" name="Text Box 192">
          <a:extLst>
            <a:ext uri="{FF2B5EF4-FFF2-40B4-BE49-F238E27FC236}">
              <a16:creationId xmlns:a16="http://schemas.microsoft.com/office/drawing/2014/main" id="{2BD5D155-70F6-4B0F-9FEF-3C7B6E977C8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3656" name="Text Box 192">
          <a:extLst>
            <a:ext uri="{FF2B5EF4-FFF2-40B4-BE49-F238E27FC236}">
              <a16:creationId xmlns:a16="http://schemas.microsoft.com/office/drawing/2014/main" id="{7D2E3DA2-C01B-42C3-998C-018943CE7DF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3657" name="Text Box 192">
          <a:extLst>
            <a:ext uri="{FF2B5EF4-FFF2-40B4-BE49-F238E27FC236}">
              <a16:creationId xmlns:a16="http://schemas.microsoft.com/office/drawing/2014/main" id="{C15A3E49-9001-4FE4-8134-01B87997F19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3658" name="Text Box 192">
          <a:extLst>
            <a:ext uri="{FF2B5EF4-FFF2-40B4-BE49-F238E27FC236}">
              <a16:creationId xmlns:a16="http://schemas.microsoft.com/office/drawing/2014/main" id="{9E03DEAE-5437-4B4A-A603-3FCCDAB2BA7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172</xdr:row>
      <xdr:rowOff>0</xdr:rowOff>
    </xdr:from>
    <xdr:ext cx="10372" cy="228955"/>
    <xdr:sp macro="" textlink="">
      <xdr:nvSpPr>
        <xdr:cNvPr id="3659" name="Text Box 192">
          <a:extLst>
            <a:ext uri="{FF2B5EF4-FFF2-40B4-BE49-F238E27FC236}">
              <a16:creationId xmlns:a16="http://schemas.microsoft.com/office/drawing/2014/main" id="{BF03AF6B-7C53-46BB-9311-A71C7C818B0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3660" name="Text Box 192">
          <a:extLst>
            <a:ext uri="{FF2B5EF4-FFF2-40B4-BE49-F238E27FC236}">
              <a16:creationId xmlns:a16="http://schemas.microsoft.com/office/drawing/2014/main" id="{242AEFB7-5483-4184-B9FD-0E140760C08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3661" name="Text Box 192">
          <a:extLst>
            <a:ext uri="{FF2B5EF4-FFF2-40B4-BE49-F238E27FC236}">
              <a16:creationId xmlns:a16="http://schemas.microsoft.com/office/drawing/2014/main" id="{BA56EF59-EEA5-4853-92C5-C99F992C908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3662" name="Text Box 192">
          <a:extLst>
            <a:ext uri="{FF2B5EF4-FFF2-40B4-BE49-F238E27FC236}">
              <a16:creationId xmlns:a16="http://schemas.microsoft.com/office/drawing/2014/main" id="{93CBE240-C14D-4DAE-A99C-C53BEBB7E81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3663" name="Text Box 192">
          <a:extLst>
            <a:ext uri="{FF2B5EF4-FFF2-40B4-BE49-F238E27FC236}">
              <a16:creationId xmlns:a16="http://schemas.microsoft.com/office/drawing/2014/main" id="{554295D3-138A-49BA-B65A-7836FA94E04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3664" name="Text Box 192">
          <a:extLst>
            <a:ext uri="{FF2B5EF4-FFF2-40B4-BE49-F238E27FC236}">
              <a16:creationId xmlns:a16="http://schemas.microsoft.com/office/drawing/2014/main" id="{6A21B424-57B9-456E-90C0-9D123862E92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3665" name="Text Box 192">
          <a:extLst>
            <a:ext uri="{FF2B5EF4-FFF2-40B4-BE49-F238E27FC236}">
              <a16:creationId xmlns:a16="http://schemas.microsoft.com/office/drawing/2014/main" id="{E1FE40B3-F1E4-4E41-892F-AC5BD92F972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3666" name="Text Box 192">
          <a:extLst>
            <a:ext uri="{FF2B5EF4-FFF2-40B4-BE49-F238E27FC236}">
              <a16:creationId xmlns:a16="http://schemas.microsoft.com/office/drawing/2014/main" id="{0B96E4C6-03E6-43D6-8085-8917303B2AA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3667" name="Text Box 192">
          <a:extLst>
            <a:ext uri="{FF2B5EF4-FFF2-40B4-BE49-F238E27FC236}">
              <a16:creationId xmlns:a16="http://schemas.microsoft.com/office/drawing/2014/main" id="{739D5067-C535-481A-84A2-0FB7880CFFA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173</xdr:row>
      <xdr:rowOff>0</xdr:rowOff>
    </xdr:from>
    <xdr:ext cx="10372" cy="228955"/>
    <xdr:sp macro="" textlink="">
      <xdr:nvSpPr>
        <xdr:cNvPr id="3668" name="Text Box 192">
          <a:extLst>
            <a:ext uri="{FF2B5EF4-FFF2-40B4-BE49-F238E27FC236}">
              <a16:creationId xmlns:a16="http://schemas.microsoft.com/office/drawing/2014/main" id="{5AE41768-6178-40C6-A677-49D091660EA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3669" name="Text Box 192">
          <a:extLst>
            <a:ext uri="{FF2B5EF4-FFF2-40B4-BE49-F238E27FC236}">
              <a16:creationId xmlns:a16="http://schemas.microsoft.com/office/drawing/2014/main" id="{99C9B926-0E6C-43F2-AB15-7B692672A94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3670" name="Text Box 192">
          <a:extLst>
            <a:ext uri="{FF2B5EF4-FFF2-40B4-BE49-F238E27FC236}">
              <a16:creationId xmlns:a16="http://schemas.microsoft.com/office/drawing/2014/main" id="{FDD31EBC-BEC8-4CBE-9A16-20143D1F925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3671" name="Text Box 192">
          <a:extLst>
            <a:ext uri="{FF2B5EF4-FFF2-40B4-BE49-F238E27FC236}">
              <a16:creationId xmlns:a16="http://schemas.microsoft.com/office/drawing/2014/main" id="{A17F9116-6DA8-4B49-957A-F0ED1BD13F8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3672" name="Text Box 192">
          <a:extLst>
            <a:ext uri="{FF2B5EF4-FFF2-40B4-BE49-F238E27FC236}">
              <a16:creationId xmlns:a16="http://schemas.microsoft.com/office/drawing/2014/main" id="{89DBF3CC-10DE-42BE-AED2-21A0715C59A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3673" name="Text Box 192">
          <a:extLst>
            <a:ext uri="{FF2B5EF4-FFF2-40B4-BE49-F238E27FC236}">
              <a16:creationId xmlns:a16="http://schemas.microsoft.com/office/drawing/2014/main" id="{495B00E0-C0F1-496D-8A29-A564790E0DB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3674" name="Text Box 192">
          <a:extLst>
            <a:ext uri="{FF2B5EF4-FFF2-40B4-BE49-F238E27FC236}">
              <a16:creationId xmlns:a16="http://schemas.microsoft.com/office/drawing/2014/main" id="{D5EA2875-171E-48EB-A824-0A2464FA83E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3675" name="Text Box 192">
          <a:extLst>
            <a:ext uri="{FF2B5EF4-FFF2-40B4-BE49-F238E27FC236}">
              <a16:creationId xmlns:a16="http://schemas.microsoft.com/office/drawing/2014/main" id="{C59A9EFF-7833-4794-B816-9A932ACD769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3676" name="Text Box 192">
          <a:extLst>
            <a:ext uri="{FF2B5EF4-FFF2-40B4-BE49-F238E27FC236}">
              <a16:creationId xmlns:a16="http://schemas.microsoft.com/office/drawing/2014/main" id="{F2ACF573-43CF-4CCB-9292-B5C7C9C4AE5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174</xdr:row>
      <xdr:rowOff>0</xdr:rowOff>
    </xdr:from>
    <xdr:ext cx="10372" cy="228955"/>
    <xdr:sp macro="" textlink="">
      <xdr:nvSpPr>
        <xdr:cNvPr id="3677" name="Text Box 192">
          <a:extLst>
            <a:ext uri="{FF2B5EF4-FFF2-40B4-BE49-F238E27FC236}">
              <a16:creationId xmlns:a16="http://schemas.microsoft.com/office/drawing/2014/main" id="{6942CC7A-9E21-4F51-A483-87EEA964279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3678" name="Text Box 192">
          <a:extLst>
            <a:ext uri="{FF2B5EF4-FFF2-40B4-BE49-F238E27FC236}">
              <a16:creationId xmlns:a16="http://schemas.microsoft.com/office/drawing/2014/main" id="{194A0ECF-78B3-477E-B922-7F11CC07312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3679" name="Text Box 192">
          <a:extLst>
            <a:ext uri="{FF2B5EF4-FFF2-40B4-BE49-F238E27FC236}">
              <a16:creationId xmlns:a16="http://schemas.microsoft.com/office/drawing/2014/main" id="{6983DEE9-A498-44E6-A38A-7FE64623DAF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3680" name="Text Box 192">
          <a:extLst>
            <a:ext uri="{FF2B5EF4-FFF2-40B4-BE49-F238E27FC236}">
              <a16:creationId xmlns:a16="http://schemas.microsoft.com/office/drawing/2014/main" id="{20E6C068-C306-49CB-BD18-A8797364031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3681" name="Text Box 192">
          <a:extLst>
            <a:ext uri="{FF2B5EF4-FFF2-40B4-BE49-F238E27FC236}">
              <a16:creationId xmlns:a16="http://schemas.microsoft.com/office/drawing/2014/main" id="{E1B426A7-22A5-49E3-858C-EAFE3AE5450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3682" name="Text Box 192">
          <a:extLst>
            <a:ext uri="{FF2B5EF4-FFF2-40B4-BE49-F238E27FC236}">
              <a16:creationId xmlns:a16="http://schemas.microsoft.com/office/drawing/2014/main" id="{2D6CB47F-E997-4D34-ABFF-9E99D7C4F46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3683" name="Text Box 192">
          <a:extLst>
            <a:ext uri="{FF2B5EF4-FFF2-40B4-BE49-F238E27FC236}">
              <a16:creationId xmlns:a16="http://schemas.microsoft.com/office/drawing/2014/main" id="{31B5A680-D293-40BC-A5BF-C62D7BB147A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3684" name="Text Box 192">
          <a:extLst>
            <a:ext uri="{FF2B5EF4-FFF2-40B4-BE49-F238E27FC236}">
              <a16:creationId xmlns:a16="http://schemas.microsoft.com/office/drawing/2014/main" id="{4F6A3F84-E97C-495B-88A6-DB459E74119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3685" name="Text Box 192">
          <a:extLst>
            <a:ext uri="{FF2B5EF4-FFF2-40B4-BE49-F238E27FC236}">
              <a16:creationId xmlns:a16="http://schemas.microsoft.com/office/drawing/2014/main" id="{588368B4-DB00-4586-94A5-AA74B52D542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175</xdr:row>
      <xdr:rowOff>0</xdr:rowOff>
    </xdr:from>
    <xdr:ext cx="10372" cy="228955"/>
    <xdr:sp macro="" textlink="">
      <xdr:nvSpPr>
        <xdr:cNvPr id="3686" name="Text Box 192">
          <a:extLst>
            <a:ext uri="{FF2B5EF4-FFF2-40B4-BE49-F238E27FC236}">
              <a16:creationId xmlns:a16="http://schemas.microsoft.com/office/drawing/2014/main" id="{8A23CEBB-F0A9-43C6-BD0B-7BC86181392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3687" name="Text Box 192">
          <a:extLst>
            <a:ext uri="{FF2B5EF4-FFF2-40B4-BE49-F238E27FC236}">
              <a16:creationId xmlns:a16="http://schemas.microsoft.com/office/drawing/2014/main" id="{D43CCFD1-F159-4BB7-8360-B91B176504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3688" name="Text Box 192">
          <a:extLst>
            <a:ext uri="{FF2B5EF4-FFF2-40B4-BE49-F238E27FC236}">
              <a16:creationId xmlns:a16="http://schemas.microsoft.com/office/drawing/2014/main" id="{9C790D8E-0A59-4A44-AEE4-654E252304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3689" name="Text Box 192">
          <a:extLst>
            <a:ext uri="{FF2B5EF4-FFF2-40B4-BE49-F238E27FC236}">
              <a16:creationId xmlns:a16="http://schemas.microsoft.com/office/drawing/2014/main" id="{7B5B5861-3370-4009-AA55-3B4355ECF57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3690" name="Text Box 192">
          <a:extLst>
            <a:ext uri="{FF2B5EF4-FFF2-40B4-BE49-F238E27FC236}">
              <a16:creationId xmlns:a16="http://schemas.microsoft.com/office/drawing/2014/main" id="{BE7523A7-26C2-4AA4-9F9A-2C61374DA1D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3691" name="Text Box 192">
          <a:extLst>
            <a:ext uri="{FF2B5EF4-FFF2-40B4-BE49-F238E27FC236}">
              <a16:creationId xmlns:a16="http://schemas.microsoft.com/office/drawing/2014/main" id="{74C41622-762F-441B-AC58-9BA138229B5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3692" name="Text Box 192">
          <a:extLst>
            <a:ext uri="{FF2B5EF4-FFF2-40B4-BE49-F238E27FC236}">
              <a16:creationId xmlns:a16="http://schemas.microsoft.com/office/drawing/2014/main" id="{72DB6A72-DF4F-4F3F-8F92-4A9E9B2DB98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3693" name="Text Box 192">
          <a:extLst>
            <a:ext uri="{FF2B5EF4-FFF2-40B4-BE49-F238E27FC236}">
              <a16:creationId xmlns:a16="http://schemas.microsoft.com/office/drawing/2014/main" id="{43D9D8FA-76E6-4881-8DFE-924F44B7402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3694" name="Text Box 192">
          <a:extLst>
            <a:ext uri="{FF2B5EF4-FFF2-40B4-BE49-F238E27FC236}">
              <a16:creationId xmlns:a16="http://schemas.microsoft.com/office/drawing/2014/main" id="{8A740F60-080E-4983-8137-8355470B3B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176</xdr:row>
      <xdr:rowOff>0</xdr:rowOff>
    </xdr:from>
    <xdr:ext cx="10372" cy="228955"/>
    <xdr:sp macro="" textlink="">
      <xdr:nvSpPr>
        <xdr:cNvPr id="3695" name="Text Box 192">
          <a:extLst>
            <a:ext uri="{FF2B5EF4-FFF2-40B4-BE49-F238E27FC236}">
              <a16:creationId xmlns:a16="http://schemas.microsoft.com/office/drawing/2014/main" id="{9C68AD9D-2BBB-4E0E-82AF-D86B19D282F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3696" name="Text Box 192">
          <a:extLst>
            <a:ext uri="{FF2B5EF4-FFF2-40B4-BE49-F238E27FC236}">
              <a16:creationId xmlns:a16="http://schemas.microsoft.com/office/drawing/2014/main" id="{F38EA139-10CF-4376-BCD6-149A0486FF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3697" name="Text Box 192">
          <a:extLst>
            <a:ext uri="{FF2B5EF4-FFF2-40B4-BE49-F238E27FC236}">
              <a16:creationId xmlns:a16="http://schemas.microsoft.com/office/drawing/2014/main" id="{7E8612E2-AA9A-45EE-A738-3ECA36C7551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3698" name="Text Box 192">
          <a:extLst>
            <a:ext uri="{FF2B5EF4-FFF2-40B4-BE49-F238E27FC236}">
              <a16:creationId xmlns:a16="http://schemas.microsoft.com/office/drawing/2014/main" id="{D7967DFA-B008-4C57-85A0-1A920389625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3699" name="Text Box 192">
          <a:extLst>
            <a:ext uri="{FF2B5EF4-FFF2-40B4-BE49-F238E27FC236}">
              <a16:creationId xmlns:a16="http://schemas.microsoft.com/office/drawing/2014/main" id="{DBDC2726-7B86-490A-9206-AEB9C946D63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3700" name="Text Box 192">
          <a:extLst>
            <a:ext uri="{FF2B5EF4-FFF2-40B4-BE49-F238E27FC236}">
              <a16:creationId xmlns:a16="http://schemas.microsoft.com/office/drawing/2014/main" id="{35E142C5-ECDA-4637-B529-2057D32EDF9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3701" name="Text Box 192">
          <a:extLst>
            <a:ext uri="{FF2B5EF4-FFF2-40B4-BE49-F238E27FC236}">
              <a16:creationId xmlns:a16="http://schemas.microsoft.com/office/drawing/2014/main" id="{307BC16F-DE7B-4E07-AD68-CE6C2ADC51D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3702" name="Text Box 192">
          <a:extLst>
            <a:ext uri="{FF2B5EF4-FFF2-40B4-BE49-F238E27FC236}">
              <a16:creationId xmlns:a16="http://schemas.microsoft.com/office/drawing/2014/main" id="{2F70700C-10B3-451F-AA48-D0722AF0DA6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3703" name="Text Box 192">
          <a:extLst>
            <a:ext uri="{FF2B5EF4-FFF2-40B4-BE49-F238E27FC236}">
              <a16:creationId xmlns:a16="http://schemas.microsoft.com/office/drawing/2014/main" id="{A5533E28-10BC-4B45-95E8-F2FC214E7D8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177</xdr:row>
      <xdr:rowOff>0</xdr:rowOff>
    </xdr:from>
    <xdr:ext cx="10372" cy="228955"/>
    <xdr:sp macro="" textlink="">
      <xdr:nvSpPr>
        <xdr:cNvPr id="3704" name="Text Box 192">
          <a:extLst>
            <a:ext uri="{FF2B5EF4-FFF2-40B4-BE49-F238E27FC236}">
              <a16:creationId xmlns:a16="http://schemas.microsoft.com/office/drawing/2014/main" id="{2F0DD818-B09E-4910-B36F-AE6326DD33F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3705" name="Text Box 192">
          <a:extLst>
            <a:ext uri="{FF2B5EF4-FFF2-40B4-BE49-F238E27FC236}">
              <a16:creationId xmlns:a16="http://schemas.microsoft.com/office/drawing/2014/main" id="{CBB24DEC-1C72-42B7-841C-A600728D6E7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3706" name="Text Box 192">
          <a:extLst>
            <a:ext uri="{FF2B5EF4-FFF2-40B4-BE49-F238E27FC236}">
              <a16:creationId xmlns:a16="http://schemas.microsoft.com/office/drawing/2014/main" id="{832DEA7E-2B44-440A-AFBB-49F442B7FCC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3707" name="Text Box 192">
          <a:extLst>
            <a:ext uri="{FF2B5EF4-FFF2-40B4-BE49-F238E27FC236}">
              <a16:creationId xmlns:a16="http://schemas.microsoft.com/office/drawing/2014/main" id="{9443681C-DE77-448A-BA75-BD52B4DBFAA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3708" name="Text Box 192">
          <a:extLst>
            <a:ext uri="{FF2B5EF4-FFF2-40B4-BE49-F238E27FC236}">
              <a16:creationId xmlns:a16="http://schemas.microsoft.com/office/drawing/2014/main" id="{C3748261-91E4-4DD7-B9B6-921323D857A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3709" name="Text Box 192">
          <a:extLst>
            <a:ext uri="{FF2B5EF4-FFF2-40B4-BE49-F238E27FC236}">
              <a16:creationId xmlns:a16="http://schemas.microsoft.com/office/drawing/2014/main" id="{145860E6-26E6-467C-9C50-7C0BA9C6591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3710" name="Text Box 192">
          <a:extLst>
            <a:ext uri="{FF2B5EF4-FFF2-40B4-BE49-F238E27FC236}">
              <a16:creationId xmlns:a16="http://schemas.microsoft.com/office/drawing/2014/main" id="{8937ADBB-B839-4EB9-BDD1-3D2619D8800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3711" name="Text Box 192">
          <a:extLst>
            <a:ext uri="{FF2B5EF4-FFF2-40B4-BE49-F238E27FC236}">
              <a16:creationId xmlns:a16="http://schemas.microsoft.com/office/drawing/2014/main" id="{8C63B820-2A2C-4D06-9810-AF00410A99A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3712" name="Text Box 192">
          <a:extLst>
            <a:ext uri="{FF2B5EF4-FFF2-40B4-BE49-F238E27FC236}">
              <a16:creationId xmlns:a16="http://schemas.microsoft.com/office/drawing/2014/main" id="{8A3B493F-77DC-4668-BB17-42DBA158773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178</xdr:row>
      <xdr:rowOff>0</xdr:rowOff>
    </xdr:from>
    <xdr:ext cx="10372" cy="228955"/>
    <xdr:sp macro="" textlink="">
      <xdr:nvSpPr>
        <xdr:cNvPr id="3713" name="Text Box 192">
          <a:extLst>
            <a:ext uri="{FF2B5EF4-FFF2-40B4-BE49-F238E27FC236}">
              <a16:creationId xmlns:a16="http://schemas.microsoft.com/office/drawing/2014/main" id="{0E3AF78A-38C1-4FA9-BC07-5A2CA67A7ED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3714" name="Text Box 192">
          <a:extLst>
            <a:ext uri="{FF2B5EF4-FFF2-40B4-BE49-F238E27FC236}">
              <a16:creationId xmlns:a16="http://schemas.microsoft.com/office/drawing/2014/main" id="{5F1A47CC-349E-48A5-A486-969E3A90A1F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3715" name="Text Box 192">
          <a:extLst>
            <a:ext uri="{FF2B5EF4-FFF2-40B4-BE49-F238E27FC236}">
              <a16:creationId xmlns:a16="http://schemas.microsoft.com/office/drawing/2014/main" id="{E3E861F8-EE7F-4BE5-A701-3F775F583EF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3716" name="Text Box 192">
          <a:extLst>
            <a:ext uri="{FF2B5EF4-FFF2-40B4-BE49-F238E27FC236}">
              <a16:creationId xmlns:a16="http://schemas.microsoft.com/office/drawing/2014/main" id="{A1B71918-8A49-4615-8CBE-0C38D4668F1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3717" name="Text Box 192">
          <a:extLst>
            <a:ext uri="{FF2B5EF4-FFF2-40B4-BE49-F238E27FC236}">
              <a16:creationId xmlns:a16="http://schemas.microsoft.com/office/drawing/2014/main" id="{6FD792C5-63CF-4D2B-8051-1773F66AA5B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3718" name="Text Box 192">
          <a:extLst>
            <a:ext uri="{FF2B5EF4-FFF2-40B4-BE49-F238E27FC236}">
              <a16:creationId xmlns:a16="http://schemas.microsoft.com/office/drawing/2014/main" id="{F5EF91CA-D774-4C38-AFB1-34ED7601C2D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3719" name="Text Box 192">
          <a:extLst>
            <a:ext uri="{FF2B5EF4-FFF2-40B4-BE49-F238E27FC236}">
              <a16:creationId xmlns:a16="http://schemas.microsoft.com/office/drawing/2014/main" id="{9C45D245-F9F5-4642-9F11-835F99D204C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3720" name="Text Box 192">
          <a:extLst>
            <a:ext uri="{FF2B5EF4-FFF2-40B4-BE49-F238E27FC236}">
              <a16:creationId xmlns:a16="http://schemas.microsoft.com/office/drawing/2014/main" id="{2198B78A-D023-4A99-A38C-207E64FC443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3721" name="Text Box 192">
          <a:extLst>
            <a:ext uri="{FF2B5EF4-FFF2-40B4-BE49-F238E27FC236}">
              <a16:creationId xmlns:a16="http://schemas.microsoft.com/office/drawing/2014/main" id="{3D34108F-7DE8-431A-B052-D07B9CAECC3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179</xdr:row>
      <xdr:rowOff>0</xdr:rowOff>
    </xdr:from>
    <xdr:ext cx="10372" cy="228955"/>
    <xdr:sp macro="" textlink="">
      <xdr:nvSpPr>
        <xdr:cNvPr id="3722" name="Text Box 192">
          <a:extLst>
            <a:ext uri="{FF2B5EF4-FFF2-40B4-BE49-F238E27FC236}">
              <a16:creationId xmlns:a16="http://schemas.microsoft.com/office/drawing/2014/main" id="{3E2573B6-7851-4D28-99D9-A8D457B1B60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3723" name="Text Box 192">
          <a:extLst>
            <a:ext uri="{FF2B5EF4-FFF2-40B4-BE49-F238E27FC236}">
              <a16:creationId xmlns:a16="http://schemas.microsoft.com/office/drawing/2014/main" id="{815BFC7C-1ACD-45DB-A93E-BB574CB807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3724" name="Text Box 192">
          <a:extLst>
            <a:ext uri="{FF2B5EF4-FFF2-40B4-BE49-F238E27FC236}">
              <a16:creationId xmlns:a16="http://schemas.microsoft.com/office/drawing/2014/main" id="{1D410273-ECD3-4AA5-97D1-05D85BF4E00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3725" name="Text Box 192">
          <a:extLst>
            <a:ext uri="{FF2B5EF4-FFF2-40B4-BE49-F238E27FC236}">
              <a16:creationId xmlns:a16="http://schemas.microsoft.com/office/drawing/2014/main" id="{AAF0EFBF-B8DF-4638-9511-E528CD070C6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3726" name="Text Box 192">
          <a:extLst>
            <a:ext uri="{FF2B5EF4-FFF2-40B4-BE49-F238E27FC236}">
              <a16:creationId xmlns:a16="http://schemas.microsoft.com/office/drawing/2014/main" id="{D3769546-8715-4C05-8016-D32FF306877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3727" name="Text Box 192">
          <a:extLst>
            <a:ext uri="{FF2B5EF4-FFF2-40B4-BE49-F238E27FC236}">
              <a16:creationId xmlns:a16="http://schemas.microsoft.com/office/drawing/2014/main" id="{2CBE967E-67CF-49DB-8FC4-F6DF9BB6F51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180</xdr:row>
      <xdr:rowOff>0</xdr:rowOff>
    </xdr:from>
    <xdr:ext cx="10372" cy="228955"/>
    <xdr:sp macro="" textlink="">
      <xdr:nvSpPr>
        <xdr:cNvPr id="3728" name="Text Box 192">
          <a:extLst>
            <a:ext uri="{FF2B5EF4-FFF2-40B4-BE49-F238E27FC236}">
              <a16:creationId xmlns:a16="http://schemas.microsoft.com/office/drawing/2014/main" id="{9AAD35D3-9601-4F44-98CC-4BC506DD78F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182</xdr:row>
      <xdr:rowOff>0</xdr:rowOff>
    </xdr:from>
    <xdr:ext cx="10372" cy="228955"/>
    <xdr:sp macro="" textlink="">
      <xdr:nvSpPr>
        <xdr:cNvPr id="3729" name="Text Box 192">
          <a:extLst>
            <a:ext uri="{FF2B5EF4-FFF2-40B4-BE49-F238E27FC236}">
              <a16:creationId xmlns:a16="http://schemas.microsoft.com/office/drawing/2014/main" id="{8CCE540D-BD1F-409C-A6A4-27C2712B4BF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3730" name="Text Box 192">
          <a:extLst>
            <a:ext uri="{FF2B5EF4-FFF2-40B4-BE49-F238E27FC236}">
              <a16:creationId xmlns:a16="http://schemas.microsoft.com/office/drawing/2014/main" id="{2722713C-7EB6-4715-9F90-DAF4B68529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182</xdr:row>
      <xdr:rowOff>0</xdr:rowOff>
    </xdr:from>
    <xdr:ext cx="10372" cy="228955"/>
    <xdr:sp macro="" textlink="">
      <xdr:nvSpPr>
        <xdr:cNvPr id="3731" name="Text Box 192">
          <a:extLst>
            <a:ext uri="{FF2B5EF4-FFF2-40B4-BE49-F238E27FC236}">
              <a16:creationId xmlns:a16="http://schemas.microsoft.com/office/drawing/2014/main" id="{6909EAA6-425A-44C9-B253-3479BCC8CB8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3732" name="Text Box 192">
          <a:extLst>
            <a:ext uri="{FF2B5EF4-FFF2-40B4-BE49-F238E27FC236}">
              <a16:creationId xmlns:a16="http://schemas.microsoft.com/office/drawing/2014/main" id="{42131C29-4E99-4AAC-A3B9-8B75C743DCC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3733" name="Text Box 192">
          <a:extLst>
            <a:ext uri="{FF2B5EF4-FFF2-40B4-BE49-F238E27FC236}">
              <a16:creationId xmlns:a16="http://schemas.microsoft.com/office/drawing/2014/main" id="{785B1136-F506-452A-AE1E-215932F19D4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3734" name="Text Box 192">
          <a:extLst>
            <a:ext uri="{FF2B5EF4-FFF2-40B4-BE49-F238E27FC236}">
              <a16:creationId xmlns:a16="http://schemas.microsoft.com/office/drawing/2014/main" id="{3F849B8C-A670-41B8-B07B-21036E72172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3735" name="Text Box 192">
          <a:extLst>
            <a:ext uri="{FF2B5EF4-FFF2-40B4-BE49-F238E27FC236}">
              <a16:creationId xmlns:a16="http://schemas.microsoft.com/office/drawing/2014/main" id="{C93BCD7A-B830-4412-BC50-9B64AAD2933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3736" name="Text Box 192">
          <a:extLst>
            <a:ext uri="{FF2B5EF4-FFF2-40B4-BE49-F238E27FC236}">
              <a16:creationId xmlns:a16="http://schemas.microsoft.com/office/drawing/2014/main" id="{935F1743-A108-4515-9D4D-25AB35B04D7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3737" name="Text Box 192">
          <a:extLst>
            <a:ext uri="{FF2B5EF4-FFF2-40B4-BE49-F238E27FC236}">
              <a16:creationId xmlns:a16="http://schemas.microsoft.com/office/drawing/2014/main" id="{DE94A28E-C4E6-460F-8273-6DCA12E6B48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3738" name="Text Box 192">
          <a:extLst>
            <a:ext uri="{FF2B5EF4-FFF2-40B4-BE49-F238E27FC236}">
              <a16:creationId xmlns:a16="http://schemas.microsoft.com/office/drawing/2014/main" id="{09A8031E-63FA-4ED0-99B8-EA5F57D4D46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3739" name="Text Box 192">
          <a:extLst>
            <a:ext uri="{FF2B5EF4-FFF2-40B4-BE49-F238E27FC236}">
              <a16:creationId xmlns:a16="http://schemas.microsoft.com/office/drawing/2014/main" id="{E46C49DD-DFA5-4906-98D2-F93F689BD9C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183</xdr:row>
      <xdr:rowOff>0</xdr:rowOff>
    </xdr:from>
    <xdr:ext cx="10372" cy="228955"/>
    <xdr:sp macro="" textlink="">
      <xdr:nvSpPr>
        <xdr:cNvPr id="3740" name="Text Box 192">
          <a:extLst>
            <a:ext uri="{FF2B5EF4-FFF2-40B4-BE49-F238E27FC236}">
              <a16:creationId xmlns:a16="http://schemas.microsoft.com/office/drawing/2014/main" id="{ECDDFCB7-A408-40DE-A34D-BE81A099476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3741" name="Text Box 192">
          <a:extLst>
            <a:ext uri="{FF2B5EF4-FFF2-40B4-BE49-F238E27FC236}">
              <a16:creationId xmlns:a16="http://schemas.microsoft.com/office/drawing/2014/main" id="{00435E02-B814-4E53-B97E-77425D1E542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3742" name="Text Box 192">
          <a:extLst>
            <a:ext uri="{FF2B5EF4-FFF2-40B4-BE49-F238E27FC236}">
              <a16:creationId xmlns:a16="http://schemas.microsoft.com/office/drawing/2014/main" id="{73874917-B5F7-4D20-9791-E4BEE3F93D0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3743" name="Text Box 192">
          <a:extLst>
            <a:ext uri="{FF2B5EF4-FFF2-40B4-BE49-F238E27FC236}">
              <a16:creationId xmlns:a16="http://schemas.microsoft.com/office/drawing/2014/main" id="{5F07B9AA-104D-41E5-B326-258AB01ADAD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3744" name="Text Box 192">
          <a:extLst>
            <a:ext uri="{FF2B5EF4-FFF2-40B4-BE49-F238E27FC236}">
              <a16:creationId xmlns:a16="http://schemas.microsoft.com/office/drawing/2014/main" id="{4DD0F62A-B9BE-46CE-A0A2-235A42121B7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3745" name="Text Box 192">
          <a:extLst>
            <a:ext uri="{FF2B5EF4-FFF2-40B4-BE49-F238E27FC236}">
              <a16:creationId xmlns:a16="http://schemas.microsoft.com/office/drawing/2014/main" id="{BD554FD8-17FB-4F1C-B90F-9FA9948411A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3746" name="Text Box 192">
          <a:extLst>
            <a:ext uri="{FF2B5EF4-FFF2-40B4-BE49-F238E27FC236}">
              <a16:creationId xmlns:a16="http://schemas.microsoft.com/office/drawing/2014/main" id="{DCB4EA94-A168-4F76-B5EB-FB0F7BF6782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3747" name="Text Box 192">
          <a:extLst>
            <a:ext uri="{FF2B5EF4-FFF2-40B4-BE49-F238E27FC236}">
              <a16:creationId xmlns:a16="http://schemas.microsoft.com/office/drawing/2014/main" id="{9E954DFD-E492-4D33-AD6C-D693CD65DE7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3748" name="Text Box 192">
          <a:extLst>
            <a:ext uri="{FF2B5EF4-FFF2-40B4-BE49-F238E27FC236}">
              <a16:creationId xmlns:a16="http://schemas.microsoft.com/office/drawing/2014/main" id="{410F9A20-4879-417E-A825-2C40DE7B747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184</xdr:row>
      <xdr:rowOff>0</xdr:rowOff>
    </xdr:from>
    <xdr:ext cx="10372" cy="228955"/>
    <xdr:sp macro="" textlink="">
      <xdr:nvSpPr>
        <xdr:cNvPr id="3749" name="Text Box 192">
          <a:extLst>
            <a:ext uri="{FF2B5EF4-FFF2-40B4-BE49-F238E27FC236}">
              <a16:creationId xmlns:a16="http://schemas.microsoft.com/office/drawing/2014/main" id="{2318128B-2C3D-4C77-94BA-0778B4DD513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3750" name="Text Box 192">
          <a:extLst>
            <a:ext uri="{FF2B5EF4-FFF2-40B4-BE49-F238E27FC236}">
              <a16:creationId xmlns:a16="http://schemas.microsoft.com/office/drawing/2014/main" id="{C0A43728-253F-4DA3-B5AA-3690CF4FA3F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3751" name="Text Box 192">
          <a:extLst>
            <a:ext uri="{FF2B5EF4-FFF2-40B4-BE49-F238E27FC236}">
              <a16:creationId xmlns:a16="http://schemas.microsoft.com/office/drawing/2014/main" id="{8346F9A9-FFFE-41C8-9282-89AA34B4B06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3752" name="Text Box 192">
          <a:extLst>
            <a:ext uri="{FF2B5EF4-FFF2-40B4-BE49-F238E27FC236}">
              <a16:creationId xmlns:a16="http://schemas.microsoft.com/office/drawing/2014/main" id="{50199CD2-6955-4D53-B8EF-979A57BE921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3753" name="Text Box 192">
          <a:extLst>
            <a:ext uri="{FF2B5EF4-FFF2-40B4-BE49-F238E27FC236}">
              <a16:creationId xmlns:a16="http://schemas.microsoft.com/office/drawing/2014/main" id="{374D96E2-C81B-4ADD-827C-0325441FC51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3754" name="Text Box 192">
          <a:extLst>
            <a:ext uri="{FF2B5EF4-FFF2-40B4-BE49-F238E27FC236}">
              <a16:creationId xmlns:a16="http://schemas.microsoft.com/office/drawing/2014/main" id="{765BC29E-CFC2-4C30-A20B-8B3DDAEE4F4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3755" name="Text Box 192">
          <a:extLst>
            <a:ext uri="{FF2B5EF4-FFF2-40B4-BE49-F238E27FC236}">
              <a16:creationId xmlns:a16="http://schemas.microsoft.com/office/drawing/2014/main" id="{09054BBA-516F-4D87-923A-84FD5CE0E01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3756" name="Text Box 192">
          <a:extLst>
            <a:ext uri="{FF2B5EF4-FFF2-40B4-BE49-F238E27FC236}">
              <a16:creationId xmlns:a16="http://schemas.microsoft.com/office/drawing/2014/main" id="{24D978DC-9B1C-4FD3-AF35-366E131F15F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3757" name="Text Box 192">
          <a:extLst>
            <a:ext uri="{FF2B5EF4-FFF2-40B4-BE49-F238E27FC236}">
              <a16:creationId xmlns:a16="http://schemas.microsoft.com/office/drawing/2014/main" id="{624D5E25-9287-4B15-9086-924FF32A572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185</xdr:row>
      <xdr:rowOff>0</xdr:rowOff>
    </xdr:from>
    <xdr:ext cx="10372" cy="228955"/>
    <xdr:sp macro="" textlink="">
      <xdr:nvSpPr>
        <xdr:cNvPr id="3758" name="Text Box 192">
          <a:extLst>
            <a:ext uri="{FF2B5EF4-FFF2-40B4-BE49-F238E27FC236}">
              <a16:creationId xmlns:a16="http://schemas.microsoft.com/office/drawing/2014/main" id="{E7C8387E-D7D9-428A-85D0-323FAD61E0C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3759" name="Text Box 192">
          <a:extLst>
            <a:ext uri="{FF2B5EF4-FFF2-40B4-BE49-F238E27FC236}">
              <a16:creationId xmlns:a16="http://schemas.microsoft.com/office/drawing/2014/main" id="{D43463E3-FA59-422D-8643-FACA90A784C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3760" name="Text Box 192">
          <a:extLst>
            <a:ext uri="{FF2B5EF4-FFF2-40B4-BE49-F238E27FC236}">
              <a16:creationId xmlns:a16="http://schemas.microsoft.com/office/drawing/2014/main" id="{544A6D56-74C7-4A7C-B07D-0C9B4BEE44D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3761" name="Text Box 192">
          <a:extLst>
            <a:ext uri="{FF2B5EF4-FFF2-40B4-BE49-F238E27FC236}">
              <a16:creationId xmlns:a16="http://schemas.microsoft.com/office/drawing/2014/main" id="{382987A2-77DA-43CF-B512-F7745DECAF9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3762" name="Text Box 192">
          <a:extLst>
            <a:ext uri="{FF2B5EF4-FFF2-40B4-BE49-F238E27FC236}">
              <a16:creationId xmlns:a16="http://schemas.microsoft.com/office/drawing/2014/main" id="{43DAD831-1BDE-4D9E-A923-DAD55C6A902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3763" name="Text Box 192">
          <a:extLst>
            <a:ext uri="{FF2B5EF4-FFF2-40B4-BE49-F238E27FC236}">
              <a16:creationId xmlns:a16="http://schemas.microsoft.com/office/drawing/2014/main" id="{396B1072-20B0-4EA4-BB9A-87DB6B77342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3764" name="Text Box 192">
          <a:extLst>
            <a:ext uri="{FF2B5EF4-FFF2-40B4-BE49-F238E27FC236}">
              <a16:creationId xmlns:a16="http://schemas.microsoft.com/office/drawing/2014/main" id="{4DA4C046-28C7-43B4-B11B-37F2AC8CE9B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3765" name="Text Box 192">
          <a:extLst>
            <a:ext uri="{FF2B5EF4-FFF2-40B4-BE49-F238E27FC236}">
              <a16:creationId xmlns:a16="http://schemas.microsoft.com/office/drawing/2014/main" id="{03C08AA6-B320-4FE2-A480-83936D2B2CE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3766" name="Text Box 192">
          <a:extLst>
            <a:ext uri="{FF2B5EF4-FFF2-40B4-BE49-F238E27FC236}">
              <a16:creationId xmlns:a16="http://schemas.microsoft.com/office/drawing/2014/main" id="{8D94A748-0FB8-4D6B-B562-4B2FE5F21C4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186</xdr:row>
      <xdr:rowOff>0</xdr:rowOff>
    </xdr:from>
    <xdr:ext cx="10372" cy="228955"/>
    <xdr:sp macro="" textlink="">
      <xdr:nvSpPr>
        <xdr:cNvPr id="3767" name="Text Box 192">
          <a:extLst>
            <a:ext uri="{FF2B5EF4-FFF2-40B4-BE49-F238E27FC236}">
              <a16:creationId xmlns:a16="http://schemas.microsoft.com/office/drawing/2014/main" id="{557AE6CF-23D3-433C-9744-22297AC0DBD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3768" name="Text Box 192">
          <a:extLst>
            <a:ext uri="{FF2B5EF4-FFF2-40B4-BE49-F238E27FC236}">
              <a16:creationId xmlns:a16="http://schemas.microsoft.com/office/drawing/2014/main" id="{88EE06CA-3D7B-4F72-96CA-03ACEB8733F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3769" name="Text Box 192">
          <a:extLst>
            <a:ext uri="{FF2B5EF4-FFF2-40B4-BE49-F238E27FC236}">
              <a16:creationId xmlns:a16="http://schemas.microsoft.com/office/drawing/2014/main" id="{52487ACD-1D6B-494B-9938-A9E8D9569A5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3770" name="Text Box 192">
          <a:extLst>
            <a:ext uri="{FF2B5EF4-FFF2-40B4-BE49-F238E27FC236}">
              <a16:creationId xmlns:a16="http://schemas.microsoft.com/office/drawing/2014/main" id="{F3ABDB11-2B90-458D-AAF5-CEE467A0EEB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3771" name="Text Box 192">
          <a:extLst>
            <a:ext uri="{FF2B5EF4-FFF2-40B4-BE49-F238E27FC236}">
              <a16:creationId xmlns:a16="http://schemas.microsoft.com/office/drawing/2014/main" id="{A911EA2D-848A-4136-89E4-641EBDC9535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3772" name="Text Box 192">
          <a:extLst>
            <a:ext uri="{FF2B5EF4-FFF2-40B4-BE49-F238E27FC236}">
              <a16:creationId xmlns:a16="http://schemas.microsoft.com/office/drawing/2014/main" id="{BD16A1AD-A005-42EE-A44B-8EC29D6108F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3773" name="Text Box 192">
          <a:extLst>
            <a:ext uri="{FF2B5EF4-FFF2-40B4-BE49-F238E27FC236}">
              <a16:creationId xmlns:a16="http://schemas.microsoft.com/office/drawing/2014/main" id="{FE4DEF50-45E8-4CD5-B743-F0042C0E594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3774" name="Text Box 192">
          <a:extLst>
            <a:ext uri="{FF2B5EF4-FFF2-40B4-BE49-F238E27FC236}">
              <a16:creationId xmlns:a16="http://schemas.microsoft.com/office/drawing/2014/main" id="{ECB3DA4D-9AFF-452D-BC3A-0C7A6F225CF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3775" name="Text Box 192">
          <a:extLst>
            <a:ext uri="{FF2B5EF4-FFF2-40B4-BE49-F238E27FC236}">
              <a16:creationId xmlns:a16="http://schemas.microsoft.com/office/drawing/2014/main" id="{86467719-6759-4E85-BBF2-2F99EC6E43C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187</xdr:row>
      <xdr:rowOff>0</xdr:rowOff>
    </xdr:from>
    <xdr:ext cx="10372" cy="228955"/>
    <xdr:sp macro="" textlink="">
      <xdr:nvSpPr>
        <xdr:cNvPr id="3776" name="Text Box 192">
          <a:extLst>
            <a:ext uri="{FF2B5EF4-FFF2-40B4-BE49-F238E27FC236}">
              <a16:creationId xmlns:a16="http://schemas.microsoft.com/office/drawing/2014/main" id="{D8EFE5DB-3CE9-4F38-A1BA-15C8F76612F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3777" name="Text Box 192">
          <a:extLst>
            <a:ext uri="{FF2B5EF4-FFF2-40B4-BE49-F238E27FC236}">
              <a16:creationId xmlns:a16="http://schemas.microsoft.com/office/drawing/2014/main" id="{2FD18426-BE13-49B4-9589-901AC12E300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3778" name="Text Box 192">
          <a:extLst>
            <a:ext uri="{FF2B5EF4-FFF2-40B4-BE49-F238E27FC236}">
              <a16:creationId xmlns:a16="http://schemas.microsoft.com/office/drawing/2014/main" id="{CCD6EB17-4CE2-47F9-B7CE-F655C5D440B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3779" name="Text Box 192">
          <a:extLst>
            <a:ext uri="{FF2B5EF4-FFF2-40B4-BE49-F238E27FC236}">
              <a16:creationId xmlns:a16="http://schemas.microsoft.com/office/drawing/2014/main" id="{75EABE72-A29F-4222-AE04-6D80A382AD6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3780" name="Text Box 192">
          <a:extLst>
            <a:ext uri="{FF2B5EF4-FFF2-40B4-BE49-F238E27FC236}">
              <a16:creationId xmlns:a16="http://schemas.microsoft.com/office/drawing/2014/main" id="{9FB7CDA3-50B4-418D-B4FE-445AEAF0D68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3781" name="Text Box 192">
          <a:extLst>
            <a:ext uri="{FF2B5EF4-FFF2-40B4-BE49-F238E27FC236}">
              <a16:creationId xmlns:a16="http://schemas.microsoft.com/office/drawing/2014/main" id="{B36DE747-986A-4FDF-BA7F-C15BF2D177D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3782" name="Text Box 192">
          <a:extLst>
            <a:ext uri="{FF2B5EF4-FFF2-40B4-BE49-F238E27FC236}">
              <a16:creationId xmlns:a16="http://schemas.microsoft.com/office/drawing/2014/main" id="{E6B8594B-465A-45F5-BB20-C8A8E52E199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3783" name="Text Box 192">
          <a:extLst>
            <a:ext uri="{FF2B5EF4-FFF2-40B4-BE49-F238E27FC236}">
              <a16:creationId xmlns:a16="http://schemas.microsoft.com/office/drawing/2014/main" id="{F87697C4-EBBF-4046-877A-289819132CC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3784" name="Text Box 192">
          <a:extLst>
            <a:ext uri="{FF2B5EF4-FFF2-40B4-BE49-F238E27FC236}">
              <a16:creationId xmlns:a16="http://schemas.microsoft.com/office/drawing/2014/main" id="{2BB9DF16-A8D4-47A0-917A-62FB49C9D64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188</xdr:row>
      <xdr:rowOff>0</xdr:rowOff>
    </xdr:from>
    <xdr:ext cx="10372" cy="228955"/>
    <xdr:sp macro="" textlink="">
      <xdr:nvSpPr>
        <xdr:cNvPr id="3785" name="Text Box 192">
          <a:extLst>
            <a:ext uri="{FF2B5EF4-FFF2-40B4-BE49-F238E27FC236}">
              <a16:creationId xmlns:a16="http://schemas.microsoft.com/office/drawing/2014/main" id="{BD306138-A8DD-4662-A05A-32FEC95C50F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3786" name="Text Box 192">
          <a:extLst>
            <a:ext uri="{FF2B5EF4-FFF2-40B4-BE49-F238E27FC236}">
              <a16:creationId xmlns:a16="http://schemas.microsoft.com/office/drawing/2014/main" id="{B0AA94DD-2FDA-4BAC-8E97-930BD81CB67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3787" name="Text Box 192">
          <a:extLst>
            <a:ext uri="{FF2B5EF4-FFF2-40B4-BE49-F238E27FC236}">
              <a16:creationId xmlns:a16="http://schemas.microsoft.com/office/drawing/2014/main" id="{FE1F5B4F-090B-4871-A86A-E71A476147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3788" name="Text Box 192">
          <a:extLst>
            <a:ext uri="{FF2B5EF4-FFF2-40B4-BE49-F238E27FC236}">
              <a16:creationId xmlns:a16="http://schemas.microsoft.com/office/drawing/2014/main" id="{26259B5C-C626-4EC6-A4FA-96F6EEF966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3789" name="Text Box 192">
          <a:extLst>
            <a:ext uri="{FF2B5EF4-FFF2-40B4-BE49-F238E27FC236}">
              <a16:creationId xmlns:a16="http://schemas.microsoft.com/office/drawing/2014/main" id="{EB26B338-426B-4D9F-A0F9-368B1F2A6F2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3790" name="Text Box 192">
          <a:extLst>
            <a:ext uri="{FF2B5EF4-FFF2-40B4-BE49-F238E27FC236}">
              <a16:creationId xmlns:a16="http://schemas.microsoft.com/office/drawing/2014/main" id="{B2FD81CD-9E8E-422C-B1A9-03E317B35A2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3791" name="Text Box 192">
          <a:extLst>
            <a:ext uri="{FF2B5EF4-FFF2-40B4-BE49-F238E27FC236}">
              <a16:creationId xmlns:a16="http://schemas.microsoft.com/office/drawing/2014/main" id="{6FF7D348-5D94-48BF-808E-6BF872FEE65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3792" name="Text Box 192">
          <a:extLst>
            <a:ext uri="{FF2B5EF4-FFF2-40B4-BE49-F238E27FC236}">
              <a16:creationId xmlns:a16="http://schemas.microsoft.com/office/drawing/2014/main" id="{36F8980A-43B4-4ADB-B30C-B712B38184F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3793" name="Text Box 192">
          <a:extLst>
            <a:ext uri="{FF2B5EF4-FFF2-40B4-BE49-F238E27FC236}">
              <a16:creationId xmlns:a16="http://schemas.microsoft.com/office/drawing/2014/main" id="{63AFB743-C364-4DA9-8047-5DCCC2F78EA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189</xdr:row>
      <xdr:rowOff>0</xdr:rowOff>
    </xdr:from>
    <xdr:ext cx="10372" cy="228955"/>
    <xdr:sp macro="" textlink="">
      <xdr:nvSpPr>
        <xdr:cNvPr id="3794" name="Text Box 192">
          <a:extLst>
            <a:ext uri="{FF2B5EF4-FFF2-40B4-BE49-F238E27FC236}">
              <a16:creationId xmlns:a16="http://schemas.microsoft.com/office/drawing/2014/main" id="{F53959FF-EB8C-4F9F-A5BA-801A0E6CE40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3795" name="Text Box 192">
          <a:extLst>
            <a:ext uri="{FF2B5EF4-FFF2-40B4-BE49-F238E27FC236}">
              <a16:creationId xmlns:a16="http://schemas.microsoft.com/office/drawing/2014/main" id="{BFFFC192-4949-4F79-9DDA-92F4EB4C672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3796" name="Text Box 192">
          <a:extLst>
            <a:ext uri="{FF2B5EF4-FFF2-40B4-BE49-F238E27FC236}">
              <a16:creationId xmlns:a16="http://schemas.microsoft.com/office/drawing/2014/main" id="{C2A0BE89-A66C-433E-A89A-54667538039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3797" name="Text Box 192">
          <a:extLst>
            <a:ext uri="{FF2B5EF4-FFF2-40B4-BE49-F238E27FC236}">
              <a16:creationId xmlns:a16="http://schemas.microsoft.com/office/drawing/2014/main" id="{514D60A9-3235-4EC7-BC9A-5B5768C9BD5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3798" name="Text Box 192">
          <a:extLst>
            <a:ext uri="{FF2B5EF4-FFF2-40B4-BE49-F238E27FC236}">
              <a16:creationId xmlns:a16="http://schemas.microsoft.com/office/drawing/2014/main" id="{B526F457-BE6C-47FA-90B0-2E5705D9586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3799" name="Text Box 192">
          <a:extLst>
            <a:ext uri="{FF2B5EF4-FFF2-40B4-BE49-F238E27FC236}">
              <a16:creationId xmlns:a16="http://schemas.microsoft.com/office/drawing/2014/main" id="{188ACDB4-6C6E-4033-8BC8-BDF1863983D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3800" name="Text Box 192">
          <a:extLst>
            <a:ext uri="{FF2B5EF4-FFF2-40B4-BE49-F238E27FC236}">
              <a16:creationId xmlns:a16="http://schemas.microsoft.com/office/drawing/2014/main" id="{1D9D6CE1-7E4B-476E-9034-9835C874F88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3801" name="Text Box 192">
          <a:extLst>
            <a:ext uri="{FF2B5EF4-FFF2-40B4-BE49-F238E27FC236}">
              <a16:creationId xmlns:a16="http://schemas.microsoft.com/office/drawing/2014/main" id="{5472CB8E-ECD7-4564-9D39-359395FEE89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3802" name="Text Box 192">
          <a:extLst>
            <a:ext uri="{FF2B5EF4-FFF2-40B4-BE49-F238E27FC236}">
              <a16:creationId xmlns:a16="http://schemas.microsoft.com/office/drawing/2014/main" id="{0DD5CEBB-5465-4E13-8B2C-BF2E5686C0B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190</xdr:row>
      <xdr:rowOff>0</xdr:rowOff>
    </xdr:from>
    <xdr:ext cx="10372" cy="228955"/>
    <xdr:sp macro="" textlink="">
      <xdr:nvSpPr>
        <xdr:cNvPr id="3803" name="Text Box 192">
          <a:extLst>
            <a:ext uri="{FF2B5EF4-FFF2-40B4-BE49-F238E27FC236}">
              <a16:creationId xmlns:a16="http://schemas.microsoft.com/office/drawing/2014/main" id="{F3AA0D7D-E03C-4C01-B39D-2C1A87EE1C2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3804" name="Text Box 192">
          <a:extLst>
            <a:ext uri="{FF2B5EF4-FFF2-40B4-BE49-F238E27FC236}">
              <a16:creationId xmlns:a16="http://schemas.microsoft.com/office/drawing/2014/main" id="{75B744C2-D57F-417E-897A-14669583449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3805" name="Text Box 192">
          <a:extLst>
            <a:ext uri="{FF2B5EF4-FFF2-40B4-BE49-F238E27FC236}">
              <a16:creationId xmlns:a16="http://schemas.microsoft.com/office/drawing/2014/main" id="{4770B826-AC69-4B94-8DE4-CB6E834229B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3806" name="Text Box 192">
          <a:extLst>
            <a:ext uri="{FF2B5EF4-FFF2-40B4-BE49-F238E27FC236}">
              <a16:creationId xmlns:a16="http://schemas.microsoft.com/office/drawing/2014/main" id="{F2B29EF6-F53F-4AE9-A6E1-81BAFE34A11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3807" name="Text Box 192">
          <a:extLst>
            <a:ext uri="{FF2B5EF4-FFF2-40B4-BE49-F238E27FC236}">
              <a16:creationId xmlns:a16="http://schemas.microsoft.com/office/drawing/2014/main" id="{FBB183E7-FACB-468D-9179-28EC87278A7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3808" name="Text Box 192">
          <a:extLst>
            <a:ext uri="{FF2B5EF4-FFF2-40B4-BE49-F238E27FC236}">
              <a16:creationId xmlns:a16="http://schemas.microsoft.com/office/drawing/2014/main" id="{1FA15A27-7759-41C5-A47B-33002461578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3809" name="Text Box 192">
          <a:extLst>
            <a:ext uri="{FF2B5EF4-FFF2-40B4-BE49-F238E27FC236}">
              <a16:creationId xmlns:a16="http://schemas.microsoft.com/office/drawing/2014/main" id="{DCE186D2-D5E0-4BE9-A1AB-11DBF7353D9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3810" name="Text Box 192">
          <a:extLst>
            <a:ext uri="{FF2B5EF4-FFF2-40B4-BE49-F238E27FC236}">
              <a16:creationId xmlns:a16="http://schemas.microsoft.com/office/drawing/2014/main" id="{94DE782E-86EA-480E-A8F2-C3B59DADB76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3811" name="Text Box 192">
          <a:extLst>
            <a:ext uri="{FF2B5EF4-FFF2-40B4-BE49-F238E27FC236}">
              <a16:creationId xmlns:a16="http://schemas.microsoft.com/office/drawing/2014/main" id="{4503C7A0-CA7F-4DE4-A02A-4C0C7B41493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191</xdr:row>
      <xdr:rowOff>0</xdr:rowOff>
    </xdr:from>
    <xdr:ext cx="10372" cy="228955"/>
    <xdr:sp macro="" textlink="">
      <xdr:nvSpPr>
        <xdr:cNvPr id="3812" name="Text Box 192">
          <a:extLst>
            <a:ext uri="{FF2B5EF4-FFF2-40B4-BE49-F238E27FC236}">
              <a16:creationId xmlns:a16="http://schemas.microsoft.com/office/drawing/2014/main" id="{A0DB3688-D017-4896-BD98-AB0EC735888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3813" name="Text Box 192">
          <a:extLst>
            <a:ext uri="{FF2B5EF4-FFF2-40B4-BE49-F238E27FC236}">
              <a16:creationId xmlns:a16="http://schemas.microsoft.com/office/drawing/2014/main" id="{138D4EF3-9B61-4D75-A0AF-74B23859BB8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3814" name="Text Box 192">
          <a:extLst>
            <a:ext uri="{FF2B5EF4-FFF2-40B4-BE49-F238E27FC236}">
              <a16:creationId xmlns:a16="http://schemas.microsoft.com/office/drawing/2014/main" id="{104F5179-BB6C-4B68-A914-6B42C1A2B2B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3815" name="Text Box 192">
          <a:extLst>
            <a:ext uri="{FF2B5EF4-FFF2-40B4-BE49-F238E27FC236}">
              <a16:creationId xmlns:a16="http://schemas.microsoft.com/office/drawing/2014/main" id="{8513AEB3-12CB-4CA5-BC23-594C54274F1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3816" name="Text Box 192">
          <a:extLst>
            <a:ext uri="{FF2B5EF4-FFF2-40B4-BE49-F238E27FC236}">
              <a16:creationId xmlns:a16="http://schemas.microsoft.com/office/drawing/2014/main" id="{5DF8E69F-E931-403D-9A58-A07CAB524E5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3817" name="Text Box 192">
          <a:extLst>
            <a:ext uri="{FF2B5EF4-FFF2-40B4-BE49-F238E27FC236}">
              <a16:creationId xmlns:a16="http://schemas.microsoft.com/office/drawing/2014/main" id="{DDADCB4D-E811-4846-A4B8-40BD60CD0BB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192</xdr:row>
      <xdr:rowOff>0</xdr:rowOff>
    </xdr:from>
    <xdr:ext cx="10372" cy="228955"/>
    <xdr:sp macro="" textlink="">
      <xdr:nvSpPr>
        <xdr:cNvPr id="3818" name="Text Box 192">
          <a:extLst>
            <a:ext uri="{FF2B5EF4-FFF2-40B4-BE49-F238E27FC236}">
              <a16:creationId xmlns:a16="http://schemas.microsoft.com/office/drawing/2014/main" id="{B359E66C-B265-40A8-BED5-9C7B2154C86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194</xdr:row>
      <xdr:rowOff>0</xdr:rowOff>
    </xdr:from>
    <xdr:ext cx="10372" cy="228955"/>
    <xdr:sp macro="" textlink="">
      <xdr:nvSpPr>
        <xdr:cNvPr id="3819" name="Text Box 192">
          <a:extLst>
            <a:ext uri="{FF2B5EF4-FFF2-40B4-BE49-F238E27FC236}">
              <a16:creationId xmlns:a16="http://schemas.microsoft.com/office/drawing/2014/main" id="{764843CA-4616-4490-B2A2-24DA1D1B0CF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3820" name="Text Box 192">
          <a:extLst>
            <a:ext uri="{FF2B5EF4-FFF2-40B4-BE49-F238E27FC236}">
              <a16:creationId xmlns:a16="http://schemas.microsoft.com/office/drawing/2014/main" id="{B142A972-0545-4E26-9187-F1F7F58AA4A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194</xdr:row>
      <xdr:rowOff>0</xdr:rowOff>
    </xdr:from>
    <xdr:ext cx="10372" cy="228955"/>
    <xdr:sp macro="" textlink="">
      <xdr:nvSpPr>
        <xdr:cNvPr id="3821" name="Text Box 192">
          <a:extLst>
            <a:ext uri="{FF2B5EF4-FFF2-40B4-BE49-F238E27FC236}">
              <a16:creationId xmlns:a16="http://schemas.microsoft.com/office/drawing/2014/main" id="{AF755AE1-6B28-4533-BD47-46FCFFBD0D4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3822" name="Text Box 192">
          <a:extLst>
            <a:ext uri="{FF2B5EF4-FFF2-40B4-BE49-F238E27FC236}">
              <a16:creationId xmlns:a16="http://schemas.microsoft.com/office/drawing/2014/main" id="{EF0A4704-10B8-4077-A546-87A5773AE6B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3823" name="Text Box 192">
          <a:extLst>
            <a:ext uri="{FF2B5EF4-FFF2-40B4-BE49-F238E27FC236}">
              <a16:creationId xmlns:a16="http://schemas.microsoft.com/office/drawing/2014/main" id="{6286F872-E256-4C9E-8E75-40DBAC4B6D2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3824" name="Text Box 192">
          <a:extLst>
            <a:ext uri="{FF2B5EF4-FFF2-40B4-BE49-F238E27FC236}">
              <a16:creationId xmlns:a16="http://schemas.microsoft.com/office/drawing/2014/main" id="{C1C4BA39-D41B-43C2-A9F3-0FC252AF9B0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3825" name="Text Box 192">
          <a:extLst>
            <a:ext uri="{FF2B5EF4-FFF2-40B4-BE49-F238E27FC236}">
              <a16:creationId xmlns:a16="http://schemas.microsoft.com/office/drawing/2014/main" id="{35D1EFD8-F21B-40DA-93FE-4709F0E177C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3826" name="Text Box 192">
          <a:extLst>
            <a:ext uri="{FF2B5EF4-FFF2-40B4-BE49-F238E27FC236}">
              <a16:creationId xmlns:a16="http://schemas.microsoft.com/office/drawing/2014/main" id="{F1EE8439-C06E-4D9E-875A-E57E7914F46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3827" name="Text Box 192">
          <a:extLst>
            <a:ext uri="{FF2B5EF4-FFF2-40B4-BE49-F238E27FC236}">
              <a16:creationId xmlns:a16="http://schemas.microsoft.com/office/drawing/2014/main" id="{5DC9CD91-7E4A-40AA-A466-E3CBD05D3F4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3828" name="Text Box 192">
          <a:extLst>
            <a:ext uri="{FF2B5EF4-FFF2-40B4-BE49-F238E27FC236}">
              <a16:creationId xmlns:a16="http://schemas.microsoft.com/office/drawing/2014/main" id="{6085340F-A2E1-43D1-B126-32AE058E4E1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3829" name="Text Box 192">
          <a:extLst>
            <a:ext uri="{FF2B5EF4-FFF2-40B4-BE49-F238E27FC236}">
              <a16:creationId xmlns:a16="http://schemas.microsoft.com/office/drawing/2014/main" id="{E8F97264-38C7-49B9-B1DC-2BA27B7C708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195</xdr:row>
      <xdr:rowOff>0</xdr:rowOff>
    </xdr:from>
    <xdr:ext cx="10372" cy="228955"/>
    <xdr:sp macro="" textlink="">
      <xdr:nvSpPr>
        <xdr:cNvPr id="3830" name="Text Box 192">
          <a:extLst>
            <a:ext uri="{FF2B5EF4-FFF2-40B4-BE49-F238E27FC236}">
              <a16:creationId xmlns:a16="http://schemas.microsoft.com/office/drawing/2014/main" id="{58A4A9A6-B236-47DB-B8EA-800D01D39C3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3831" name="Text Box 192">
          <a:extLst>
            <a:ext uri="{FF2B5EF4-FFF2-40B4-BE49-F238E27FC236}">
              <a16:creationId xmlns:a16="http://schemas.microsoft.com/office/drawing/2014/main" id="{50ADB558-7563-46DB-98D6-0F1679D06D2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3832" name="Text Box 192">
          <a:extLst>
            <a:ext uri="{FF2B5EF4-FFF2-40B4-BE49-F238E27FC236}">
              <a16:creationId xmlns:a16="http://schemas.microsoft.com/office/drawing/2014/main" id="{4EEDF834-F8FA-477C-B168-1C25B504701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3833" name="Text Box 192">
          <a:extLst>
            <a:ext uri="{FF2B5EF4-FFF2-40B4-BE49-F238E27FC236}">
              <a16:creationId xmlns:a16="http://schemas.microsoft.com/office/drawing/2014/main" id="{DF712B16-AABB-44DB-8EBA-175F572764E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3834" name="Text Box 192">
          <a:extLst>
            <a:ext uri="{FF2B5EF4-FFF2-40B4-BE49-F238E27FC236}">
              <a16:creationId xmlns:a16="http://schemas.microsoft.com/office/drawing/2014/main" id="{3DA8A7AD-6DFA-4CB2-8AEE-A94B0CF4344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3835" name="Text Box 192">
          <a:extLst>
            <a:ext uri="{FF2B5EF4-FFF2-40B4-BE49-F238E27FC236}">
              <a16:creationId xmlns:a16="http://schemas.microsoft.com/office/drawing/2014/main" id="{2AC5ED7E-E116-4EB3-8C95-F13B427F016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196</xdr:row>
      <xdr:rowOff>0</xdr:rowOff>
    </xdr:from>
    <xdr:ext cx="10372" cy="228955"/>
    <xdr:sp macro="" textlink="">
      <xdr:nvSpPr>
        <xdr:cNvPr id="3836" name="Text Box 192">
          <a:extLst>
            <a:ext uri="{FF2B5EF4-FFF2-40B4-BE49-F238E27FC236}">
              <a16:creationId xmlns:a16="http://schemas.microsoft.com/office/drawing/2014/main" id="{5A2EC161-9AA4-4F95-BF18-CC1EA30B7B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198</xdr:row>
      <xdr:rowOff>0</xdr:rowOff>
    </xdr:from>
    <xdr:ext cx="10372" cy="228955"/>
    <xdr:sp macro="" textlink="">
      <xdr:nvSpPr>
        <xdr:cNvPr id="3837" name="Text Box 192">
          <a:extLst>
            <a:ext uri="{FF2B5EF4-FFF2-40B4-BE49-F238E27FC236}">
              <a16:creationId xmlns:a16="http://schemas.microsoft.com/office/drawing/2014/main" id="{542A7992-27F4-42C4-98BC-AFE35B0BEA4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3838" name="Text Box 192">
          <a:extLst>
            <a:ext uri="{FF2B5EF4-FFF2-40B4-BE49-F238E27FC236}">
              <a16:creationId xmlns:a16="http://schemas.microsoft.com/office/drawing/2014/main" id="{BC8BEEC0-1AA5-41B1-98BA-1C0F5A06AFB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198</xdr:row>
      <xdr:rowOff>0</xdr:rowOff>
    </xdr:from>
    <xdr:ext cx="10372" cy="228955"/>
    <xdr:sp macro="" textlink="">
      <xdr:nvSpPr>
        <xdr:cNvPr id="3839" name="Text Box 192">
          <a:extLst>
            <a:ext uri="{FF2B5EF4-FFF2-40B4-BE49-F238E27FC236}">
              <a16:creationId xmlns:a16="http://schemas.microsoft.com/office/drawing/2014/main" id="{B08995F8-2210-4085-AD5A-3FF03C0C8B1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3840" name="Text Box 192">
          <a:extLst>
            <a:ext uri="{FF2B5EF4-FFF2-40B4-BE49-F238E27FC236}">
              <a16:creationId xmlns:a16="http://schemas.microsoft.com/office/drawing/2014/main" id="{47464346-89EE-4B3B-8831-084B3EC1065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3841" name="Text Box 192">
          <a:extLst>
            <a:ext uri="{FF2B5EF4-FFF2-40B4-BE49-F238E27FC236}">
              <a16:creationId xmlns:a16="http://schemas.microsoft.com/office/drawing/2014/main" id="{6DE8F0C4-293F-4407-9AA0-56194657F9D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3842" name="Text Box 192">
          <a:extLst>
            <a:ext uri="{FF2B5EF4-FFF2-40B4-BE49-F238E27FC236}">
              <a16:creationId xmlns:a16="http://schemas.microsoft.com/office/drawing/2014/main" id="{93371E03-F72A-4FB6-B090-4B13D73D424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3843" name="Text Box 192">
          <a:extLst>
            <a:ext uri="{FF2B5EF4-FFF2-40B4-BE49-F238E27FC236}">
              <a16:creationId xmlns:a16="http://schemas.microsoft.com/office/drawing/2014/main" id="{96D8131A-D912-4F2A-A31B-F90C6C40E99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3844" name="Text Box 192">
          <a:extLst>
            <a:ext uri="{FF2B5EF4-FFF2-40B4-BE49-F238E27FC236}">
              <a16:creationId xmlns:a16="http://schemas.microsoft.com/office/drawing/2014/main" id="{8F5098AE-A07C-414D-A9ED-38AB61CB530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3845" name="Text Box 192">
          <a:extLst>
            <a:ext uri="{FF2B5EF4-FFF2-40B4-BE49-F238E27FC236}">
              <a16:creationId xmlns:a16="http://schemas.microsoft.com/office/drawing/2014/main" id="{A5275F72-48BF-4F50-921A-BB8FA452AB2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3846" name="Text Box 192">
          <a:extLst>
            <a:ext uri="{FF2B5EF4-FFF2-40B4-BE49-F238E27FC236}">
              <a16:creationId xmlns:a16="http://schemas.microsoft.com/office/drawing/2014/main" id="{3AB2CBE0-C611-497A-BA10-F58F55A9167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3847" name="Text Box 192">
          <a:extLst>
            <a:ext uri="{FF2B5EF4-FFF2-40B4-BE49-F238E27FC236}">
              <a16:creationId xmlns:a16="http://schemas.microsoft.com/office/drawing/2014/main" id="{D8532AD8-06C3-4F52-A3BD-D4048C6D1C4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199</xdr:row>
      <xdr:rowOff>0</xdr:rowOff>
    </xdr:from>
    <xdr:ext cx="10372" cy="228955"/>
    <xdr:sp macro="" textlink="">
      <xdr:nvSpPr>
        <xdr:cNvPr id="3848" name="Text Box 192">
          <a:extLst>
            <a:ext uri="{FF2B5EF4-FFF2-40B4-BE49-F238E27FC236}">
              <a16:creationId xmlns:a16="http://schemas.microsoft.com/office/drawing/2014/main" id="{2FFE8330-F055-44EC-91EE-7B2E8964E3C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3849" name="Text Box 192">
          <a:extLst>
            <a:ext uri="{FF2B5EF4-FFF2-40B4-BE49-F238E27FC236}">
              <a16:creationId xmlns:a16="http://schemas.microsoft.com/office/drawing/2014/main" id="{367456A1-CE6A-4452-A2CD-AB2957BB742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3850" name="Text Box 192">
          <a:extLst>
            <a:ext uri="{FF2B5EF4-FFF2-40B4-BE49-F238E27FC236}">
              <a16:creationId xmlns:a16="http://schemas.microsoft.com/office/drawing/2014/main" id="{35F9F3A1-7191-4C28-9DD7-A72B3B672FB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3851" name="Text Box 192">
          <a:extLst>
            <a:ext uri="{FF2B5EF4-FFF2-40B4-BE49-F238E27FC236}">
              <a16:creationId xmlns:a16="http://schemas.microsoft.com/office/drawing/2014/main" id="{3FA60A4C-9CA9-4F59-BDEA-631F438CE1B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3852" name="Text Box 192">
          <a:extLst>
            <a:ext uri="{FF2B5EF4-FFF2-40B4-BE49-F238E27FC236}">
              <a16:creationId xmlns:a16="http://schemas.microsoft.com/office/drawing/2014/main" id="{09E24644-BE9F-437A-AA1A-844433F8A50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3853" name="Text Box 192">
          <a:extLst>
            <a:ext uri="{FF2B5EF4-FFF2-40B4-BE49-F238E27FC236}">
              <a16:creationId xmlns:a16="http://schemas.microsoft.com/office/drawing/2014/main" id="{2F5D9AA0-912F-4359-B82B-ACB37404DA8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3854" name="Text Box 192">
          <a:extLst>
            <a:ext uri="{FF2B5EF4-FFF2-40B4-BE49-F238E27FC236}">
              <a16:creationId xmlns:a16="http://schemas.microsoft.com/office/drawing/2014/main" id="{51338B2D-79B7-4696-8DC9-1979C356281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3855" name="Text Box 192">
          <a:extLst>
            <a:ext uri="{FF2B5EF4-FFF2-40B4-BE49-F238E27FC236}">
              <a16:creationId xmlns:a16="http://schemas.microsoft.com/office/drawing/2014/main" id="{DCE96799-93F0-460D-9E92-C8F4C261678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3856" name="Text Box 192">
          <a:extLst>
            <a:ext uri="{FF2B5EF4-FFF2-40B4-BE49-F238E27FC236}">
              <a16:creationId xmlns:a16="http://schemas.microsoft.com/office/drawing/2014/main" id="{F5F88ED6-6833-4261-8140-4A1ED80B38F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200</xdr:row>
      <xdr:rowOff>0</xdr:rowOff>
    </xdr:from>
    <xdr:ext cx="10372" cy="228955"/>
    <xdr:sp macro="" textlink="">
      <xdr:nvSpPr>
        <xdr:cNvPr id="3857" name="Text Box 192">
          <a:extLst>
            <a:ext uri="{FF2B5EF4-FFF2-40B4-BE49-F238E27FC236}">
              <a16:creationId xmlns:a16="http://schemas.microsoft.com/office/drawing/2014/main" id="{68D6D07B-7086-4D51-A4B3-2ABD0373D8D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3858" name="Text Box 192">
          <a:extLst>
            <a:ext uri="{FF2B5EF4-FFF2-40B4-BE49-F238E27FC236}">
              <a16:creationId xmlns:a16="http://schemas.microsoft.com/office/drawing/2014/main" id="{EE6AA169-EAA9-4E07-9464-BC899284132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3859" name="Text Box 192">
          <a:extLst>
            <a:ext uri="{FF2B5EF4-FFF2-40B4-BE49-F238E27FC236}">
              <a16:creationId xmlns:a16="http://schemas.microsoft.com/office/drawing/2014/main" id="{857C2E07-2888-4BE0-B38D-D6502D2020B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3860" name="Text Box 192">
          <a:extLst>
            <a:ext uri="{FF2B5EF4-FFF2-40B4-BE49-F238E27FC236}">
              <a16:creationId xmlns:a16="http://schemas.microsoft.com/office/drawing/2014/main" id="{E372E897-5FAA-41BE-9109-117ABAEE3AA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3861" name="Text Box 192">
          <a:extLst>
            <a:ext uri="{FF2B5EF4-FFF2-40B4-BE49-F238E27FC236}">
              <a16:creationId xmlns:a16="http://schemas.microsoft.com/office/drawing/2014/main" id="{3D54FDB5-9401-4230-810C-F62468B2D14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3862" name="Text Box 192">
          <a:extLst>
            <a:ext uri="{FF2B5EF4-FFF2-40B4-BE49-F238E27FC236}">
              <a16:creationId xmlns:a16="http://schemas.microsoft.com/office/drawing/2014/main" id="{577BF4FD-0958-4372-A076-4AF17814096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3863" name="Text Box 192">
          <a:extLst>
            <a:ext uri="{FF2B5EF4-FFF2-40B4-BE49-F238E27FC236}">
              <a16:creationId xmlns:a16="http://schemas.microsoft.com/office/drawing/2014/main" id="{264734E6-935F-4E73-8E1C-3EB3F4F8CE5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3864" name="Text Box 192">
          <a:extLst>
            <a:ext uri="{FF2B5EF4-FFF2-40B4-BE49-F238E27FC236}">
              <a16:creationId xmlns:a16="http://schemas.microsoft.com/office/drawing/2014/main" id="{D40A9F59-D2F4-454D-ADF3-F4D9E0490CB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3865" name="Text Box 192">
          <a:extLst>
            <a:ext uri="{FF2B5EF4-FFF2-40B4-BE49-F238E27FC236}">
              <a16:creationId xmlns:a16="http://schemas.microsoft.com/office/drawing/2014/main" id="{A9BEB7FE-87EE-4194-A0C3-A7D4746E4EE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201</xdr:row>
      <xdr:rowOff>0</xdr:rowOff>
    </xdr:from>
    <xdr:ext cx="10372" cy="228955"/>
    <xdr:sp macro="" textlink="">
      <xdr:nvSpPr>
        <xdr:cNvPr id="3866" name="Text Box 192">
          <a:extLst>
            <a:ext uri="{FF2B5EF4-FFF2-40B4-BE49-F238E27FC236}">
              <a16:creationId xmlns:a16="http://schemas.microsoft.com/office/drawing/2014/main" id="{F07C5F86-E78B-4871-8814-FE343B33DFE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3867" name="Text Box 192">
          <a:extLst>
            <a:ext uri="{FF2B5EF4-FFF2-40B4-BE49-F238E27FC236}">
              <a16:creationId xmlns:a16="http://schemas.microsoft.com/office/drawing/2014/main" id="{FBB585C3-C62D-4473-9C48-5F19D0AFA81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3868" name="Text Box 192">
          <a:extLst>
            <a:ext uri="{FF2B5EF4-FFF2-40B4-BE49-F238E27FC236}">
              <a16:creationId xmlns:a16="http://schemas.microsoft.com/office/drawing/2014/main" id="{9C5D2701-1E45-427D-AC14-C5A88431CFF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3869" name="Text Box 192">
          <a:extLst>
            <a:ext uri="{FF2B5EF4-FFF2-40B4-BE49-F238E27FC236}">
              <a16:creationId xmlns:a16="http://schemas.microsoft.com/office/drawing/2014/main" id="{42EC0AED-6B79-46A0-A50A-C4BC47AE19F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3870" name="Text Box 192">
          <a:extLst>
            <a:ext uri="{FF2B5EF4-FFF2-40B4-BE49-F238E27FC236}">
              <a16:creationId xmlns:a16="http://schemas.microsoft.com/office/drawing/2014/main" id="{47F23B43-E4CF-40D5-970C-899D3440B72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3871" name="Text Box 192">
          <a:extLst>
            <a:ext uri="{FF2B5EF4-FFF2-40B4-BE49-F238E27FC236}">
              <a16:creationId xmlns:a16="http://schemas.microsoft.com/office/drawing/2014/main" id="{3E933D62-C569-46C0-AF35-1F0B31DC6FA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3872" name="Text Box 192">
          <a:extLst>
            <a:ext uri="{FF2B5EF4-FFF2-40B4-BE49-F238E27FC236}">
              <a16:creationId xmlns:a16="http://schemas.microsoft.com/office/drawing/2014/main" id="{5C722064-19C4-4714-8062-F74A17F1F60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3873" name="Text Box 192">
          <a:extLst>
            <a:ext uri="{FF2B5EF4-FFF2-40B4-BE49-F238E27FC236}">
              <a16:creationId xmlns:a16="http://schemas.microsoft.com/office/drawing/2014/main" id="{CEAF7E3D-227C-4935-B297-C2B38690785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3874" name="Text Box 192">
          <a:extLst>
            <a:ext uri="{FF2B5EF4-FFF2-40B4-BE49-F238E27FC236}">
              <a16:creationId xmlns:a16="http://schemas.microsoft.com/office/drawing/2014/main" id="{96A571E3-46E2-4E36-B6B2-22BFA4326FE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202</xdr:row>
      <xdr:rowOff>0</xdr:rowOff>
    </xdr:from>
    <xdr:ext cx="10372" cy="228955"/>
    <xdr:sp macro="" textlink="">
      <xdr:nvSpPr>
        <xdr:cNvPr id="3875" name="Text Box 192">
          <a:extLst>
            <a:ext uri="{FF2B5EF4-FFF2-40B4-BE49-F238E27FC236}">
              <a16:creationId xmlns:a16="http://schemas.microsoft.com/office/drawing/2014/main" id="{4BF724C3-88B4-4CB4-9DC1-8714E9EEDEB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3876" name="Text Box 192">
          <a:extLst>
            <a:ext uri="{FF2B5EF4-FFF2-40B4-BE49-F238E27FC236}">
              <a16:creationId xmlns:a16="http://schemas.microsoft.com/office/drawing/2014/main" id="{0A69C637-BA44-4009-B8DE-36E3A0276BB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3877" name="Text Box 192">
          <a:extLst>
            <a:ext uri="{FF2B5EF4-FFF2-40B4-BE49-F238E27FC236}">
              <a16:creationId xmlns:a16="http://schemas.microsoft.com/office/drawing/2014/main" id="{FC0364D2-37DC-480F-9F98-3EBD211E078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3878" name="Text Box 192">
          <a:extLst>
            <a:ext uri="{FF2B5EF4-FFF2-40B4-BE49-F238E27FC236}">
              <a16:creationId xmlns:a16="http://schemas.microsoft.com/office/drawing/2014/main" id="{878D8581-EE20-4B6F-A112-826684AC33C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3879" name="Text Box 192">
          <a:extLst>
            <a:ext uri="{FF2B5EF4-FFF2-40B4-BE49-F238E27FC236}">
              <a16:creationId xmlns:a16="http://schemas.microsoft.com/office/drawing/2014/main" id="{729B7471-E984-4E64-8FE0-1770F260A25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3880" name="Text Box 192">
          <a:extLst>
            <a:ext uri="{FF2B5EF4-FFF2-40B4-BE49-F238E27FC236}">
              <a16:creationId xmlns:a16="http://schemas.microsoft.com/office/drawing/2014/main" id="{0FCD4C06-2C73-436D-9BD1-29DF8681249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3881" name="Text Box 192">
          <a:extLst>
            <a:ext uri="{FF2B5EF4-FFF2-40B4-BE49-F238E27FC236}">
              <a16:creationId xmlns:a16="http://schemas.microsoft.com/office/drawing/2014/main" id="{AA6C3A4E-3D4A-4585-BED5-E3F2C7FCD2D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3882" name="Text Box 192">
          <a:extLst>
            <a:ext uri="{FF2B5EF4-FFF2-40B4-BE49-F238E27FC236}">
              <a16:creationId xmlns:a16="http://schemas.microsoft.com/office/drawing/2014/main" id="{9940077D-BDC6-4448-9782-DAD749A54A3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3883" name="Text Box 192">
          <a:extLst>
            <a:ext uri="{FF2B5EF4-FFF2-40B4-BE49-F238E27FC236}">
              <a16:creationId xmlns:a16="http://schemas.microsoft.com/office/drawing/2014/main" id="{7EFEE29D-F80C-4D19-8FD8-14D07FFAEE3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203</xdr:row>
      <xdr:rowOff>0</xdr:rowOff>
    </xdr:from>
    <xdr:ext cx="10372" cy="228955"/>
    <xdr:sp macro="" textlink="">
      <xdr:nvSpPr>
        <xdr:cNvPr id="3884" name="Text Box 192">
          <a:extLst>
            <a:ext uri="{FF2B5EF4-FFF2-40B4-BE49-F238E27FC236}">
              <a16:creationId xmlns:a16="http://schemas.microsoft.com/office/drawing/2014/main" id="{B3032733-CF97-4DD2-8621-03377DA12F9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3885" name="Text Box 192">
          <a:extLst>
            <a:ext uri="{FF2B5EF4-FFF2-40B4-BE49-F238E27FC236}">
              <a16:creationId xmlns:a16="http://schemas.microsoft.com/office/drawing/2014/main" id="{03CF7573-8977-4880-93BB-043917F20B7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3886" name="Text Box 192">
          <a:extLst>
            <a:ext uri="{FF2B5EF4-FFF2-40B4-BE49-F238E27FC236}">
              <a16:creationId xmlns:a16="http://schemas.microsoft.com/office/drawing/2014/main" id="{B367A745-4145-4923-8DD0-26584A0136C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3887" name="Text Box 192">
          <a:extLst>
            <a:ext uri="{FF2B5EF4-FFF2-40B4-BE49-F238E27FC236}">
              <a16:creationId xmlns:a16="http://schemas.microsoft.com/office/drawing/2014/main" id="{F79F5F3C-8DCD-43E1-8556-50F6DB09D62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3888" name="Text Box 192">
          <a:extLst>
            <a:ext uri="{FF2B5EF4-FFF2-40B4-BE49-F238E27FC236}">
              <a16:creationId xmlns:a16="http://schemas.microsoft.com/office/drawing/2014/main" id="{33BEAF72-697B-4167-847B-83AB40AD91E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3889" name="Text Box 192">
          <a:extLst>
            <a:ext uri="{FF2B5EF4-FFF2-40B4-BE49-F238E27FC236}">
              <a16:creationId xmlns:a16="http://schemas.microsoft.com/office/drawing/2014/main" id="{FA85D15C-9895-48CA-BAAC-FD6CA2A13F1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3890" name="Text Box 192">
          <a:extLst>
            <a:ext uri="{FF2B5EF4-FFF2-40B4-BE49-F238E27FC236}">
              <a16:creationId xmlns:a16="http://schemas.microsoft.com/office/drawing/2014/main" id="{3B73C217-01DE-436C-B87C-2058AC6F5A6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3891" name="Text Box 192">
          <a:extLst>
            <a:ext uri="{FF2B5EF4-FFF2-40B4-BE49-F238E27FC236}">
              <a16:creationId xmlns:a16="http://schemas.microsoft.com/office/drawing/2014/main" id="{0427B4CA-758B-4D12-A0D7-495D35658B2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3892" name="Text Box 192">
          <a:extLst>
            <a:ext uri="{FF2B5EF4-FFF2-40B4-BE49-F238E27FC236}">
              <a16:creationId xmlns:a16="http://schemas.microsoft.com/office/drawing/2014/main" id="{62EBE08F-5514-45C9-AA97-5FDC9603DE9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204</xdr:row>
      <xdr:rowOff>0</xdr:rowOff>
    </xdr:from>
    <xdr:ext cx="10372" cy="228955"/>
    <xdr:sp macro="" textlink="">
      <xdr:nvSpPr>
        <xdr:cNvPr id="3893" name="Text Box 192">
          <a:extLst>
            <a:ext uri="{FF2B5EF4-FFF2-40B4-BE49-F238E27FC236}">
              <a16:creationId xmlns:a16="http://schemas.microsoft.com/office/drawing/2014/main" id="{4F69743B-6198-4ECF-AB9D-64A6274FF7E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3894" name="Text Box 192">
          <a:extLst>
            <a:ext uri="{FF2B5EF4-FFF2-40B4-BE49-F238E27FC236}">
              <a16:creationId xmlns:a16="http://schemas.microsoft.com/office/drawing/2014/main" id="{EA053984-C51A-4596-A86B-1A71CF316BA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3895" name="Text Box 192">
          <a:extLst>
            <a:ext uri="{FF2B5EF4-FFF2-40B4-BE49-F238E27FC236}">
              <a16:creationId xmlns:a16="http://schemas.microsoft.com/office/drawing/2014/main" id="{5C3D58E4-2B74-4D8F-8774-DB1FA0EF74D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3896" name="Text Box 192">
          <a:extLst>
            <a:ext uri="{FF2B5EF4-FFF2-40B4-BE49-F238E27FC236}">
              <a16:creationId xmlns:a16="http://schemas.microsoft.com/office/drawing/2014/main" id="{86916C64-81F1-4277-9461-901A18187AE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3897" name="Text Box 192">
          <a:extLst>
            <a:ext uri="{FF2B5EF4-FFF2-40B4-BE49-F238E27FC236}">
              <a16:creationId xmlns:a16="http://schemas.microsoft.com/office/drawing/2014/main" id="{BB7BEBAF-37D0-4B1C-B2C0-FCE8B2421B1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3898" name="Text Box 192">
          <a:extLst>
            <a:ext uri="{FF2B5EF4-FFF2-40B4-BE49-F238E27FC236}">
              <a16:creationId xmlns:a16="http://schemas.microsoft.com/office/drawing/2014/main" id="{372B61A5-3CA0-448A-9B85-95165DE8511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3899" name="Text Box 192">
          <a:extLst>
            <a:ext uri="{FF2B5EF4-FFF2-40B4-BE49-F238E27FC236}">
              <a16:creationId xmlns:a16="http://schemas.microsoft.com/office/drawing/2014/main" id="{F928ADD1-FB9F-4432-A88E-FB3F2D3FA45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3900" name="Text Box 192">
          <a:extLst>
            <a:ext uri="{FF2B5EF4-FFF2-40B4-BE49-F238E27FC236}">
              <a16:creationId xmlns:a16="http://schemas.microsoft.com/office/drawing/2014/main" id="{5AF19BD1-9D9B-4D5C-81B1-191EEBCDF18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3901" name="Text Box 192">
          <a:extLst>
            <a:ext uri="{FF2B5EF4-FFF2-40B4-BE49-F238E27FC236}">
              <a16:creationId xmlns:a16="http://schemas.microsoft.com/office/drawing/2014/main" id="{4C3D9EEA-4FBF-4859-AC46-6CA12D07343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205</xdr:row>
      <xdr:rowOff>0</xdr:rowOff>
    </xdr:from>
    <xdr:ext cx="10372" cy="228955"/>
    <xdr:sp macro="" textlink="">
      <xdr:nvSpPr>
        <xdr:cNvPr id="3902" name="Text Box 192">
          <a:extLst>
            <a:ext uri="{FF2B5EF4-FFF2-40B4-BE49-F238E27FC236}">
              <a16:creationId xmlns:a16="http://schemas.microsoft.com/office/drawing/2014/main" id="{CAF36E3B-D21B-4528-AA94-EB2FAE6113C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3903" name="Text Box 192">
          <a:extLst>
            <a:ext uri="{FF2B5EF4-FFF2-40B4-BE49-F238E27FC236}">
              <a16:creationId xmlns:a16="http://schemas.microsoft.com/office/drawing/2014/main" id="{88CF86CE-154B-4204-86DC-AB644FE19DA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3904" name="Text Box 192">
          <a:extLst>
            <a:ext uri="{FF2B5EF4-FFF2-40B4-BE49-F238E27FC236}">
              <a16:creationId xmlns:a16="http://schemas.microsoft.com/office/drawing/2014/main" id="{9F5D8A7D-01A1-423F-B53B-BA9B6187A83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3905" name="Text Box 192">
          <a:extLst>
            <a:ext uri="{FF2B5EF4-FFF2-40B4-BE49-F238E27FC236}">
              <a16:creationId xmlns:a16="http://schemas.microsoft.com/office/drawing/2014/main" id="{6B13477F-7FA2-4B0F-A4F3-DF8619C6350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3906" name="Text Box 192">
          <a:extLst>
            <a:ext uri="{FF2B5EF4-FFF2-40B4-BE49-F238E27FC236}">
              <a16:creationId xmlns:a16="http://schemas.microsoft.com/office/drawing/2014/main" id="{41AE0FFC-5D73-4B4D-BE33-D089CCD8EC2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3907" name="Text Box 192">
          <a:extLst>
            <a:ext uri="{FF2B5EF4-FFF2-40B4-BE49-F238E27FC236}">
              <a16:creationId xmlns:a16="http://schemas.microsoft.com/office/drawing/2014/main" id="{46F235A0-7118-465B-BBFE-0D58F4D2005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3908" name="Text Box 192">
          <a:extLst>
            <a:ext uri="{FF2B5EF4-FFF2-40B4-BE49-F238E27FC236}">
              <a16:creationId xmlns:a16="http://schemas.microsoft.com/office/drawing/2014/main" id="{18BC073A-F0D8-41DB-ADEC-D5A3A17416F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3909" name="Text Box 192">
          <a:extLst>
            <a:ext uri="{FF2B5EF4-FFF2-40B4-BE49-F238E27FC236}">
              <a16:creationId xmlns:a16="http://schemas.microsoft.com/office/drawing/2014/main" id="{A46EEC69-DC5B-4AF3-82DE-37D4F1B3567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3910" name="Text Box 192">
          <a:extLst>
            <a:ext uri="{FF2B5EF4-FFF2-40B4-BE49-F238E27FC236}">
              <a16:creationId xmlns:a16="http://schemas.microsoft.com/office/drawing/2014/main" id="{C24B66E7-DCD5-4558-AF55-A48DCDC2FE5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206</xdr:row>
      <xdr:rowOff>0</xdr:rowOff>
    </xdr:from>
    <xdr:ext cx="10372" cy="228955"/>
    <xdr:sp macro="" textlink="">
      <xdr:nvSpPr>
        <xdr:cNvPr id="3911" name="Text Box 192">
          <a:extLst>
            <a:ext uri="{FF2B5EF4-FFF2-40B4-BE49-F238E27FC236}">
              <a16:creationId xmlns:a16="http://schemas.microsoft.com/office/drawing/2014/main" id="{71DA88C5-74B1-4C6A-B31A-BB3DC342712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3912" name="Text Box 192">
          <a:extLst>
            <a:ext uri="{FF2B5EF4-FFF2-40B4-BE49-F238E27FC236}">
              <a16:creationId xmlns:a16="http://schemas.microsoft.com/office/drawing/2014/main" id="{84569820-AD6B-48DC-A76A-C32C4276CCB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3913" name="Text Box 192">
          <a:extLst>
            <a:ext uri="{FF2B5EF4-FFF2-40B4-BE49-F238E27FC236}">
              <a16:creationId xmlns:a16="http://schemas.microsoft.com/office/drawing/2014/main" id="{F3F0739E-45B4-434D-98B2-B846BD7F610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3914" name="Text Box 192">
          <a:extLst>
            <a:ext uri="{FF2B5EF4-FFF2-40B4-BE49-F238E27FC236}">
              <a16:creationId xmlns:a16="http://schemas.microsoft.com/office/drawing/2014/main" id="{5B298514-3E61-411E-9019-EE8F92CC630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3915" name="Text Box 192">
          <a:extLst>
            <a:ext uri="{FF2B5EF4-FFF2-40B4-BE49-F238E27FC236}">
              <a16:creationId xmlns:a16="http://schemas.microsoft.com/office/drawing/2014/main" id="{62854393-0DCC-4BAE-BD6D-584DC5C7AC5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3916" name="Text Box 192">
          <a:extLst>
            <a:ext uri="{FF2B5EF4-FFF2-40B4-BE49-F238E27FC236}">
              <a16:creationId xmlns:a16="http://schemas.microsoft.com/office/drawing/2014/main" id="{3CF21581-42C4-4F37-9037-5AA55170677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3917" name="Text Box 192">
          <a:extLst>
            <a:ext uri="{FF2B5EF4-FFF2-40B4-BE49-F238E27FC236}">
              <a16:creationId xmlns:a16="http://schemas.microsoft.com/office/drawing/2014/main" id="{42695AC8-F5D0-494A-9151-2994C0BECE4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3918" name="Text Box 192">
          <a:extLst>
            <a:ext uri="{FF2B5EF4-FFF2-40B4-BE49-F238E27FC236}">
              <a16:creationId xmlns:a16="http://schemas.microsoft.com/office/drawing/2014/main" id="{A0FCAB0B-5B7A-48B2-A119-F5256EAEC66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3919" name="Text Box 192">
          <a:extLst>
            <a:ext uri="{FF2B5EF4-FFF2-40B4-BE49-F238E27FC236}">
              <a16:creationId xmlns:a16="http://schemas.microsoft.com/office/drawing/2014/main" id="{9CAE66A1-A53F-45DA-9CE4-D25F44C918B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207</xdr:row>
      <xdr:rowOff>0</xdr:rowOff>
    </xdr:from>
    <xdr:ext cx="10372" cy="228955"/>
    <xdr:sp macro="" textlink="">
      <xdr:nvSpPr>
        <xdr:cNvPr id="3920" name="Text Box 192">
          <a:extLst>
            <a:ext uri="{FF2B5EF4-FFF2-40B4-BE49-F238E27FC236}">
              <a16:creationId xmlns:a16="http://schemas.microsoft.com/office/drawing/2014/main" id="{686C0547-7C28-4F70-816F-0F12DF8A793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3921" name="Text Box 192">
          <a:extLst>
            <a:ext uri="{FF2B5EF4-FFF2-40B4-BE49-F238E27FC236}">
              <a16:creationId xmlns:a16="http://schemas.microsoft.com/office/drawing/2014/main" id="{D61E9E7F-6C6B-4609-BEA0-EE7BC242DD6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3922" name="Text Box 192">
          <a:extLst>
            <a:ext uri="{FF2B5EF4-FFF2-40B4-BE49-F238E27FC236}">
              <a16:creationId xmlns:a16="http://schemas.microsoft.com/office/drawing/2014/main" id="{A2EB941C-F296-443D-8DDD-9C591CAA28E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3923" name="Text Box 192">
          <a:extLst>
            <a:ext uri="{FF2B5EF4-FFF2-40B4-BE49-F238E27FC236}">
              <a16:creationId xmlns:a16="http://schemas.microsoft.com/office/drawing/2014/main" id="{FE3772CE-990C-44E5-9E1C-870D9B4ADC1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3924" name="Text Box 192">
          <a:extLst>
            <a:ext uri="{FF2B5EF4-FFF2-40B4-BE49-F238E27FC236}">
              <a16:creationId xmlns:a16="http://schemas.microsoft.com/office/drawing/2014/main" id="{B06F351D-2A41-4CF2-8B09-D6E65A1EE8F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3925" name="Text Box 192">
          <a:extLst>
            <a:ext uri="{FF2B5EF4-FFF2-40B4-BE49-F238E27FC236}">
              <a16:creationId xmlns:a16="http://schemas.microsoft.com/office/drawing/2014/main" id="{B692B085-AE99-4A40-9E2B-3A1E181A321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3926" name="Text Box 192">
          <a:extLst>
            <a:ext uri="{FF2B5EF4-FFF2-40B4-BE49-F238E27FC236}">
              <a16:creationId xmlns:a16="http://schemas.microsoft.com/office/drawing/2014/main" id="{757B2DA2-E80D-4291-9196-7256C9DF4DF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3927" name="Text Box 192">
          <a:extLst>
            <a:ext uri="{FF2B5EF4-FFF2-40B4-BE49-F238E27FC236}">
              <a16:creationId xmlns:a16="http://schemas.microsoft.com/office/drawing/2014/main" id="{CBD31027-AEEF-482D-9D12-A4D0AB4FA14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3928" name="Text Box 192">
          <a:extLst>
            <a:ext uri="{FF2B5EF4-FFF2-40B4-BE49-F238E27FC236}">
              <a16:creationId xmlns:a16="http://schemas.microsoft.com/office/drawing/2014/main" id="{05F5EE2A-5D0C-41B4-A267-59CE8D7B6B3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208</xdr:row>
      <xdr:rowOff>0</xdr:rowOff>
    </xdr:from>
    <xdr:ext cx="10372" cy="228955"/>
    <xdr:sp macro="" textlink="">
      <xdr:nvSpPr>
        <xdr:cNvPr id="3929" name="Text Box 192">
          <a:extLst>
            <a:ext uri="{FF2B5EF4-FFF2-40B4-BE49-F238E27FC236}">
              <a16:creationId xmlns:a16="http://schemas.microsoft.com/office/drawing/2014/main" id="{B4B83284-7734-46A3-A583-B881A347035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3930" name="Text Box 192">
          <a:extLst>
            <a:ext uri="{FF2B5EF4-FFF2-40B4-BE49-F238E27FC236}">
              <a16:creationId xmlns:a16="http://schemas.microsoft.com/office/drawing/2014/main" id="{8AA19CEF-AA2A-4512-BBE4-87EC005D376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3931" name="Text Box 192">
          <a:extLst>
            <a:ext uri="{FF2B5EF4-FFF2-40B4-BE49-F238E27FC236}">
              <a16:creationId xmlns:a16="http://schemas.microsoft.com/office/drawing/2014/main" id="{BB696692-78D2-4E26-B301-06F9BB0044F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3932" name="Text Box 192">
          <a:extLst>
            <a:ext uri="{FF2B5EF4-FFF2-40B4-BE49-F238E27FC236}">
              <a16:creationId xmlns:a16="http://schemas.microsoft.com/office/drawing/2014/main" id="{FC7AB176-4127-46C6-B557-380CF1740C2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3933" name="Text Box 192">
          <a:extLst>
            <a:ext uri="{FF2B5EF4-FFF2-40B4-BE49-F238E27FC236}">
              <a16:creationId xmlns:a16="http://schemas.microsoft.com/office/drawing/2014/main" id="{FABD8A81-6A88-48F0-8E7F-BA05A0BF52B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3934" name="Text Box 192">
          <a:extLst>
            <a:ext uri="{FF2B5EF4-FFF2-40B4-BE49-F238E27FC236}">
              <a16:creationId xmlns:a16="http://schemas.microsoft.com/office/drawing/2014/main" id="{04EB6413-AE45-4429-ACA7-26AC6F8D271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3935" name="Text Box 192">
          <a:extLst>
            <a:ext uri="{FF2B5EF4-FFF2-40B4-BE49-F238E27FC236}">
              <a16:creationId xmlns:a16="http://schemas.microsoft.com/office/drawing/2014/main" id="{75B6D028-8892-4052-8D93-8184966ED75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3936" name="Text Box 192">
          <a:extLst>
            <a:ext uri="{FF2B5EF4-FFF2-40B4-BE49-F238E27FC236}">
              <a16:creationId xmlns:a16="http://schemas.microsoft.com/office/drawing/2014/main" id="{F9827602-D253-40DD-8748-C31818F0263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3937" name="Text Box 192">
          <a:extLst>
            <a:ext uri="{FF2B5EF4-FFF2-40B4-BE49-F238E27FC236}">
              <a16:creationId xmlns:a16="http://schemas.microsoft.com/office/drawing/2014/main" id="{4B9705CB-2956-4AA4-A512-8DC969674AB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209</xdr:row>
      <xdr:rowOff>0</xdr:rowOff>
    </xdr:from>
    <xdr:ext cx="10372" cy="228955"/>
    <xdr:sp macro="" textlink="">
      <xdr:nvSpPr>
        <xdr:cNvPr id="3938" name="Text Box 192">
          <a:extLst>
            <a:ext uri="{FF2B5EF4-FFF2-40B4-BE49-F238E27FC236}">
              <a16:creationId xmlns:a16="http://schemas.microsoft.com/office/drawing/2014/main" id="{15D88369-D33E-4EF7-A39C-F5685409277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3939" name="Text Box 192">
          <a:extLst>
            <a:ext uri="{FF2B5EF4-FFF2-40B4-BE49-F238E27FC236}">
              <a16:creationId xmlns:a16="http://schemas.microsoft.com/office/drawing/2014/main" id="{E7359EDC-7B86-47B0-8C43-6114C71883B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3940" name="Text Box 192">
          <a:extLst>
            <a:ext uri="{FF2B5EF4-FFF2-40B4-BE49-F238E27FC236}">
              <a16:creationId xmlns:a16="http://schemas.microsoft.com/office/drawing/2014/main" id="{E43C6B52-78DD-490B-A8E2-F392AE26E08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3941" name="Text Box 192">
          <a:extLst>
            <a:ext uri="{FF2B5EF4-FFF2-40B4-BE49-F238E27FC236}">
              <a16:creationId xmlns:a16="http://schemas.microsoft.com/office/drawing/2014/main" id="{78386EBA-7C8E-451E-9B6C-B71E90F0E86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3942" name="Text Box 192">
          <a:extLst>
            <a:ext uri="{FF2B5EF4-FFF2-40B4-BE49-F238E27FC236}">
              <a16:creationId xmlns:a16="http://schemas.microsoft.com/office/drawing/2014/main" id="{D36E498E-71A1-40E1-BD15-75F8B713516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3943" name="Text Box 192">
          <a:extLst>
            <a:ext uri="{FF2B5EF4-FFF2-40B4-BE49-F238E27FC236}">
              <a16:creationId xmlns:a16="http://schemas.microsoft.com/office/drawing/2014/main" id="{67912431-78BD-44CA-BF70-5C1455DF7CE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3944" name="Text Box 192">
          <a:extLst>
            <a:ext uri="{FF2B5EF4-FFF2-40B4-BE49-F238E27FC236}">
              <a16:creationId xmlns:a16="http://schemas.microsoft.com/office/drawing/2014/main" id="{6AA38022-08A0-4E0A-AA53-CF2A136CD1A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3945" name="Text Box 192">
          <a:extLst>
            <a:ext uri="{FF2B5EF4-FFF2-40B4-BE49-F238E27FC236}">
              <a16:creationId xmlns:a16="http://schemas.microsoft.com/office/drawing/2014/main" id="{8502F31F-F52C-4178-8EC8-5F6BA3A978D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3946" name="Text Box 192">
          <a:extLst>
            <a:ext uri="{FF2B5EF4-FFF2-40B4-BE49-F238E27FC236}">
              <a16:creationId xmlns:a16="http://schemas.microsoft.com/office/drawing/2014/main" id="{3A27CD9F-149C-43CA-9861-7C8627A556A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210</xdr:row>
      <xdr:rowOff>0</xdr:rowOff>
    </xdr:from>
    <xdr:ext cx="10372" cy="228955"/>
    <xdr:sp macro="" textlink="">
      <xdr:nvSpPr>
        <xdr:cNvPr id="3947" name="Text Box 192">
          <a:extLst>
            <a:ext uri="{FF2B5EF4-FFF2-40B4-BE49-F238E27FC236}">
              <a16:creationId xmlns:a16="http://schemas.microsoft.com/office/drawing/2014/main" id="{A52831E1-2047-47AF-9178-F68F9E3A160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3948" name="Text Box 192">
          <a:extLst>
            <a:ext uri="{FF2B5EF4-FFF2-40B4-BE49-F238E27FC236}">
              <a16:creationId xmlns:a16="http://schemas.microsoft.com/office/drawing/2014/main" id="{71792E5D-3229-4B65-8BCD-2726D70481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3949" name="Text Box 192">
          <a:extLst>
            <a:ext uri="{FF2B5EF4-FFF2-40B4-BE49-F238E27FC236}">
              <a16:creationId xmlns:a16="http://schemas.microsoft.com/office/drawing/2014/main" id="{4837B869-226D-4EB2-A846-9942F18C04B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3950" name="Text Box 192">
          <a:extLst>
            <a:ext uri="{FF2B5EF4-FFF2-40B4-BE49-F238E27FC236}">
              <a16:creationId xmlns:a16="http://schemas.microsoft.com/office/drawing/2014/main" id="{14744AFF-92E2-4D90-8B91-672DFDAE068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3951" name="Text Box 192">
          <a:extLst>
            <a:ext uri="{FF2B5EF4-FFF2-40B4-BE49-F238E27FC236}">
              <a16:creationId xmlns:a16="http://schemas.microsoft.com/office/drawing/2014/main" id="{5B930416-074D-43D0-8450-A2C7373DEB2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3952" name="Text Box 192">
          <a:extLst>
            <a:ext uri="{FF2B5EF4-FFF2-40B4-BE49-F238E27FC236}">
              <a16:creationId xmlns:a16="http://schemas.microsoft.com/office/drawing/2014/main" id="{1B40D836-BC25-402A-85C1-E9C5A9A2220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211</xdr:row>
      <xdr:rowOff>0</xdr:rowOff>
    </xdr:from>
    <xdr:ext cx="10372" cy="228955"/>
    <xdr:sp macro="" textlink="">
      <xdr:nvSpPr>
        <xdr:cNvPr id="3953" name="Text Box 192">
          <a:extLst>
            <a:ext uri="{FF2B5EF4-FFF2-40B4-BE49-F238E27FC236}">
              <a16:creationId xmlns:a16="http://schemas.microsoft.com/office/drawing/2014/main" id="{055F2906-AB78-4DB5-9EA8-4088A47250A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213</xdr:row>
      <xdr:rowOff>0</xdr:rowOff>
    </xdr:from>
    <xdr:ext cx="10372" cy="228955"/>
    <xdr:sp macro="" textlink="">
      <xdr:nvSpPr>
        <xdr:cNvPr id="3954" name="Text Box 192">
          <a:extLst>
            <a:ext uri="{FF2B5EF4-FFF2-40B4-BE49-F238E27FC236}">
              <a16:creationId xmlns:a16="http://schemas.microsoft.com/office/drawing/2014/main" id="{D864B934-20AA-4A9F-BBBC-939F941DF52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3955" name="Text Box 192">
          <a:extLst>
            <a:ext uri="{FF2B5EF4-FFF2-40B4-BE49-F238E27FC236}">
              <a16:creationId xmlns:a16="http://schemas.microsoft.com/office/drawing/2014/main" id="{165AC3F5-8BE0-4818-A9A8-2033700303C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213</xdr:row>
      <xdr:rowOff>0</xdr:rowOff>
    </xdr:from>
    <xdr:ext cx="10372" cy="228955"/>
    <xdr:sp macro="" textlink="">
      <xdr:nvSpPr>
        <xdr:cNvPr id="3956" name="Text Box 192">
          <a:extLst>
            <a:ext uri="{FF2B5EF4-FFF2-40B4-BE49-F238E27FC236}">
              <a16:creationId xmlns:a16="http://schemas.microsoft.com/office/drawing/2014/main" id="{D1F5C8E5-C921-4FBE-B9D0-AFFFB4B8AAE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3957" name="Text Box 192">
          <a:extLst>
            <a:ext uri="{FF2B5EF4-FFF2-40B4-BE49-F238E27FC236}">
              <a16:creationId xmlns:a16="http://schemas.microsoft.com/office/drawing/2014/main" id="{12FCE26C-3C16-4D74-8CDE-DDB2CEF7E07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3958" name="Text Box 192">
          <a:extLst>
            <a:ext uri="{FF2B5EF4-FFF2-40B4-BE49-F238E27FC236}">
              <a16:creationId xmlns:a16="http://schemas.microsoft.com/office/drawing/2014/main" id="{69531329-6899-4A77-8EC7-439A1ABABB2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3959" name="Text Box 192">
          <a:extLst>
            <a:ext uri="{FF2B5EF4-FFF2-40B4-BE49-F238E27FC236}">
              <a16:creationId xmlns:a16="http://schemas.microsoft.com/office/drawing/2014/main" id="{1558D0FB-208F-46B6-91F2-6E66E6786E3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3960" name="Text Box 192">
          <a:extLst>
            <a:ext uri="{FF2B5EF4-FFF2-40B4-BE49-F238E27FC236}">
              <a16:creationId xmlns:a16="http://schemas.microsoft.com/office/drawing/2014/main" id="{3461FB61-DD12-434D-B7F8-3C140EC10C9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3961" name="Text Box 192">
          <a:extLst>
            <a:ext uri="{FF2B5EF4-FFF2-40B4-BE49-F238E27FC236}">
              <a16:creationId xmlns:a16="http://schemas.microsoft.com/office/drawing/2014/main" id="{FEC2BA8A-B779-4F6C-A6B2-B85A60B022C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3962" name="Text Box 192">
          <a:extLst>
            <a:ext uri="{FF2B5EF4-FFF2-40B4-BE49-F238E27FC236}">
              <a16:creationId xmlns:a16="http://schemas.microsoft.com/office/drawing/2014/main" id="{C88ADDC0-370B-4041-85F4-14B4C44312E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3963" name="Text Box 192">
          <a:extLst>
            <a:ext uri="{FF2B5EF4-FFF2-40B4-BE49-F238E27FC236}">
              <a16:creationId xmlns:a16="http://schemas.microsoft.com/office/drawing/2014/main" id="{982AEC4E-1DAE-4828-9856-5EC545BD03F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3964" name="Text Box 192">
          <a:extLst>
            <a:ext uri="{FF2B5EF4-FFF2-40B4-BE49-F238E27FC236}">
              <a16:creationId xmlns:a16="http://schemas.microsoft.com/office/drawing/2014/main" id="{3294B4E2-1A39-47E1-8605-079AC84B9EA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214</xdr:row>
      <xdr:rowOff>0</xdr:rowOff>
    </xdr:from>
    <xdr:ext cx="10372" cy="228955"/>
    <xdr:sp macro="" textlink="">
      <xdr:nvSpPr>
        <xdr:cNvPr id="3965" name="Text Box 192">
          <a:extLst>
            <a:ext uri="{FF2B5EF4-FFF2-40B4-BE49-F238E27FC236}">
              <a16:creationId xmlns:a16="http://schemas.microsoft.com/office/drawing/2014/main" id="{990F4149-1124-4D55-85B3-674B54AF561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3966" name="Text Box 192">
          <a:extLst>
            <a:ext uri="{FF2B5EF4-FFF2-40B4-BE49-F238E27FC236}">
              <a16:creationId xmlns:a16="http://schemas.microsoft.com/office/drawing/2014/main" id="{26E42ABF-FC1E-4C1D-959F-2ED595451E7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3967" name="Text Box 192">
          <a:extLst>
            <a:ext uri="{FF2B5EF4-FFF2-40B4-BE49-F238E27FC236}">
              <a16:creationId xmlns:a16="http://schemas.microsoft.com/office/drawing/2014/main" id="{EC9B25EC-A3BF-4A86-A0F8-BD44DF321C6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3968" name="Text Box 192">
          <a:extLst>
            <a:ext uri="{FF2B5EF4-FFF2-40B4-BE49-F238E27FC236}">
              <a16:creationId xmlns:a16="http://schemas.microsoft.com/office/drawing/2014/main" id="{2889E865-CF60-4E9A-B430-C91EE07195C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3969" name="Text Box 192">
          <a:extLst>
            <a:ext uri="{FF2B5EF4-FFF2-40B4-BE49-F238E27FC236}">
              <a16:creationId xmlns:a16="http://schemas.microsoft.com/office/drawing/2014/main" id="{7F12BE39-E9FA-4E9D-AFAE-AF306FB624B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3970" name="Text Box 192">
          <a:extLst>
            <a:ext uri="{FF2B5EF4-FFF2-40B4-BE49-F238E27FC236}">
              <a16:creationId xmlns:a16="http://schemas.microsoft.com/office/drawing/2014/main" id="{4642B950-C342-4566-85CA-50B8D7D6012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3971" name="Text Box 192">
          <a:extLst>
            <a:ext uri="{FF2B5EF4-FFF2-40B4-BE49-F238E27FC236}">
              <a16:creationId xmlns:a16="http://schemas.microsoft.com/office/drawing/2014/main" id="{B3DF7173-95B4-43E1-A04A-87EC042ADEE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3972" name="Text Box 192">
          <a:extLst>
            <a:ext uri="{FF2B5EF4-FFF2-40B4-BE49-F238E27FC236}">
              <a16:creationId xmlns:a16="http://schemas.microsoft.com/office/drawing/2014/main" id="{4FE1B8FC-AF4F-4BD4-823A-DA1D1ECE93F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3973" name="Text Box 192">
          <a:extLst>
            <a:ext uri="{FF2B5EF4-FFF2-40B4-BE49-F238E27FC236}">
              <a16:creationId xmlns:a16="http://schemas.microsoft.com/office/drawing/2014/main" id="{4B3C1C2A-24FF-4C70-AEA7-E38E72BD4D3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215</xdr:row>
      <xdr:rowOff>0</xdr:rowOff>
    </xdr:from>
    <xdr:ext cx="10372" cy="228955"/>
    <xdr:sp macro="" textlink="">
      <xdr:nvSpPr>
        <xdr:cNvPr id="3974" name="Text Box 192">
          <a:extLst>
            <a:ext uri="{FF2B5EF4-FFF2-40B4-BE49-F238E27FC236}">
              <a16:creationId xmlns:a16="http://schemas.microsoft.com/office/drawing/2014/main" id="{3C24BC0D-AB15-4F27-B36F-5628B25F789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3975" name="Text Box 192">
          <a:extLst>
            <a:ext uri="{FF2B5EF4-FFF2-40B4-BE49-F238E27FC236}">
              <a16:creationId xmlns:a16="http://schemas.microsoft.com/office/drawing/2014/main" id="{973ABB88-DA3F-4C75-9746-9696F3F812E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3976" name="Text Box 192">
          <a:extLst>
            <a:ext uri="{FF2B5EF4-FFF2-40B4-BE49-F238E27FC236}">
              <a16:creationId xmlns:a16="http://schemas.microsoft.com/office/drawing/2014/main" id="{2F93BFB8-2D26-46A5-9CC2-A9422FAB3D3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3977" name="Text Box 192">
          <a:extLst>
            <a:ext uri="{FF2B5EF4-FFF2-40B4-BE49-F238E27FC236}">
              <a16:creationId xmlns:a16="http://schemas.microsoft.com/office/drawing/2014/main" id="{DA393DEE-80DD-4DB7-A9A4-48CEF02BDF8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3978" name="Text Box 192">
          <a:extLst>
            <a:ext uri="{FF2B5EF4-FFF2-40B4-BE49-F238E27FC236}">
              <a16:creationId xmlns:a16="http://schemas.microsoft.com/office/drawing/2014/main" id="{0B83C34B-FDF2-4BEA-A9F3-DB64162BCF1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3979" name="Text Box 192">
          <a:extLst>
            <a:ext uri="{FF2B5EF4-FFF2-40B4-BE49-F238E27FC236}">
              <a16:creationId xmlns:a16="http://schemas.microsoft.com/office/drawing/2014/main" id="{6459467D-396D-4E9E-A04A-D65037EAC78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3980" name="Text Box 192">
          <a:extLst>
            <a:ext uri="{FF2B5EF4-FFF2-40B4-BE49-F238E27FC236}">
              <a16:creationId xmlns:a16="http://schemas.microsoft.com/office/drawing/2014/main" id="{57EC0B56-16DB-4924-883B-336BF27E00B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3981" name="Text Box 192">
          <a:extLst>
            <a:ext uri="{FF2B5EF4-FFF2-40B4-BE49-F238E27FC236}">
              <a16:creationId xmlns:a16="http://schemas.microsoft.com/office/drawing/2014/main" id="{BCBBA8EB-9C7F-4194-B968-6A1D98559F6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3982" name="Text Box 192">
          <a:extLst>
            <a:ext uri="{FF2B5EF4-FFF2-40B4-BE49-F238E27FC236}">
              <a16:creationId xmlns:a16="http://schemas.microsoft.com/office/drawing/2014/main" id="{413674E2-B2C9-4342-A3D4-7B845C94D33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216</xdr:row>
      <xdr:rowOff>0</xdr:rowOff>
    </xdr:from>
    <xdr:ext cx="10372" cy="228955"/>
    <xdr:sp macro="" textlink="">
      <xdr:nvSpPr>
        <xdr:cNvPr id="3983" name="Text Box 192">
          <a:extLst>
            <a:ext uri="{FF2B5EF4-FFF2-40B4-BE49-F238E27FC236}">
              <a16:creationId xmlns:a16="http://schemas.microsoft.com/office/drawing/2014/main" id="{56F97624-B947-47BF-B49B-8CD2FAC0FD9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3984" name="Text Box 192">
          <a:extLst>
            <a:ext uri="{FF2B5EF4-FFF2-40B4-BE49-F238E27FC236}">
              <a16:creationId xmlns:a16="http://schemas.microsoft.com/office/drawing/2014/main" id="{0AE0D331-7644-4D91-8AB9-5DF681C8C24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3985" name="Text Box 192">
          <a:extLst>
            <a:ext uri="{FF2B5EF4-FFF2-40B4-BE49-F238E27FC236}">
              <a16:creationId xmlns:a16="http://schemas.microsoft.com/office/drawing/2014/main" id="{F44DAAE0-0E96-4A56-B023-CBD5D7DA9CB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3986" name="Text Box 192">
          <a:extLst>
            <a:ext uri="{FF2B5EF4-FFF2-40B4-BE49-F238E27FC236}">
              <a16:creationId xmlns:a16="http://schemas.microsoft.com/office/drawing/2014/main" id="{9175411C-D1D8-47B9-BE9F-5BB407960D3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3987" name="Text Box 192">
          <a:extLst>
            <a:ext uri="{FF2B5EF4-FFF2-40B4-BE49-F238E27FC236}">
              <a16:creationId xmlns:a16="http://schemas.microsoft.com/office/drawing/2014/main" id="{FBEC2586-3F7E-49F5-81E9-585CF35759B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3988" name="Text Box 192">
          <a:extLst>
            <a:ext uri="{FF2B5EF4-FFF2-40B4-BE49-F238E27FC236}">
              <a16:creationId xmlns:a16="http://schemas.microsoft.com/office/drawing/2014/main" id="{DF5801C9-0967-465A-9B89-E9328AF6465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217</xdr:row>
      <xdr:rowOff>0</xdr:rowOff>
    </xdr:from>
    <xdr:ext cx="10372" cy="228955"/>
    <xdr:sp macro="" textlink="">
      <xdr:nvSpPr>
        <xdr:cNvPr id="3989" name="Text Box 192">
          <a:extLst>
            <a:ext uri="{FF2B5EF4-FFF2-40B4-BE49-F238E27FC236}">
              <a16:creationId xmlns:a16="http://schemas.microsoft.com/office/drawing/2014/main" id="{5AA80535-1EE7-4CC3-8165-C1BE254E72C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219</xdr:row>
      <xdr:rowOff>0</xdr:rowOff>
    </xdr:from>
    <xdr:ext cx="10372" cy="228955"/>
    <xdr:sp macro="" textlink="">
      <xdr:nvSpPr>
        <xdr:cNvPr id="3990" name="Text Box 192">
          <a:extLst>
            <a:ext uri="{FF2B5EF4-FFF2-40B4-BE49-F238E27FC236}">
              <a16:creationId xmlns:a16="http://schemas.microsoft.com/office/drawing/2014/main" id="{C81619A2-00D8-4FD0-A2A6-7152CBF8DE4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3991" name="Text Box 192">
          <a:extLst>
            <a:ext uri="{FF2B5EF4-FFF2-40B4-BE49-F238E27FC236}">
              <a16:creationId xmlns:a16="http://schemas.microsoft.com/office/drawing/2014/main" id="{AD286B32-D2F9-45B7-A622-3404B5AC515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219</xdr:row>
      <xdr:rowOff>0</xdr:rowOff>
    </xdr:from>
    <xdr:ext cx="10372" cy="228955"/>
    <xdr:sp macro="" textlink="">
      <xdr:nvSpPr>
        <xdr:cNvPr id="3992" name="Text Box 192">
          <a:extLst>
            <a:ext uri="{FF2B5EF4-FFF2-40B4-BE49-F238E27FC236}">
              <a16:creationId xmlns:a16="http://schemas.microsoft.com/office/drawing/2014/main" id="{6682444A-835E-400F-990F-535A660B614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3993" name="Text Box 192">
          <a:extLst>
            <a:ext uri="{FF2B5EF4-FFF2-40B4-BE49-F238E27FC236}">
              <a16:creationId xmlns:a16="http://schemas.microsoft.com/office/drawing/2014/main" id="{749FDBBD-F440-4BB7-ABCA-68803914E14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3994" name="Text Box 192">
          <a:extLst>
            <a:ext uri="{FF2B5EF4-FFF2-40B4-BE49-F238E27FC236}">
              <a16:creationId xmlns:a16="http://schemas.microsoft.com/office/drawing/2014/main" id="{2EFBC199-AE57-4623-9318-53929FEC6AF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3995" name="Text Box 192">
          <a:extLst>
            <a:ext uri="{FF2B5EF4-FFF2-40B4-BE49-F238E27FC236}">
              <a16:creationId xmlns:a16="http://schemas.microsoft.com/office/drawing/2014/main" id="{F1D7BEA9-F1B7-45C5-8F3E-5179CEDA0F2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3996" name="Text Box 192">
          <a:extLst>
            <a:ext uri="{FF2B5EF4-FFF2-40B4-BE49-F238E27FC236}">
              <a16:creationId xmlns:a16="http://schemas.microsoft.com/office/drawing/2014/main" id="{CDAD8E5A-357F-4B49-9839-C02E95EE76D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3997" name="Text Box 192">
          <a:extLst>
            <a:ext uri="{FF2B5EF4-FFF2-40B4-BE49-F238E27FC236}">
              <a16:creationId xmlns:a16="http://schemas.microsoft.com/office/drawing/2014/main" id="{B9879882-5DC6-4044-8518-60C5341456C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3998" name="Text Box 192">
          <a:extLst>
            <a:ext uri="{FF2B5EF4-FFF2-40B4-BE49-F238E27FC236}">
              <a16:creationId xmlns:a16="http://schemas.microsoft.com/office/drawing/2014/main" id="{2195255E-4D28-48B9-A13C-DD7BE79D74B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3999" name="Text Box 192">
          <a:extLst>
            <a:ext uri="{FF2B5EF4-FFF2-40B4-BE49-F238E27FC236}">
              <a16:creationId xmlns:a16="http://schemas.microsoft.com/office/drawing/2014/main" id="{01A097EF-1849-46D1-BBE9-D3E77F7AA3E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4000" name="Text Box 192">
          <a:extLst>
            <a:ext uri="{FF2B5EF4-FFF2-40B4-BE49-F238E27FC236}">
              <a16:creationId xmlns:a16="http://schemas.microsoft.com/office/drawing/2014/main" id="{D567F0CA-FD4A-4B34-98E0-3596909FBAB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220</xdr:row>
      <xdr:rowOff>0</xdr:rowOff>
    </xdr:from>
    <xdr:ext cx="10372" cy="228955"/>
    <xdr:sp macro="" textlink="">
      <xdr:nvSpPr>
        <xdr:cNvPr id="4001" name="Text Box 192">
          <a:extLst>
            <a:ext uri="{FF2B5EF4-FFF2-40B4-BE49-F238E27FC236}">
              <a16:creationId xmlns:a16="http://schemas.microsoft.com/office/drawing/2014/main" id="{C69B7022-623B-4DD1-97C6-1C992396A70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4002" name="Text Box 192">
          <a:extLst>
            <a:ext uri="{FF2B5EF4-FFF2-40B4-BE49-F238E27FC236}">
              <a16:creationId xmlns:a16="http://schemas.microsoft.com/office/drawing/2014/main" id="{B8C37501-4B25-4D9F-B3D5-F1E04FAEFF8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4003" name="Text Box 192">
          <a:extLst>
            <a:ext uri="{FF2B5EF4-FFF2-40B4-BE49-F238E27FC236}">
              <a16:creationId xmlns:a16="http://schemas.microsoft.com/office/drawing/2014/main" id="{D34A7589-F3E4-44D0-8527-813191D9546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4004" name="Text Box 192">
          <a:extLst>
            <a:ext uri="{FF2B5EF4-FFF2-40B4-BE49-F238E27FC236}">
              <a16:creationId xmlns:a16="http://schemas.microsoft.com/office/drawing/2014/main" id="{38C0DFE6-43F7-45F6-A0CF-D0F81898AA4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4005" name="Text Box 192">
          <a:extLst>
            <a:ext uri="{FF2B5EF4-FFF2-40B4-BE49-F238E27FC236}">
              <a16:creationId xmlns:a16="http://schemas.microsoft.com/office/drawing/2014/main" id="{764B73BF-9AEF-4A64-8EAA-4277C47AE87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4006" name="Text Box 192">
          <a:extLst>
            <a:ext uri="{FF2B5EF4-FFF2-40B4-BE49-F238E27FC236}">
              <a16:creationId xmlns:a16="http://schemas.microsoft.com/office/drawing/2014/main" id="{763D69F2-E98B-43FA-8B92-67183653EB3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4007" name="Text Box 192">
          <a:extLst>
            <a:ext uri="{FF2B5EF4-FFF2-40B4-BE49-F238E27FC236}">
              <a16:creationId xmlns:a16="http://schemas.microsoft.com/office/drawing/2014/main" id="{0A971152-716D-4591-B798-11BD32685B0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4008" name="Text Box 192">
          <a:extLst>
            <a:ext uri="{FF2B5EF4-FFF2-40B4-BE49-F238E27FC236}">
              <a16:creationId xmlns:a16="http://schemas.microsoft.com/office/drawing/2014/main" id="{16FD5561-AF58-4ECE-B43A-F3152911B0A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4009" name="Text Box 192">
          <a:extLst>
            <a:ext uri="{FF2B5EF4-FFF2-40B4-BE49-F238E27FC236}">
              <a16:creationId xmlns:a16="http://schemas.microsoft.com/office/drawing/2014/main" id="{BAB36B39-9431-44EA-905B-A563BACF912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221</xdr:row>
      <xdr:rowOff>0</xdr:rowOff>
    </xdr:from>
    <xdr:ext cx="10372" cy="228955"/>
    <xdr:sp macro="" textlink="">
      <xdr:nvSpPr>
        <xdr:cNvPr id="4010" name="Text Box 192">
          <a:extLst>
            <a:ext uri="{FF2B5EF4-FFF2-40B4-BE49-F238E27FC236}">
              <a16:creationId xmlns:a16="http://schemas.microsoft.com/office/drawing/2014/main" id="{F255CB34-D4ED-4440-9912-7A62C2EBC8D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4011" name="Text Box 192">
          <a:extLst>
            <a:ext uri="{FF2B5EF4-FFF2-40B4-BE49-F238E27FC236}">
              <a16:creationId xmlns:a16="http://schemas.microsoft.com/office/drawing/2014/main" id="{5B0FCC13-5725-4113-8EF4-F3DC45E5E64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4012" name="Text Box 192">
          <a:extLst>
            <a:ext uri="{FF2B5EF4-FFF2-40B4-BE49-F238E27FC236}">
              <a16:creationId xmlns:a16="http://schemas.microsoft.com/office/drawing/2014/main" id="{E12EAFE3-EC29-4A87-A19E-A51ADF3D02C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4013" name="Text Box 192">
          <a:extLst>
            <a:ext uri="{FF2B5EF4-FFF2-40B4-BE49-F238E27FC236}">
              <a16:creationId xmlns:a16="http://schemas.microsoft.com/office/drawing/2014/main" id="{E3135C00-8E34-4955-B17B-369791066A3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4014" name="Text Box 192">
          <a:extLst>
            <a:ext uri="{FF2B5EF4-FFF2-40B4-BE49-F238E27FC236}">
              <a16:creationId xmlns:a16="http://schemas.microsoft.com/office/drawing/2014/main" id="{0A304D3C-03AD-4501-AED9-E858D699134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4015" name="Text Box 192">
          <a:extLst>
            <a:ext uri="{FF2B5EF4-FFF2-40B4-BE49-F238E27FC236}">
              <a16:creationId xmlns:a16="http://schemas.microsoft.com/office/drawing/2014/main" id="{2BCE435A-58E7-4C05-B98C-F469AFB26BF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4016" name="Text Box 192">
          <a:extLst>
            <a:ext uri="{FF2B5EF4-FFF2-40B4-BE49-F238E27FC236}">
              <a16:creationId xmlns:a16="http://schemas.microsoft.com/office/drawing/2014/main" id="{5020353A-F981-43E8-A871-C1956E8C90E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4017" name="Text Box 192">
          <a:extLst>
            <a:ext uri="{FF2B5EF4-FFF2-40B4-BE49-F238E27FC236}">
              <a16:creationId xmlns:a16="http://schemas.microsoft.com/office/drawing/2014/main" id="{D95C1F2E-85B6-4170-B0D8-93CCF272374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4018" name="Text Box 192">
          <a:extLst>
            <a:ext uri="{FF2B5EF4-FFF2-40B4-BE49-F238E27FC236}">
              <a16:creationId xmlns:a16="http://schemas.microsoft.com/office/drawing/2014/main" id="{5C634C16-0BF2-4998-BAFC-9D44BDD334C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222</xdr:row>
      <xdr:rowOff>0</xdr:rowOff>
    </xdr:from>
    <xdr:ext cx="10372" cy="228955"/>
    <xdr:sp macro="" textlink="">
      <xdr:nvSpPr>
        <xdr:cNvPr id="4019" name="Text Box 192">
          <a:extLst>
            <a:ext uri="{FF2B5EF4-FFF2-40B4-BE49-F238E27FC236}">
              <a16:creationId xmlns:a16="http://schemas.microsoft.com/office/drawing/2014/main" id="{B1084441-D84A-41DE-87BF-12F9CBE422B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4020" name="Text Box 192">
          <a:extLst>
            <a:ext uri="{FF2B5EF4-FFF2-40B4-BE49-F238E27FC236}">
              <a16:creationId xmlns:a16="http://schemas.microsoft.com/office/drawing/2014/main" id="{EBE1B369-4F8A-42EE-A5E5-F1A9242D424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4021" name="Text Box 192">
          <a:extLst>
            <a:ext uri="{FF2B5EF4-FFF2-40B4-BE49-F238E27FC236}">
              <a16:creationId xmlns:a16="http://schemas.microsoft.com/office/drawing/2014/main" id="{38471DBA-11DB-41F7-A89A-4B2ABE6693E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4022" name="Text Box 192">
          <a:extLst>
            <a:ext uri="{FF2B5EF4-FFF2-40B4-BE49-F238E27FC236}">
              <a16:creationId xmlns:a16="http://schemas.microsoft.com/office/drawing/2014/main" id="{24AA14B9-45C0-4F1B-BD1A-8845F0E97BF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4023" name="Text Box 192">
          <a:extLst>
            <a:ext uri="{FF2B5EF4-FFF2-40B4-BE49-F238E27FC236}">
              <a16:creationId xmlns:a16="http://schemas.microsoft.com/office/drawing/2014/main" id="{591475E4-302B-4621-9677-A994789C3EE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4024" name="Text Box 192">
          <a:extLst>
            <a:ext uri="{FF2B5EF4-FFF2-40B4-BE49-F238E27FC236}">
              <a16:creationId xmlns:a16="http://schemas.microsoft.com/office/drawing/2014/main" id="{7C50B0FB-CD03-4322-B76D-53DD5D4DCB3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223</xdr:row>
      <xdr:rowOff>0</xdr:rowOff>
    </xdr:from>
    <xdr:ext cx="10372" cy="228955"/>
    <xdr:sp macro="" textlink="">
      <xdr:nvSpPr>
        <xdr:cNvPr id="4025" name="Text Box 192">
          <a:extLst>
            <a:ext uri="{FF2B5EF4-FFF2-40B4-BE49-F238E27FC236}">
              <a16:creationId xmlns:a16="http://schemas.microsoft.com/office/drawing/2014/main" id="{1B6F6B18-E5B1-47B7-8DDE-D9C67AA4B59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225</xdr:row>
      <xdr:rowOff>0</xdr:rowOff>
    </xdr:from>
    <xdr:ext cx="10372" cy="228955"/>
    <xdr:sp macro="" textlink="">
      <xdr:nvSpPr>
        <xdr:cNvPr id="4026" name="Text Box 192">
          <a:extLst>
            <a:ext uri="{FF2B5EF4-FFF2-40B4-BE49-F238E27FC236}">
              <a16:creationId xmlns:a16="http://schemas.microsoft.com/office/drawing/2014/main" id="{037A55F0-18CC-4A0D-A064-1204250C4E5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4027" name="Text Box 192">
          <a:extLst>
            <a:ext uri="{FF2B5EF4-FFF2-40B4-BE49-F238E27FC236}">
              <a16:creationId xmlns:a16="http://schemas.microsoft.com/office/drawing/2014/main" id="{1C5DE2A5-915F-480D-BC70-1186D5B499C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225</xdr:row>
      <xdr:rowOff>0</xdr:rowOff>
    </xdr:from>
    <xdr:ext cx="10372" cy="228955"/>
    <xdr:sp macro="" textlink="">
      <xdr:nvSpPr>
        <xdr:cNvPr id="4028" name="Text Box 192">
          <a:extLst>
            <a:ext uri="{FF2B5EF4-FFF2-40B4-BE49-F238E27FC236}">
              <a16:creationId xmlns:a16="http://schemas.microsoft.com/office/drawing/2014/main" id="{8DE18858-EA74-4230-A035-29CD622AE5A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4029" name="Text Box 192">
          <a:extLst>
            <a:ext uri="{FF2B5EF4-FFF2-40B4-BE49-F238E27FC236}">
              <a16:creationId xmlns:a16="http://schemas.microsoft.com/office/drawing/2014/main" id="{421FFA60-D99B-4F4B-A2AB-73D7F4DC904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4030" name="Text Box 192">
          <a:extLst>
            <a:ext uri="{FF2B5EF4-FFF2-40B4-BE49-F238E27FC236}">
              <a16:creationId xmlns:a16="http://schemas.microsoft.com/office/drawing/2014/main" id="{0FD6415B-0A75-44C5-A20F-CAB192C7294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4031" name="Text Box 192">
          <a:extLst>
            <a:ext uri="{FF2B5EF4-FFF2-40B4-BE49-F238E27FC236}">
              <a16:creationId xmlns:a16="http://schemas.microsoft.com/office/drawing/2014/main" id="{FB294E12-2F49-4434-BC12-A823CE4EF9A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4032" name="Text Box 192">
          <a:extLst>
            <a:ext uri="{FF2B5EF4-FFF2-40B4-BE49-F238E27FC236}">
              <a16:creationId xmlns:a16="http://schemas.microsoft.com/office/drawing/2014/main" id="{B28F6438-3232-400C-A3C8-C27B9AAD076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4033" name="Text Box 192">
          <a:extLst>
            <a:ext uri="{FF2B5EF4-FFF2-40B4-BE49-F238E27FC236}">
              <a16:creationId xmlns:a16="http://schemas.microsoft.com/office/drawing/2014/main" id="{8873C361-A03E-4CCB-9F0F-B8CABB83DC7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4034" name="Text Box 192">
          <a:extLst>
            <a:ext uri="{FF2B5EF4-FFF2-40B4-BE49-F238E27FC236}">
              <a16:creationId xmlns:a16="http://schemas.microsoft.com/office/drawing/2014/main" id="{951959D6-0E39-421B-BE2C-FBD23D386E3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4035" name="Text Box 192">
          <a:extLst>
            <a:ext uri="{FF2B5EF4-FFF2-40B4-BE49-F238E27FC236}">
              <a16:creationId xmlns:a16="http://schemas.microsoft.com/office/drawing/2014/main" id="{D31E5FB9-9148-4908-86A5-5F8283C8B24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4036" name="Text Box 192">
          <a:extLst>
            <a:ext uri="{FF2B5EF4-FFF2-40B4-BE49-F238E27FC236}">
              <a16:creationId xmlns:a16="http://schemas.microsoft.com/office/drawing/2014/main" id="{138BB4C2-9BBC-4729-A412-A21CCF78F53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226</xdr:row>
      <xdr:rowOff>0</xdr:rowOff>
    </xdr:from>
    <xdr:ext cx="10372" cy="228955"/>
    <xdr:sp macro="" textlink="">
      <xdr:nvSpPr>
        <xdr:cNvPr id="4037" name="Text Box 192">
          <a:extLst>
            <a:ext uri="{FF2B5EF4-FFF2-40B4-BE49-F238E27FC236}">
              <a16:creationId xmlns:a16="http://schemas.microsoft.com/office/drawing/2014/main" id="{2288C962-19AE-4767-8BC1-53DB426D4F2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4038" name="Text Box 192">
          <a:extLst>
            <a:ext uri="{FF2B5EF4-FFF2-40B4-BE49-F238E27FC236}">
              <a16:creationId xmlns:a16="http://schemas.microsoft.com/office/drawing/2014/main" id="{8A1A5129-1466-4420-AFB7-5BFC1D01506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4039" name="Text Box 192">
          <a:extLst>
            <a:ext uri="{FF2B5EF4-FFF2-40B4-BE49-F238E27FC236}">
              <a16:creationId xmlns:a16="http://schemas.microsoft.com/office/drawing/2014/main" id="{9467234E-CF64-4C90-A890-BD7128A6CF2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4040" name="Text Box 192">
          <a:extLst>
            <a:ext uri="{FF2B5EF4-FFF2-40B4-BE49-F238E27FC236}">
              <a16:creationId xmlns:a16="http://schemas.microsoft.com/office/drawing/2014/main" id="{0B69A426-524A-4205-A4A8-63CD00DB93D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4041" name="Text Box 192">
          <a:extLst>
            <a:ext uri="{FF2B5EF4-FFF2-40B4-BE49-F238E27FC236}">
              <a16:creationId xmlns:a16="http://schemas.microsoft.com/office/drawing/2014/main" id="{FA4CA395-0A5E-4438-8B7F-4295479F0A2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4042" name="Text Box 192">
          <a:extLst>
            <a:ext uri="{FF2B5EF4-FFF2-40B4-BE49-F238E27FC236}">
              <a16:creationId xmlns:a16="http://schemas.microsoft.com/office/drawing/2014/main" id="{41F6F0F5-5B97-42DC-B42D-79FED2354D7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4043" name="Text Box 192">
          <a:extLst>
            <a:ext uri="{FF2B5EF4-FFF2-40B4-BE49-F238E27FC236}">
              <a16:creationId xmlns:a16="http://schemas.microsoft.com/office/drawing/2014/main" id="{B822BA03-FDE8-49B3-A3A1-4CA4B793D4E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4044" name="Text Box 192">
          <a:extLst>
            <a:ext uri="{FF2B5EF4-FFF2-40B4-BE49-F238E27FC236}">
              <a16:creationId xmlns:a16="http://schemas.microsoft.com/office/drawing/2014/main" id="{DB0EAE22-6905-4BDE-A150-FA093275256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4045" name="Text Box 192">
          <a:extLst>
            <a:ext uri="{FF2B5EF4-FFF2-40B4-BE49-F238E27FC236}">
              <a16:creationId xmlns:a16="http://schemas.microsoft.com/office/drawing/2014/main" id="{AC475616-0797-4981-A2A0-853E3306629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227</xdr:row>
      <xdr:rowOff>0</xdr:rowOff>
    </xdr:from>
    <xdr:ext cx="10372" cy="228955"/>
    <xdr:sp macro="" textlink="">
      <xdr:nvSpPr>
        <xdr:cNvPr id="4046" name="Text Box 192">
          <a:extLst>
            <a:ext uri="{FF2B5EF4-FFF2-40B4-BE49-F238E27FC236}">
              <a16:creationId xmlns:a16="http://schemas.microsoft.com/office/drawing/2014/main" id="{EA793F45-9E04-4019-9F62-C09A692C4AB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4047" name="Text Box 192">
          <a:extLst>
            <a:ext uri="{FF2B5EF4-FFF2-40B4-BE49-F238E27FC236}">
              <a16:creationId xmlns:a16="http://schemas.microsoft.com/office/drawing/2014/main" id="{8F03BCB6-74A4-49E4-BE48-94BC2A7036D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4048" name="Text Box 192">
          <a:extLst>
            <a:ext uri="{FF2B5EF4-FFF2-40B4-BE49-F238E27FC236}">
              <a16:creationId xmlns:a16="http://schemas.microsoft.com/office/drawing/2014/main" id="{49291D29-9603-44A1-A322-55435F471DD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4049" name="Text Box 192">
          <a:extLst>
            <a:ext uri="{FF2B5EF4-FFF2-40B4-BE49-F238E27FC236}">
              <a16:creationId xmlns:a16="http://schemas.microsoft.com/office/drawing/2014/main" id="{7737E282-D63C-4EC4-AA48-3C384067AA6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4050" name="Text Box 192">
          <a:extLst>
            <a:ext uri="{FF2B5EF4-FFF2-40B4-BE49-F238E27FC236}">
              <a16:creationId xmlns:a16="http://schemas.microsoft.com/office/drawing/2014/main" id="{394ABA31-A4A0-4354-9E13-F5DD0A45989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4051" name="Text Box 192">
          <a:extLst>
            <a:ext uri="{FF2B5EF4-FFF2-40B4-BE49-F238E27FC236}">
              <a16:creationId xmlns:a16="http://schemas.microsoft.com/office/drawing/2014/main" id="{B87E1FF9-1F95-4FAC-BADB-8690CA15CC8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228</xdr:row>
      <xdr:rowOff>0</xdr:rowOff>
    </xdr:from>
    <xdr:ext cx="10372" cy="228955"/>
    <xdr:sp macro="" textlink="">
      <xdr:nvSpPr>
        <xdr:cNvPr id="4052" name="Text Box 192">
          <a:extLst>
            <a:ext uri="{FF2B5EF4-FFF2-40B4-BE49-F238E27FC236}">
              <a16:creationId xmlns:a16="http://schemas.microsoft.com/office/drawing/2014/main" id="{36D1E692-4391-49E3-A8A5-7641359B8CB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230</xdr:row>
      <xdr:rowOff>0</xdr:rowOff>
    </xdr:from>
    <xdr:ext cx="10372" cy="228955"/>
    <xdr:sp macro="" textlink="">
      <xdr:nvSpPr>
        <xdr:cNvPr id="4053" name="Text Box 192">
          <a:extLst>
            <a:ext uri="{FF2B5EF4-FFF2-40B4-BE49-F238E27FC236}">
              <a16:creationId xmlns:a16="http://schemas.microsoft.com/office/drawing/2014/main" id="{2720F3EE-7BE2-4C61-97D1-9E595603022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4054" name="Text Box 192">
          <a:extLst>
            <a:ext uri="{FF2B5EF4-FFF2-40B4-BE49-F238E27FC236}">
              <a16:creationId xmlns:a16="http://schemas.microsoft.com/office/drawing/2014/main" id="{F7C60821-B6D1-4685-9040-38A782BF8CF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230</xdr:row>
      <xdr:rowOff>0</xdr:rowOff>
    </xdr:from>
    <xdr:ext cx="10372" cy="228955"/>
    <xdr:sp macro="" textlink="">
      <xdr:nvSpPr>
        <xdr:cNvPr id="4055" name="Text Box 192">
          <a:extLst>
            <a:ext uri="{FF2B5EF4-FFF2-40B4-BE49-F238E27FC236}">
              <a16:creationId xmlns:a16="http://schemas.microsoft.com/office/drawing/2014/main" id="{3FD9BA3D-3BF0-4C98-9FE3-5E30B88C3F4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4056" name="Text Box 192">
          <a:extLst>
            <a:ext uri="{FF2B5EF4-FFF2-40B4-BE49-F238E27FC236}">
              <a16:creationId xmlns:a16="http://schemas.microsoft.com/office/drawing/2014/main" id="{1E5DAB8F-7A4B-4C8E-8EC4-9A2AAAAB9FC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4057" name="Text Box 192">
          <a:extLst>
            <a:ext uri="{FF2B5EF4-FFF2-40B4-BE49-F238E27FC236}">
              <a16:creationId xmlns:a16="http://schemas.microsoft.com/office/drawing/2014/main" id="{8488EA5A-3708-49A2-91AE-CC95ABA04EA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4058" name="Text Box 192">
          <a:extLst>
            <a:ext uri="{FF2B5EF4-FFF2-40B4-BE49-F238E27FC236}">
              <a16:creationId xmlns:a16="http://schemas.microsoft.com/office/drawing/2014/main" id="{6546F216-EE74-4741-9D2F-A70BA24C403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4059" name="Text Box 192">
          <a:extLst>
            <a:ext uri="{FF2B5EF4-FFF2-40B4-BE49-F238E27FC236}">
              <a16:creationId xmlns:a16="http://schemas.microsoft.com/office/drawing/2014/main" id="{E6E52C8F-073C-4950-821C-599858BEE86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4060" name="Text Box 192">
          <a:extLst>
            <a:ext uri="{FF2B5EF4-FFF2-40B4-BE49-F238E27FC236}">
              <a16:creationId xmlns:a16="http://schemas.microsoft.com/office/drawing/2014/main" id="{EB34AF0B-2DFA-4B3A-90B1-3F0C8CC528B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4061" name="Text Box 192">
          <a:extLst>
            <a:ext uri="{FF2B5EF4-FFF2-40B4-BE49-F238E27FC236}">
              <a16:creationId xmlns:a16="http://schemas.microsoft.com/office/drawing/2014/main" id="{9327A7AA-413B-4373-8829-C6EA645AE6E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4062" name="Text Box 192">
          <a:extLst>
            <a:ext uri="{FF2B5EF4-FFF2-40B4-BE49-F238E27FC236}">
              <a16:creationId xmlns:a16="http://schemas.microsoft.com/office/drawing/2014/main" id="{36A82802-3D5A-4447-90AA-EEE3C8F70C2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4063" name="Text Box 192">
          <a:extLst>
            <a:ext uri="{FF2B5EF4-FFF2-40B4-BE49-F238E27FC236}">
              <a16:creationId xmlns:a16="http://schemas.microsoft.com/office/drawing/2014/main" id="{F13032B0-7233-4979-BBFD-4C077E46D40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231</xdr:row>
      <xdr:rowOff>0</xdr:rowOff>
    </xdr:from>
    <xdr:ext cx="10372" cy="228955"/>
    <xdr:sp macro="" textlink="">
      <xdr:nvSpPr>
        <xdr:cNvPr id="4064" name="Text Box 192">
          <a:extLst>
            <a:ext uri="{FF2B5EF4-FFF2-40B4-BE49-F238E27FC236}">
              <a16:creationId xmlns:a16="http://schemas.microsoft.com/office/drawing/2014/main" id="{0A8F2B66-7D56-4614-A103-37EE220731D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4065" name="Text Box 192">
          <a:extLst>
            <a:ext uri="{FF2B5EF4-FFF2-40B4-BE49-F238E27FC236}">
              <a16:creationId xmlns:a16="http://schemas.microsoft.com/office/drawing/2014/main" id="{67B0BEA6-1A92-4047-8FA4-CA4287346F5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4066" name="Text Box 192">
          <a:extLst>
            <a:ext uri="{FF2B5EF4-FFF2-40B4-BE49-F238E27FC236}">
              <a16:creationId xmlns:a16="http://schemas.microsoft.com/office/drawing/2014/main" id="{762C4498-D633-4FD6-96F5-F5E878FA19B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4067" name="Text Box 192">
          <a:extLst>
            <a:ext uri="{FF2B5EF4-FFF2-40B4-BE49-F238E27FC236}">
              <a16:creationId xmlns:a16="http://schemas.microsoft.com/office/drawing/2014/main" id="{FF98CB6D-275A-407E-8368-A1211A2DC5B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4068" name="Text Box 192">
          <a:extLst>
            <a:ext uri="{FF2B5EF4-FFF2-40B4-BE49-F238E27FC236}">
              <a16:creationId xmlns:a16="http://schemas.microsoft.com/office/drawing/2014/main" id="{3137711A-F537-4A3F-A965-ED2BB23E04D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4069" name="Text Box 192">
          <a:extLst>
            <a:ext uri="{FF2B5EF4-FFF2-40B4-BE49-F238E27FC236}">
              <a16:creationId xmlns:a16="http://schemas.microsoft.com/office/drawing/2014/main" id="{F87D2E7B-66BC-4486-A52F-AED59E87153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4070" name="Text Box 192">
          <a:extLst>
            <a:ext uri="{FF2B5EF4-FFF2-40B4-BE49-F238E27FC236}">
              <a16:creationId xmlns:a16="http://schemas.microsoft.com/office/drawing/2014/main" id="{6687E9FA-F3CB-4248-B81E-56C30DAEF3A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4071" name="Text Box 192">
          <a:extLst>
            <a:ext uri="{FF2B5EF4-FFF2-40B4-BE49-F238E27FC236}">
              <a16:creationId xmlns:a16="http://schemas.microsoft.com/office/drawing/2014/main" id="{111C3D37-634D-45E0-8BCF-D170BF7AB00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4072" name="Text Box 192">
          <a:extLst>
            <a:ext uri="{FF2B5EF4-FFF2-40B4-BE49-F238E27FC236}">
              <a16:creationId xmlns:a16="http://schemas.microsoft.com/office/drawing/2014/main" id="{E6665E98-F8E6-42B6-9689-B55A62B611E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232</xdr:row>
      <xdr:rowOff>0</xdr:rowOff>
    </xdr:from>
    <xdr:ext cx="10372" cy="228955"/>
    <xdr:sp macro="" textlink="">
      <xdr:nvSpPr>
        <xdr:cNvPr id="4073" name="Text Box 192">
          <a:extLst>
            <a:ext uri="{FF2B5EF4-FFF2-40B4-BE49-F238E27FC236}">
              <a16:creationId xmlns:a16="http://schemas.microsoft.com/office/drawing/2014/main" id="{D651766F-5A8F-4DB0-BC4B-0F3BE973082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4074" name="Text Box 192">
          <a:extLst>
            <a:ext uri="{FF2B5EF4-FFF2-40B4-BE49-F238E27FC236}">
              <a16:creationId xmlns:a16="http://schemas.microsoft.com/office/drawing/2014/main" id="{80E04C56-849C-41F0-8326-B0DC082CDA2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4075" name="Text Box 192">
          <a:extLst>
            <a:ext uri="{FF2B5EF4-FFF2-40B4-BE49-F238E27FC236}">
              <a16:creationId xmlns:a16="http://schemas.microsoft.com/office/drawing/2014/main" id="{BA404247-A38D-4E73-8431-6B62245E1DB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4076" name="Text Box 192">
          <a:extLst>
            <a:ext uri="{FF2B5EF4-FFF2-40B4-BE49-F238E27FC236}">
              <a16:creationId xmlns:a16="http://schemas.microsoft.com/office/drawing/2014/main" id="{DA3995AD-1B18-409E-87D6-C5EA8391524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4077" name="Text Box 192">
          <a:extLst>
            <a:ext uri="{FF2B5EF4-FFF2-40B4-BE49-F238E27FC236}">
              <a16:creationId xmlns:a16="http://schemas.microsoft.com/office/drawing/2014/main" id="{93A95804-3F85-4468-B21C-5D73DA28D1C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4078" name="Text Box 192">
          <a:extLst>
            <a:ext uri="{FF2B5EF4-FFF2-40B4-BE49-F238E27FC236}">
              <a16:creationId xmlns:a16="http://schemas.microsoft.com/office/drawing/2014/main" id="{F9A94AC1-622E-4A0F-BB42-899B65A55B8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4079" name="Text Box 192">
          <a:extLst>
            <a:ext uri="{FF2B5EF4-FFF2-40B4-BE49-F238E27FC236}">
              <a16:creationId xmlns:a16="http://schemas.microsoft.com/office/drawing/2014/main" id="{6F7C8487-BA56-4EB8-9C93-0A160B32872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4080" name="Text Box 192">
          <a:extLst>
            <a:ext uri="{FF2B5EF4-FFF2-40B4-BE49-F238E27FC236}">
              <a16:creationId xmlns:a16="http://schemas.microsoft.com/office/drawing/2014/main" id="{EA132789-88D9-413B-8810-E2D1166F6EB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4081" name="Text Box 192">
          <a:extLst>
            <a:ext uri="{FF2B5EF4-FFF2-40B4-BE49-F238E27FC236}">
              <a16:creationId xmlns:a16="http://schemas.microsoft.com/office/drawing/2014/main" id="{669950C6-3C13-47B8-97B8-C7C91FBEB5A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233</xdr:row>
      <xdr:rowOff>0</xdr:rowOff>
    </xdr:from>
    <xdr:ext cx="10372" cy="228955"/>
    <xdr:sp macro="" textlink="">
      <xdr:nvSpPr>
        <xdr:cNvPr id="4082" name="Text Box 192">
          <a:extLst>
            <a:ext uri="{FF2B5EF4-FFF2-40B4-BE49-F238E27FC236}">
              <a16:creationId xmlns:a16="http://schemas.microsoft.com/office/drawing/2014/main" id="{CCCF1F5F-5905-43F7-80A0-8A23B7EA300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4083" name="Text Box 192">
          <a:extLst>
            <a:ext uri="{FF2B5EF4-FFF2-40B4-BE49-F238E27FC236}">
              <a16:creationId xmlns:a16="http://schemas.microsoft.com/office/drawing/2014/main" id="{53D1F50D-EBA9-471A-A4EE-6799704184D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4084" name="Text Box 192">
          <a:extLst>
            <a:ext uri="{FF2B5EF4-FFF2-40B4-BE49-F238E27FC236}">
              <a16:creationId xmlns:a16="http://schemas.microsoft.com/office/drawing/2014/main" id="{7D41D70D-0EDE-47FE-AC97-689FEE8533B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4085" name="Text Box 192">
          <a:extLst>
            <a:ext uri="{FF2B5EF4-FFF2-40B4-BE49-F238E27FC236}">
              <a16:creationId xmlns:a16="http://schemas.microsoft.com/office/drawing/2014/main" id="{888E611C-AA92-4BE8-8814-3C4023C85AE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4086" name="Text Box 192">
          <a:extLst>
            <a:ext uri="{FF2B5EF4-FFF2-40B4-BE49-F238E27FC236}">
              <a16:creationId xmlns:a16="http://schemas.microsoft.com/office/drawing/2014/main" id="{603F3F45-5288-4DA3-9CC8-7EE507937B4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4087" name="Text Box 192">
          <a:extLst>
            <a:ext uri="{FF2B5EF4-FFF2-40B4-BE49-F238E27FC236}">
              <a16:creationId xmlns:a16="http://schemas.microsoft.com/office/drawing/2014/main" id="{666ED113-A930-447D-A7D7-C13343C93B2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4088" name="Text Box 192">
          <a:extLst>
            <a:ext uri="{FF2B5EF4-FFF2-40B4-BE49-F238E27FC236}">
              <a16:creationId xmlns:a16="http://schemas.microsoft.com/office/drawing/2014/main" id="{B1A82B83-322B-47A2-A5E3-E728F9620D4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4089" name="Text Box 192">
          <a:extLst>
            <a:ext uri="{FF2B5EF4-FFF2-40B4-BE49-F238E27FC236}">
              <a16:creationId xmlns:a16="http://schemas.microsoft.com/office/drawing/2014/main" id="{20D39DA6-1981-4A59-8534-A1123E2407C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4090" name="Text Box 192">
          <a:extLst>
            <a:ext uri="{FF2B5EF4-FFF2-40B4-BE49-F238E27FC236}">
              <a16:creationId xmlns:a16="http://schemas.microsoft.com/office/drawing/2014/main" id="{24E487D3-FB46-4955-AE54-99135AA730C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234</xdr:row>
      <xdr:rowOff>0</xdr:rowOff>
    </xdr:from>
    <xdr:ext cx="10372" cy="228955"/>
    <xdr:sp macro="" textlink="">
      <xdr:nvSpPr>
        <xdr:cNvPr id="4091" name="Text Box 192">
          <a:extLst>
            <a:ext uri="{FF2B5EF4-FFF2-40B4-BE49-F238E27FC236}">
              <a16:creationId xmlns:a16="http://schemas.microsoft.com/office/drawing/2014/main" id="{9DDF3FCC-983D-48B5-8F60-0B6753880DB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4092" name="Text Box 192">
          <a:extLst>
            <a:ext uri="{FF2B5EF4-FFF2-40B4-BE49-F238E27FC236}">
              <a16:creationId xmlns:a16="http://schemas.microsoft.com/office/drawing/2014/main" id="{EF753BD3-6077-4811-AD25-E16B91B62E8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4093" name="Text Box 192">
          <a:extLst>
            <a:ext uri="{FF2B5EF4-FFF2-40B4-BE49-F238E27FC236}">
              <a16:creationId xmlns:a16="http://schemas.microsoft.com/office/drawing/2014/main" id="{8963B97F-5454-4AA8-A444-C4525309A5A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4094" name="Text Box 192">
          <a:extLst>
            <a:ext uri="{FF2B5EF4-FFF2-40B4-BE49-F238E27FC236}">
              <a16:creationId xmlns:a16="http://schemas.microsoft.com/office/drawing/2014/main" id="{72280CC2-1496-4162-BE1E-89ABABDEAA6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4095" name="Text Box 192">
          <a:extLst>
            <a:ext uri="{FF2B5EF4-FFF2-40B4-BE49-F238E27FC236}">
              <a16:creationId xmlns:a16="http://schemas.microsoft.com/office/drawing/2014/main" id="{DF0730A7-CC97-4014-8D48-8C5D9698EFD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4096" name="Text Box 192">
          <a:extLst>
            <a:ext uri="{FF2B5EF4-FFF2-40B4-BE49-F238E27FC236}">
              <a16:creationId xmlns:a16="http://schemas.microsoft.com/office/drawing/2014/main" id="{5AD1A677-86D7-44B3-92A3-0399FB9E12E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4097" name="Text Box 192">
          <a:extLst>
            <a:ext uri="{FF2B5EF4-FFF2-40B4-BE49-F238E27FC236}">
              <a16:creationId xmlns:a16="http://schemas.microsoft.com/office/drawing/2014/main" id="{ED634297-22AB-498D-BBF6-859666971D1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4098" name="Text Box 192">
          <a:extLst>
            <a:ext uri="{FF2B5EF4-FFF2-40B4-BE49-F238E27FC236}">
              <a16:creationId xmlns:a16="http://schemas.microsoft.com/office/drawing/2014/main" id="{7C924F3B-73B6-4745-92DA-49DD7E70DAF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4099" name="Text Box 192">
          <a:extLst>
            <a:ext uri="{FF2B5EF4-FFF2-40B4-BE49-F238E27FC236}">
              <a16:creationId xmlns:a16="http://schemas.microsoft.com/office/drawing/2014/main" id="{701F8E74-8758-4512-A244-9FC2CBA7171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235</xdr:row>
      <xdr:rowOff>0</xdr:rowOff>
    </xdr:from>
    <xdr:ext cx="10372" cy="228955"/>
    <xdr:sp macro="" textlink="">
      <xdr:nvSpPr>
        <xdr:cNvPr id="4100" name="Text Box 192">
          <a:extLst>
            <a:ext uri="{FF2B5EF4-FFF2-40B4-BE49-F238E27FC236}">
              <a16:creationId xmlns:a16="http://schemas.microsoft.com/office/drawing/2014/main" id="{58D23CFE-8F6C-467B-B6C7-CF572DDF67C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4101" name="Text Box 192">
          <a:extLst>
            <a:ext uri="{FF2B5EF4-FFF2-40B4-BE49-F238E27FC236}">
              <a16:creationId xmlns:a16="http://schemas.microsoft.com/office/drawing/2014/main" id="{1F5CE255-49F3-4C0D-8100-F6D0D769704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4102" name="Text Box 192">
          <a:extLst>
            <a:ext uri="{FF2B5EF4-FFF2-40B4-BE49-F238E27FC236}">
              <a16:creationId xmlns:a16="http://schemas.microsoft.com/office/drawing/2014/main" id="{9E8B9A3E-EAF9-4FEB-893D-E27B36FA623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4103" name="Text Box 192">
          <a:extLst>
            <a:ext uri="{FF2B5EF4-FFF2-40B4-BE49-F238E27FC236}">
              <a16:creationId xmlns:a16="http://schemas.microsoft.com/office/drawing/2014/main" id="{CB72F223-22F8-4F28-88B9-F2774CB32B3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4104" name="Text Box 192">
          <a:extLst>
            <a:ext uri="{FF2B5EF4-FFF2-40B4-BE49-F238E27FC236}">
              <a16:creationId xmlns:a16="http://schemas.microsoft.com/office/drawing/2014/main" id="{B9AE1C48-1739-4CB9-8211-255F16D632C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4105" name="Text Box 192">
          <a:extLst>
            <a:ext uri="{FF2B5EF4-FFF2-40B4-BE49-F238E27FC236}">
              <a16:creationId xmlns:a16="http://schemas.microsoft.com/office/drawing/2014/main" id="{7AF73FF3-225B-490E-BDC2-82DCF5FAA53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4106" name="Text Box 192">
          <a:extLst>
            <a:ext uri="{FF2B5EF4-FFF2-40B4-BE49-F238E27FC236}">
              <a16:creationId xmlns:a16="http://schemas.microsoft.com/office/drawing/2014/main" id="{D739A881-E343-436A-87A8-5431515DCDC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4107" name="Text Box 192">
          <a:extLst>
            <a:ext uri="{FF2B5EF4-FFF2-40B4-BE49-F238E27FC236}">
              <a16:creationId xmlns:a16="http://schemas.microsoft.com/office/drawing/2014/main" id="{C0A8C58B-5BEC-4E62-ADD0-82A4FEC6098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4108" name="Text Box 192">
          <a:extLst>
            <a:ext uri="{FF2B5EF4-FFF2-40B4-BE49-F238E27FC236}">
              <a16:creationId xmlns:a16="http://schemas.microsoft.com/office/drawing/2014/main" id="{46EA64A7-9BF5-48D8-BE3B-F414DAA770E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236</xdr:row>
      <xdr:rowOff>0</xdr:rowOff>
    </xdr:from>
    <xdr:ext cx="10372" cy="228955"/>
    <xdr:sp macro="" textlink="">
      <xdr:nvSpPr>
        <xdr:cNvPr id="4109" name="Text Box 192">
          <a:extLst>
            <a:ext uri="{FF2B5EF4-FFF2-40B4-BE49-F238E27FC236}">
              <a16:creationId xmlns:a16="http://schemas.microsoft.com/office/drawing/2014/main" id="{5AEE2F8D-782D-4FE8-BECE-F59E7602823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4110" name="Text Box 192">
          <a:extLst>
            <a:ext uri="{FF2B5EF4-FFF2-40B4-BE49-F238E27FC236}">
              <a16:creationId xmlns:a16="http://schemas.microsoft.com/office/drawing/2014/main" id="{D87237A8-6EED-4E40-BDFE-E8C9C665F98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4111" name="Text Box 192">
          <a:extLst>
            <a:ext uri="{FF2B5EF4-FFF2-40B4-BE49-F238E27FC236}">
              <a16:creationId xmlns:a16="http://schemas.microsoft.com/office/drawing/2014/main" id="{035A3A24-69B7-4540-A71A-83B70632363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4112" name="Text Box 192">
          <a:extLst>
            <a:ext uri="{FF2B5EF4-FFF2-40B4-BE49-F238E27FC236}">
              <a16:creationId xmlns:a16="http://schemas.microsoft.com/office/drawing/2014/main" id="{06359B06-04D9-4D0B-BAB4-B0508F9AA0C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4113" name="Text Box 192">
          <a:extLst>
            <a:ext uri="{FF2B5EF4-FFF2-40B4-BE49-F238E27FC236}">
              <a16:creationId xmlns:a16="http://schemas.microsoft.com/office/drawing/2014/main" id="{AA1176CF-88EF-43DC-BFD1-46215CBAC40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4114" name="Text Box 192">
          <a:extLst>
            <a:ext uri="{FF2B5EF4-FFF2-40B4-BE49-F238E27FC236}">
              <a16:creationId xmlns:a16="http://schemas.microsoft.com/office/drawing/2014/main" id="{8E01F54A-4054-4482-B904-5AFE81962A0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4115" name="Text Box 192">
          <a:extLst>
            <a:ext uri="{FF2B5EF4-FFF2-40B4-BE49-F238E27FC236}">
              <a16:creationId xmlns:a16="http://schemas.microsoft.com/office/drawing/2014/main" id="{A9F54A00-A6DB-4361-91DC-62285D1A4F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4116" name="Text Box 192">
          <a:extLst>
            <a:ext uri="{FF2B5EF4-FFF2-40B4-BE49-F238E27FC236}">
              <a16:creationId xmlns:a16="http://schemas.microsoft.com/office/drawing/2014/main" id="{DC3A1CB8-BC96-43D8-97C7-BEFFDCB182A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4117" name="Text Box 192">
          <a:extLst>
            <a:ext uri="{FF2B5EF4-FFF2-40B4-BE49-F238E27FC236}">
              <a16:creationId xmlns:a16="http://schemas.microsoft.com/office/drawing/2014/main" id="{6FCADE44-1B06-420B-9AB9-2EE60B23926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237</xdr:row>
      <xdr:rowOff>0</xdr:rowOff>
    </xdr:from>
    <xdr:ext cx="10372" cy="228955"/>
    <xdr:sp macro="" textlink="">
      <xdr:nvSpPr>
        <xdr:cNvPr id="4118" name="Text Box 192">
          <a:extLst>
            <a:ext uri="{FF2B5EF4-FFF2-40B4-BE49-F238E27FC236}">
              <a16:creationId xmlns:a16="http://schemas.microsoft.com/office/drawing/2014/main" id="{71814371-BA8D-4072-813B-7C93BB03888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4119" name="Text Box 192">
          <a:extLst>
            <a:ext uri="{FF2B5EF4-FFF2-40B4-BE49-F238E27FC236}">
              <a16:creationId xmlns:a16="http://schemas.microsoft.com/office/drawing/2014/main" id="{EA002C56-61B2-4D06-B25F-4A37F67F4D8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4120" name="Text Box 192">
          <a:extLst>
            <a:ext uri="{FF2B5EF4-FFF2-40B4-BE49-F238E27FC236}">
              <a16:creationId xmlns:a16="http://schemas.microsoft.com/office/drawing/2014/main" id="{70707FD9-FFF6-4CA1-AD91-BBE058350BB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4121" name="Text Box 192">
          <a:extLst>
            <a:ext uri="{FF2B5EF4-FFF2-40B4-BE49-F238E27FC236}">
              <a16:creationId xmlns:a16="http://schemas.microsoft.com/office/drawing/2014/main" id="{435A0F2F-7774-4566-98C0-8E982BC06FD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4122" name="Text Box 192">
          <a:extLst>
            <a:ext uri="{FF2B5EF4-FFF2-40B4-BE49-F238E27FC236}">
              <a16:creationId xmlns:a16="http://schemas.microsoft.com/office/drawing/2014/main" id="{174799F9-275B-4B0A-945B-EFF46D401A1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4123" name="Text Box 192">
          <a:extLst>
            <a:ext uri="{FF2B5EF4-FFF2-40B4-BE49-F238E27FC236}">
              <a16:creationId xmlns:a16="http://schemas.microsoft.com/office/drawing/2014/main" id="{2B658B47-AD7B-435C-8E8A-1DF9F753926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4124" name="Text Box 192">
          <a:extLst>
            <a:ext uri="{FF2B5EF4-FFF2-40B4-BE49-F238E27FC236}">
              <a16:creationId xmlns:a16="http://schemas.microsoft.com/office/drawing/2014/main" id="{2FAE1D12-EBFF-4E5D-95CC-4C08BEF96FC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4125" name="Text Box 192">
          <a:extLst>
            <a:ext uri="{FF2B5EF4-FFF2-40B4-BE49-F238E27FC236}">
              <a16:creationId xmlns:a16="http://schemas.microsoft.com/office/drawing/2014/main" id="{959903CF-B8ED-4A8A-9D0D-333835E72F7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4126" name="Text Box 192">
          <a:extLst>
            <a:ext uri="{FF2B5EF4-FFF2-40B4-BE49-F238E27FC236}">
              <a16:creationId xmlns:a16="http://schemas.microsoft.com/office/drawing/2014/main" id="{49527A2E-89FA-44D9-857B-CC328DAEAC5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238</xdr:row>
      <xdr:rowOff>0</xdr:rowOff>
    </xdr:from>
    <xdr:ext cx="10372" cy="228955"/>
    <xdr:sp macro="" textlink="">
      <xdr:nvSpPr>
        <xdr:cNvPr id="4127" name="Text Box 192">
          <a:extLst>
            <a:ext uri="{FF2B5EF4-FFF2-40B4-BE49-F238E27FC236}">
              <a16:creationId xmlns:a16="http://schemas.microsoft.com/office/drawing/2014/main" id="{7EA47F6A-7EA4-493A-8B75-93B5318DEC1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4128" name="Text Box 192">
          <a:extLst>
            <a:ext uri="{FF2B5EF4-FFF2-40B4-BE49-F238E27FC236}">
              <a16:creationId xmlns:a16="http://schemas.microsoft.com/office/drawing/2014/main" id="{3F60DD75-D873-409A-8C6F-6FBAE3CF0AF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4129" name="Text Box 192">
          <a:extLst>
            <a:ext uri="{FF2B5EF4-FFF2-40B4-BE49-F238E27FC236}">
              <a16:creationId xmlns:a16="http://schemas.microsoft.com/office/drawing/2014/main" id="{921A051B-4196-4508-956C-B4E9810A88B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4130" name="Text Box 192">
          <a:extLst>
            <a:ext uri="{FF2B5EF4-FFF2-40B4-BE49-F238E27FC236}">
              <a16:creationId xmlns:a16="http://schemas.microsoft.com/office/drawing/2014/main" id="{202E66AD-EBB7-4D76-95D2-45FF7E8B1D8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4131" name="Text Box 192">
          <a:extLst>
            <a:ext uri="{FF2B5EF4-FFF2-40B4-BE49-F238E27FC236}">
              <a16:creationId xmlns:a16="http://schemas.microsoft.com/office/drawing/2014/main" id="{AC274295-F5F4-46BE-8775-7E44953CABB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4132" name="Text Box 192">
          <a:extLst>
            <a:ext uri="{FF2B5EF4-FFF2-40B4-BE49-F238E27FC236}">
              <a16:creationId xmlns:a16="http://schemas.microsoft.com/office/drawing/2014/main" id="{05C23F37-902F-4763-8EFB-3E7613290EF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4133" name="Text Box 192">
          <a:extLst>
            <a:ext uri="{FF2B5EF4-FFF2-40B4-BE49-F238E27FC236}">
              <a16:creationId xmlns:a16="http://schemas.microsoft.com/office/drawing/2014/main" id="{102662C0-87C4-4C6D-96C2-C8C2403391A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4134" name="Text Box 192">
          <a:extLst>
            <a:ext uri="{FF2B5EF4-FFF2-40B4-BE49-F238E27FC236}">
              <a16:creationId xmlns:a16="http://schemas.microsoft.com/office/drawing/2014/main" id="{27688F68-C7BD-4107-9891-0C73218B4BA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4135" name="Text Box 192">
          <a:extLst>
            <a:ext uri="{FF2B5EF4-FFF2-40B4-BE49-F238E27FC236}">
              <a16:creationId xmlns:a16="http://schemas.microsoft.com/office/drawing/2014/main" id="{6EB030FF-867B-4989-B46F-9F629102E33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239</xdr:row>
      <xdr:rowOff>0</xdr:rowOff>
    </xdr:from>
    <xdr:ext cx="10372" cy="228955"/>
    <xdr:sp macro="" textlink="">
      <xdr:nvSpPr>
        <xdr:cNvPr id="4136" name="Text Box 192">
          <a:extLst>
            <a:ext uri="{FF2B5EF4-FFF2-40B4-BE49-F238E27FC236}">
              <a16:creationId xmlns:a16="http://schemas.microsoft.com/office/drawing/2014/main" id="{C7F332A3-37B0-4A07-AD66-2A29A43585C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4137" name="Text Box 192">
          <a:extLst>
            <a:ext uri="{FF2B5EF4-FFF2-40B4-BE49-F238E27FC236}">
              <a16:creationId xmlns:a16="http://schemas.microsoft.com/office/drawing/2014/main" id="{6F945F95-B97C-4B6D-BDE3-FDCC40EA69A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4138" name="Text Box 192">
          <a:extLst>
            <a:ext uri="{FF2B5EF4-FFF2-40B4-BE49-F238E27FC236}">
              <a16:creationId xmlns:a16="http://schemas.microsoft.com/office/drawing/2014/main" id="{26D86293-1D64-40C9-9F8D-A71AC1A6C4C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4139" name="Text Box 192">
          <a:extLst>
            <a:ext uri="{FF2B5EF4-FFF2-40B4-BE49-F238E27FC236}">
              <a16:creationId xmlns:a16="http://schemas.microsoft.com/office/drawing/2014/main" id="{0B245A0A-F186-4CFE-8545-6765B92C8FF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4140" name="Text Box 192">
          <a:extLst>
            <a:ext uri="{FF2B5EF4-FFF2-40B4-BE49-F238E27FC236}">
              <a16:creationId xmlns:a16="http://schemas.microsoft.com/office/drawing/2014/main" id="{D7C3DFC4-ABC8-4302-9F75-2EA28F341E4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4141" name="Text Box 192">
          <a:extLst>
            <a:ext uri="{FF2B5EF4-FFF2-40B4-BE49-F238E27FC236}">
              <a16:creationId xmlns:a16="http://schemas.microsoft.com/office/drawing/2014/main" id="{06F2BA17-68BD-4029-A672-0BCD4F5B14A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4142" name="Text Box 192">
          <a:extLst>
            <a:ext uri="{FF2B5EF4-FFF2-40B4-BE49-F238E27FC236}">
              <a16:creationId xmlns:a16="http://schemas.microsoft.com/office/drawing/2014/main" id="{83676AD8-DF8F-4C1A-AC69-ABD7CA63EA1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4143" name="Text Box 192">
          <a:extLst>
            <a:ext uri="{FF2B5EF4-FFF2-40B4-BE49-F238E27FC236}">
              <a16:creationId xmlns:a16="http://schemas.microsoft.com/office/drawing/2014/main" id="{D6464357-3B6F-4B07-BD2B-11B1D06E1B5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4144" name="Text Box 192">
          <a:extLst>
            <a:ext uri="{FF2B5EF4-FFF2-40B4-BE49-F238E27FC236}">
              <a16:creationId xmlns:a16="http://schemas.microsoft.com/office/drawing/2014/main" id="{2BAEC110-5E4F-4C29-9221-2537EE89106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240</xdr:row>
      <xdr:rowOff>0</xdr:rowOff>
    </xdr:from>
    <xdr:ext cx="10372" cy="228955"/>
    <xdr:sp macro="" textlink="">
      <xdr:nvSpPr>
        <xdr:cNvPr id="4145" name="Text Box 192">
          <a:extLst>
            <a:ext uri="{FF2B5EF4-FFF2-40B4-BE49-F238E27FC236}">
              <a16:creationId xmlns:a16="http://schemas.microsoft.com/office/drawing/2014/main" id="{50188B4B-E032-426A-99F2-E2FFDB836BB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4146" name="Text Box 192">
          <a:extLst>
            <a:ext uri="{FF2B5EF4-FFF2-40B4-BE49-F238E27FC236}">
              <a16:creationId xmlns:a16="http://schemas.microsoft.com/office/drawing/2014/main" id="{ACEA5763-3AE3-47F0-ABF8-7716822B170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4147" name="Text Box 192">
          <a:extLst>
            <a:ext uri="{FF2B5EF4-FFF2-40B4-BE49-F238E27FC236}">
              <a16:creationId xmlns:a16="http://schemas.microsoft.com/office/drawing/2014/main" id="{45D9236E-A75E-44A1-AD92-FD9BB6ADE6A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4148" name="Text Box 192">
          <a:extLst>
            <a:ext uri="{FF2B5EF4-FFF2-40B4-BE49-F238E27FC236}">
              <a16:creationId xmlns:a16="http://schemas.microsoft.com/office/drawing/2014/main" id="{FE961A47-AFB6-4FBE-8E3B-95A9097227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4149" name="Text Box 192">
          <a:extLst>
            <a:ext uri="{FF2B5EF4-FFF2-40B4-BE49-F238E27FC236}">
              <a16:creationId xmlns:a16="http://schemas.microsoft.com/office/drawing/2014/main" id="{DAF4AA46-9AFD-4CDD-868D-6DCD18683B2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4150" name="Text Box 192">
          <a:extLst>
            <a:ext uri="{FF2B5EF4-FFF2-40B4-BE49-F238E27FC236}">
              <a16:creationId xmlns:a16="http://schemas.microsoft.com/office/drawing/2014/main" id="{6EFF60CA-34DE-4280-808F-DCE9CDAD005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4151" name="Text Box 192">
          <a:extLst>
            <a:ext uri="{FF2B5EF4-FFF2-40B4-BE49-F238E27FC236}">
              <a16:creationId xmlns:a16="http://schemas.microsoft.com/office/drawing/2014/main" id="{76B8775B-D5E4-4F70-AC2C-0F2762D9ECC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4152" name="Text Box 192">
          <a:extLst>
            <a:ext uri="{FF2B5EF4-FFF2-40B4-BE49-F238E27FC236}">
              <a16:creationId xmlns:a16="http://schemas.microsoft.com/office/drawing/2014/main" id="{47CE16AD-30F0-4A6C-80CE-5F5B772A222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4153" name="Text Box 192">
          <a:extLst>
            <a:ext uri="{FF2B5EF4-FFF2-40B4-BE49-F238E27FC236}">
              <a16:creationId xmlns:a16="http://schemas.microsoft.com/office/drawing/2014/main" id="{C2F1252E-FB67-4B02-8E78-8C40ECAFD82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241</xdr:row>
      <xdr:rowOff>0</xdr:rowOff>
    </xdr:from>
    <xdr:ext cx="10372" cy="228955"/>
    <xdr:sp macro="" textlink="">
      <xdr:nvSpPr>
        <xdr:cNvPr id="4154" name="Text Box 192">
          <a:extLst>
            <a:ext uri="{FF2B5EF4-FFF2-40B4-BE49-F238E27FC236}">
              <a16:creationId xmlns:a16="http://schemas.microsoft.com/office/drawing/2014/main" id="{562E4652-AB8C-4796-845F-322D352ADE2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4155" name="Text Box 192">
          <a:extLst>
            <a:ext uri="{FF2B5EF4-FFF2-40B4-BE49-F238E27FC236}">
              <a16:creationId xmlns:a16="http://schemas.microsoft.com/office/drawing/2014/main" id="{115241A2-9D0E-4447-87E4-5D21DED10C5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4156" name="Text Box 192">
          <a:extLst>
            <a:ext uri="{FF2B5EF4-FFF2-40B4-BE49-F238E27FC236}">
              <a16:creationId xmlns:a16="http://schemas.microsoft.com/office/drawing/2014/main" id="{ABD71648-8E17-4EE7-A302-6E739EEEB22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4157" name="Text Box 192">
          <a:extLst>
            <a:ext uri="{FF2B5EF4-FFF2-40B4-BE49-F238E27FC236}">
              <a16:creationId xmlns:a16="http://schemas.microsoft.com/office/drawing/2014/main" id="{5E3627C6-5B60-42CB-9F74-502D5314F0E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4158" name="Text Box 192">
          <a:extLst>
            <a:ext uri="{FF2B5EF4-FFF2-40B4-BE49-F238E27FC236}">
              <a16:creationId xmlns:a16="http://schemas.microsoft.com/office/drawing/2014/main" id="{BB5A5975-9753-4ECB-B139-7B60C5C5758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4159" name="Text Box 192">
          <a:extLst>
            <a:ext uri="{FF2B5EF4-FFF2-40B4-BE49-F238E27FC236}">
              <a16:creationId xmlns:a16="http://schemas.microsoft.com/office/drawing/2014/main" id="{E54363FA-52CD-4693-96D9-38989226364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4160" name="Text Box 192">
          <a:extLst>
            <a:ext uri="{FF2B5EF4-FFF2-40B4-BE49-F238E27FC236}">
              <a16:creationId xmlns:a16="http://schemas.microsoft.com/office/drawing/2014/main" id="{59FC2946-8890-40B5-864C-EA7EF3B07D9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4161" name="Text Box 192">
          <a:extLst>
            <a:ext uri="{FF2B5EF4-FFF2-40B4-BE49-F238E27FC236}">
              <a16:creationId xmlns:a16="http://schemas.microsoft.com/office/drawing/2014/main" id="{8CC40E13-B113-4317-BE86-2A73511561A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4162" name="Text Box 192">
          <a:extLst>
            <a:ext uri="{FF2B5EF4-FFF2-40B4-BE49-F238E27FC236}">
              <a16:creationId xmlns:a16="http://schemas.microsoft.com/office/drawing/2014/main" id="{9BD6AC50-2EBF-4E48-9C41-530E1FA1FC4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242</xdr:row>
      <xdr:rowOff>0</xdr:rowOff>
    </xdr:from>
    <xdr:ext cx="10372" cy="228955"/>
    <xdr:sp macro="" textlink="">
      <xdr:nvSpPr>
        <xdr:cNvPr id="4163" name="Text Box 192">
          <a:extLst>
            <a:ext uri="{FF2B5EF4-FFF2-40B4-BE49-F238E27FC236}">
              <a16:creationId xmlns:a16="http://schemas.microsoft.com/office/drawing/2014/main" id="{A6208A23-1312-4448-9D3F-477C9BCCD83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4164" name="Text Box 192">
          <a:extLst>
            <a:ext uri="{FF2B5EF4-FFF2-40B4-BE49-F238E27FC236}">
              <a16:creationId xmlns:a16="http://schemas.microsoft.com/office/drawing/2014/main" id="{67FC26DA-4419-4D5D-ACB8-D135ABB3758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4165" name="Text Box 192">
          <a:extLst>
            <a:ext uri="{FF2B5EF4-FFF2-40B4-BE49-F238E27FC236}">
              <a16:creationId xmlns:a16="http://schemas.microsoft.com/office/drawing/2014/main" id="{4159621A-663C-4819-9CE7-5A9C27DD96E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4166" name="Text Box 192">
          <a:extLst>
            <a:ext uri="{FF2B5EF4-FFF2-40B4-BE49-F238E27FC236}">
              <a16:creationId xmlns:a16="http://schemas.microsoft.com/office/drawing/2014/main" id="{2100A37A-57C4-4690-A425-67C1742DAEA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4167" name="Text Box 192">
          <a:extLst>
            <a:ext uri="{FF2B5EF4-FFF2-40B4-BE49-F238E27FC236}">
              <a16:creationId xmlns:a16="http://schemas.microsoft.com/office/drawing/2014/main" id="{0F3D46F7-E4AD-4CDE-A3FC-5E42C4725D2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4168" name="Text Box 192">
          <a:extLst>
            <a:ext uri="{FF2B5EF4-FFF2-40B4-BE49-F238E27FC236}">
              <a16:creationId xmlns:a16="http://schemas.microsoft.com/office/drawing/2014/main" id="{58396BBD-4787-4863-8ADD-EC3B3F843D3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4169" name="Text Box 192">
          <a:extLst>
            <a:ext uri="{FF2B5EF4-FFF2-40B4-BE49-F238E27FC236}">
              <a16:creationId xmlns:a16="http://schemas.microsoft.com/office/drawing/2014/main" id="{EBD00532-05A3-4D74-A77E-581808228B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4170" name="Text Box 192">
          <a:extLst>
            <a:ext uri="{FF2B5EF4-FFF2-40B4-BE49-F238E27FC236}">
              <a16:creationId xmlns:a16="http://schemas.microsoft.com/office/drawing/2014/main" id="{C732BACE-6AD0-447C-900A-9C30F031AAB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4171" name="Text Box 192">
          <a:extLst>
            <a:ext uri="{FF2B5EF4-FFF2-40B4-BE49-F238E27FC236}">
              <a16:creationId xmlns:a16="http://schemas.microsoft.com/office/drawing/2014/main" id="{9B741462-185A-4D01-A281-BDFB321CD18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243</xdr:row>
      <xdr:rowOff>0</xdr:rowOff>
    </xdr:from>
    <xdr:ext cx="10372" cy="228955"/>
    <xdr:sp macro="" textlink="">
      <xdr:nvSpPr>
        <xdr:cNvPr id="4172" name="Text Box 192">
          <a:extLst>
            <a:ext uri="{FF2B5EF4-FFF2-40B4-BE49-F238E27FC236}">
              <a16:creationId xmlns:a16="http://schemas.microsoft.com/office/drawing/2014/main" id="{953E437F-2BD4-4E3B-BF39-7A271B5BBA5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4173" name="Text Box 192">
          <a:extLst>
            <a:ext uri="{FF2B5EF4-FFF2-40B4-BE49-F238E27FC236}">
              <a16:creationId xmlns:a16="http://schemas.microsoft.com/office/drawing/2014/main" id="{F5DBEDF1-B21D-4D03-9B1D-2D1376C228B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4174" name="Text Box 192">
          <a:extLst>
            <a:ext uri="{FF2B5EF4-FFF2-40B4-BE49-F238E27FC236}">
              <a16:creationId xmlns:a16="http://schemas.microsoft.com/office/drawing/2014/main" id="{B554D671-7F46-4479-AACA-4A6BC6038C2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4175" name="Text Box 192">
          <a:extLst>
            <a:ext uri="{FF2B5EF4-FFF2-40B4-BE49-F238E27FC236}">
              <a16:creationId xmlns:a16="http://schemas.microsoft.com/office/drawing/2014/main" id="{356350BF-79BB-49BA-8ED5-6307C050E44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4176" name="Text Box 192">
          <a:extLst>
            <a:ext uri="{FF2B5EF4-FFF2-40B4-BE49-F238E27FC236}">
              <a16:creationId xmlns:a16="http://schemas.microsoft.com/office/drawing/2014/main" id="{C145E91D-D050-4F12-9372-6AD8CAA4539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4177" name="Text Box 192">
          <a:extLst>
            <a:ext uri="{FF2B5EF4-FFF2-40B4-BE49-F238E27FC236}">
              <a16:creationId xmlns:a16="http://schemas.microsoft.com/office/drawing/2014/main" id="{2EEEA3B2-E681-4D6D-A74D-6F7A5B93F7F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4178" name="Text Box 192">
          <a:extLst>
            <a:ext uri="{FF2B5EF4-FFF2-40B4-BE49-F238E27FC236}">
              <a16:creationId xmlns:a16="http://schemas.microsoft.com/office/drawing/2014/main" id="{7651B831-2AC5-49F7-B2E0-E6F7DCD1D59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4179" name="Text Box 192">
          <a:extLst>
            <a:ext uri="{FF2B5EF4-FFF2-40B4-BE49-F238E27FC236}">
              <a16:creationId xmlns:a16="http://schemas.microsoft.com/office/drawing/2014/main" id="{CF0D125E-982A-4D4D-8CFB-8590A9B6083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4180" name="Text Box 192">
          <a:extLst>
            <a:ext uri="{FF2B5EF4-FFF2-40B4-BE49-F238E27FC236}">
              <a16:creationId xmlns:a16="http://schemas.microsoft.com/office/drawing/2014/main" id="{D0EA4DF2-86B7-45B9-AACA-D7AD3D1743F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244</xdr:row>
      <xdr:rowOff>0</xdr:rowOff>
    </xdr:from>
    <xdr:ext cx="10372" cy="228955"/>
    <xdr:sp macro="" textlink="">
      <xdr:nvSpPr>
        <xdr:cNvPr id="4181" name="Text Box 192">
          <a:extLst>
            <a:ext uri="{FF2B5EF4-FFF2-40B4-BE49-F238E27FC236}">
              <a16:creationId xmlns:a16="http://schemas.microsoft.com/office/drawing/2014/main" id="{3BE8E8CA-26C8-44BF-8AC4-A67499D942B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4182" name="Text Box 192">
          <a:extLst>
            <a:ext uri="{FF2B5EF4-FFF2-40B4-BE49-F238E27FC236}">
              <a16:creationId xmlns:a16="http://schemas.microsoft.com/office/drawing/2014/main" id="{9F894732-E101-4C17-AD57-4A2D00C7C47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4183" name="Text Box 192">
          <a:extLst>
            <a:ext uri="{FF2B5EF4-FFF2-40B4-BE49-F238E27FC236}">
              <a16:creationId xmlns:a16="http://schemas.microsoft.com/office/drawing/2014/main" id="{64F315E6-37CB-4168-BB96-B555E348002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4184" name="Text Box 192">
          <a:extLst>
            <a:ext uri="{FF2B5EF4-FFF2-40B4-BE49-F238E27FC236}">
              <a16:creationId xmlns:a16="http://schemas.microsoft.com/office/drawing/2014/main" id="{6DCFC18F-D33C-40ED-A9A0-769130B0E2B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4185" name="Text Box 192">
          <a:extLst>
            <a:ext uri="{FF2B5EF4-FFF2-40B4-BE49-F238E27FC236}">
              <a16:creationId xmlns:a16="http://schemas.microsoft.com/office/drawing/2014/main" id="{F8674933-7096-4EA3-8E7F-87FE7B176A2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4186" name="Text Box 192">
          <a:extLst>
            <a:ext uri="{FF2B5EF4-FFF2-40B4-BE49-F238E27FC236}">
              <a16:creationId xmlns:a16="http://schemas.microsoft.com/office/drawing/2014/main" id="{69428F11-1789-4E41-8FF8-DCB140932AB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245</xdr:row>
      <xdr:rowOff>0</xdr:rowOff>
    </xdr:from>
    <xdr:ext cx="10372" cy="228955"/>
    <xdr:sp macro="" textlink="">
      <xdr:nvSpPr>
        <xdr:cNvPr id="4187" name="Text Box 192">
          <a:extLst>
            <a:ext uri="{FF2B5EF4-FFF2-40B4-BE49-F238E27FC236}">
              <a16:creationId xmlns:a16="http://schemas.microsoft.com/office/drawing/2014/main" id="{EA382209-A258-4741-9227-339F6394DC7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247</xdr:row>
      <xdr:rowOff>0</xdr:rowOff>
    </xdr:from>
    <xdr:ext cx="10372" cy="228955"/>
    <xdr:sp macro="" textlink="">
      <xdr:nvSpPr>
        <xdr:cNvPr id="4188" name="Text Box 192">
          <a:extLst>
            <a:ext uri="{FF2B5EF4-FFF2-40B4-BE49-F238E27FC236}">
              <a16:creationId xmlns:a16="http://schemas.microsoft.com/office/drawing/2014/main" id="{AD124EF2-8F84-4B78-893A-23BB9C5FEBB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4189" name="Text Box 192">
          <a:extLst>
            <a:ext uri="{FF2B5EF4-FFF2-40B4-BE49-F238E27FC236}">
              <a16:creationId xmlns:a16="http://schemas.microsoft.com/office/drawing/2014/main" id="{24ACB0E0-D438-4ACC-B994-DB7AEC63EB6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247</xdr:row>
      <xdr:rowOff>0</xdr:rowOff>
    </xdr:from>
    <xdr:ext cx="10372" cy="228955"/>
    <xdr:sp macro="" textlink="">
      <xdr:nvSpPr>
        <xdr:cNvPr id="4190" name="Text Box 192">
          <a:extLst>
            <a:ext uri="{FF2B5EF4-FFF2-40B4-BE49-F238E27FC236}">
              <a16:creationId xmlns:a16="http://schemas.microsoft.com/office/drawing/2014/main" id="{5815ACC6-0DBC-4FA1-9255-D29F73FFFC7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4191" name="Text Box 192">
          <a:extLst>
            <a:ext uri="{FF2B5EF4-FFF2-40B4-BE49-F238E27FC236}">
              <a16:creationId xmlns:a16="http://schemas.microsoft.com/office/drawing/2014/main" id="{ECFA26E7-C48D-49EB-893B-69D529E068E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4192" name="Text Box 192">
          <a:extLst>
            <a:ext uri="{FF2B5EF4-FFF2-40B4-BE49-F238E27FC236}">
              <a16:creationId xmlns:a16="http://schemas.microsoft.com/office/drawing/2014/main" id="{A7F23A9A-60E1-47F5-A8F5-33E648CAE06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4193" name="Text Box 192">
          <a:extLst>
            <a:ext uri="{FF2B5EF4-FFF2-40B4-BE49-F238E27FC236}">
              <a16:creationId xmlns:a16="http://schemas.microsoft.com/office/drawing/2014/main" id="{6E473F6D-1EA7-4A4E-8BFD-260ACE07717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4194" name="Text Box 192">
          <a:extLst>
            <a:ext uri="{FF2B5EF4-FFF2-40B4-BE49-F238E27FC236}">
              <a16:creationId xmlns:a16="http://schemas.microsoft.com/office/drawing/2014/main" id="{C9749C12-96A8-4526-9DEA-806B467CFEE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4195" name="Text Box 192">
          <a:extLst>
            <a:ext uri="{FF2B5EF4-FFF2-40B4-BE49-F238E27FC236}">
              <a16:creationId xmlns:a16="http://schemas.microsoft.com/office/drawing/2014/main" id="{5224342B-C3D6-44C3-B27B-57F2FCBBF74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4196" name="Text Box 192">
          <a:extLst>
            <a:ext uri="{FF2B5EF4-FFF2-40B4-BE49-F238E27FC236}">
              <a16:creationId xmlns:a16="http://schemas.microsoft.com/office/drawing/2014/main" id="{85FFD8FB-E7C4-4BC1-857D-483EB9704C4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4197" name="Text Box 192">
          <a:extLst>
            <a:ext uri="{FF2B5EF4-FFF2-40B4-BE49-F238E27FC236}">
              <a16:creationId xmlns:a16="http://schemas.microsoft.com/office/drawing/2014/main" id="{276D5CDB-2504-4B4F-B863-F47134781B5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4198" name="Text Box 192">
          <a:extLst>
            <a:ext uri="{FF2B5EF4-FFF2-40B4-BE49-F238E27FC236}">
              <a16:creationId xmlns:a16="http://schemas.microsoft.com/office/drawing/2014/main" id="{566D8F7D-D6C6-4083-BA95-F9EFEA59390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248</xdr:row>
      <xdr:rowOff>0</xdr:rowOff>
    </xdr:from>
    <xdr:ext cx="10372" cy="228955"/>
    <xdr:sp macro="" textlink="">
      <xdr:nvSpPr>
        <xdr:cNvPr id="4199" name="Text Box 192">
          <a:extLst>
            <a:ext uri="{FF2B5EF4-FFF2-40B4-BE49-F238E27FC236}">
              <a16:creationId xmlns:a16="http://schemas.microsoft.com/office/drawing/2014/main" id="{08AE7357-698C-46EF-9333-77BE7A790D3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4200" name="Text Box 192">
          <a:extLst>
            <a:ext uri="{FF2B5EF4-FFF2-40B4-BE49-F238E27FC236}">
              <a16:creationId xmlns:a16="http://schemas.microsoft.com/office/drawing/2014/main" id="{DEF9AEC5-52FC-4B5E-8EF3-A87ACEF6C31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4201" name="Text Box 192">
          <a:extLst>
            <a:ext uri="{FF2B5EF4-FFF2-40B4-BE49-F238E27FC236}">
              <a16:creationId xmlns:a16="http://schemas.microsoft.com/office/drawing/2014/main" id="{2C1F305C-9811-4136-8F37-E52EA719AF1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4202" name="Text Box 192">
          <a:extLst>
            <a:ext uri="{FF2B5EF4-FFF2-40B4-BE49-F238E27FC236}">
              <a16:creationId xmlns:a16="http://schemas.microsoft.com/office/drawing/2014/main" id="{7CCF22FC-46CD-4C85-875D-9B3A4FB69BB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4203" name="Text Box 192">
          <a:extLst>
            <a:ext uri="{FF2B5EF4-FFF2-40B4-BE49-F238E27FC236}">
              <a16:creationId xmlns:a16="http://schemas.microsoft.com/office/drawing/2014/main" id="{6A21D15C-031A-4AF6-8930-6C73A0CBB87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4204" name="Text Box 192">
          <a:extLst>
            <a:ext uri="{FF2B5EF4-FFF2-40B4-BE49-F238E27FC236}">
              <a16:creationId xmlns:a16="http://schemas.microsoft.com/office/drawing/2014/main" id="{7489CF45-43AE-4236-AF46-4AC81AA1021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4205" name="Text Box 192">
          <a:extLst>
            <a:ext uri="{FF2B5EF4-FFF2-40B4-BE49-F238E27FC236}">
              <a16:creationId xmlns:a16="http://schemas.microsoft.com/office/drawing/2014/main" id="{743F31E3-87C5-4A81-9232-A2723FCD41D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4206" name="Text Box 192">
          <a:extLst>
            <a:ext uri="{FF2B5EF4-FFF2-40B4-BE49-F238E27FC236}">
              <a16:creationId xmlns:a16="http://schemas.microsoft.com/office/drawing/2014/main" id="{A4944C0A-AE4C-481B-A3F7-B1049C7A2D9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4207" name="Text Box 192">
          <a:extLst>
            <a:ext uri="{FF2B5EF4-FFF2-40B4-BE49-F238E27FC236}">
              <a16:creationId xmlns:a16="http://schemas.microsoft.com/office/drawing/2014/main" id="{5685DD1A-6C11-49E5-8608-94DBA3437DF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249</xdr:row>
      <xdr:rowOff>0</xdr:rowOff>
    </xdr:from>
    <xdr:ext cx="10372" cy="228955"/>
    <xdr:sp macro="" textlink="">
      <xdr:nvSpPr>
        <xdr:cNvPr id="4208" name="Text Box 192">
          <a:extLst>
            <a:ext uri="{FF2B5EF4-FFF2-40B4-BE49-F238E27FC236}">
              <a16:creationId xmlns:a16="http://schemas.microsoft.com/office/drawing/2014/main" id="{D04E291A-C176-4355-A322-83BB7C5761B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4209" name="Text Box 192">
          <a:extLst>
            <a:ext uri="{FF2B5EF4-FFF2-40B4-BE49-F238E27FC236}">
              <a16:creationId xmlns:a16="http://schemas.microsoft.com/office/drawing/2014/main" id="{F8BE5CFC-1343-4DAE-8B2A-CBC94EB9892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4210" name="Text Box 192">
          <a:extLst>
            <a:ext uri="{FF2B5EF4-FFF2-40B4-BE49-F238E27FC236}">
              <a16:creationId xmlns:a16="http://schemas.microsoft.com/office/drawing/2014/main" id="{3433EEFC-BBCA-425F-B6B7-6FDACA8B2E0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4211" name="Text Box 192">
          <a:extLst>
            <a:ext uri="{FF2B5EF4-FFF2-40B4-BE49-F238E27FC236}">
              <a16:creationId xmlns:a16="http://schemas.microsoft.com/office/drawing/2014/main" id="{6F282317-7850-4747-B43B-C73BB9DAD23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4212" name="Text Box 192">
          <a:extLst>
            <a:ext uri="{FF2B5EF4-FFF2-40B4-BE49-F238E27FC236}">
              <a16:creationId xmlns:a16="http://schemas.microsoft.com/office/drawing/2014/main" id="{0D83EED7-6B17-426D-9DE3-F3932CB8887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4213" name="Text Box 192">
          <a:extLst>
            <a:ext uri="{FF2B5EF4-FFF2-40B4-BE49-F238E27FC236}">
              <a16:creationId xmlns:a16="http://schemas.microsoft.com/office/drawing/2014/main" id="{EF0DBEA1-3709-49C1-A7A5-457B87465F5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4214" name="Text Box 192">
          <a:extLst>
            <a:ext uri="{FF2B5EF4-FFF2-40B4-BE49-F238E27FC236}">
              <a16:creationId xmlns:a16="http://schemas.microsoft.com/office/drawing/2014/main" id="{132E3E16-8079-4DC9-8F1C-3F1780F02AC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4215" name="Text Box 192">
          <a:extLst>
            <a:ext uri="{FF2B5EF4-FFF2-40B4-BE49-F238E27FC236}">
              <a16:creationId xmlns:a16="http://schemas.microsoft.com/office/drawing/2014/main" id="{548B3562-4B37-41DC-A4FD-BC8F9BBCD32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4216" name="Text Box 192">
          <a:extLst>
            <a:ext uri="{FF2B5EF4-FFF2-40B4-BE49-F238E27FC236}">
              <a16:creationId xmlns:a16="http://schemas.microsoft.com/office/drawing/2014/main" id="{B0F90311-237A-4B10-A5C1-A2D8ED4400B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250</xdr:row>
      <xdr:rowOff>0</xdr:rowOff>
    </xdr:from>
    <xdr:ext cx="10372" cy="228955"/>
    <xdr:sp macro="" textlink="">
      <xdr:nvSpPr>
        <xdr:cNvPr id="4217" name="Text Box 192">
          <a:extLst>
            <a:ext uri="{FF2B5EF4-FFF2-40B4-BE49-F238E27FC236}">
              <a16:creationId xmlns:a16="http://schemas.microsoft.com/office/drawing/2014/main" id="{B3BB7CF6-5A72-4D94-9D79-6B79AE9CDBB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4218" name="Text Box 192">
          <a:extLst>
            <a:ext uri="{FF2B5EF4-FFF2-40B4-BE49-F238E27FC236}">
              <a16:creationId xmlns:a16="http://schemas.microsoft.com/office/drawing/2014/main" id="{07C2A599-6E6E-4973-9851-03195CC4CD8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4219" name="Text Box 192">
          <a:extLst>
            <a:ext uri="{FF2B5EF4-FFF2-40B4-BE49-F238E27FC236}">
              <a16:creationId xmlns:a16="http://schemas.microsoft.com/office/drawing/2014/main" id="{42E34425-AED1-45F4-A4CE-4BF7020BDA6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4220" name="Text Box 192">
          <a:extLst>
            <a:ext uri="{FF2B5EF4-FFF2-40B4-BE49-F238E27FC236}">
              <a16:creationId xmlns:a16="http://schemas.microsoft.com/office/drawing/2014/main" id="{9D5AF214-DC82-4A77-94B3-B3883600A35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4221" name="Text Box 192">
          <a:extLst>
            <a:ext uri="{FF2B5EF4-FFF2-40B4-BE49-F238E27FC236}">
              <a16:creationId xmlns:a16="http://schemas.microsoft.com/office/drawing/2014/main" id="{7E506E0C-B788-4DC7-AA9C-31A64161CB7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4222" name="Text Box 192">
          <a:extLst>
            <a:ext uri="{FF2B5EF4-FFF2-40B4-BE49-F238E27FC236}">
              <a16:creationId xmlns:a16="http://schemas.microsoft.com/office/drawing/2014/main" id="{520017C9-025E-4B16-A30B-AC002C1EFB3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4223" name="Text Box 192">
          <a:extLst>
            <a:ext uri="{FF2B5EF4-FFF2-40B4-BE49-F238E27FC236}">
              <a16:creationId xmlns:a16="http://schemas.microsoft.com/office/drawing/2014/main" id="{BD249F7E-9111-4CD5-BBCD-1BBA9129358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4224" name="Text Box 192">
          <a:extLst>
            <a:ext uri="{FF2B5EF4-FFF2-40B4-BE49-F238E27FC236}">
              <a16:creationId xmlns:a16="http://schemas.microsoft.com/office/drawing/2014/main" id="{1FB96C3B-A166-4F64-BC46-A78CBFF508F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4225" name="Text Box 192">
          <a:extLst>
            <a:ext uri="{FF2B5EF4-FFF2-40B4-BE49-F238E27FC236}">
              <a16:creationId xmlns:a16="http://schemas.microsoft.com/office/drawing/2014/main" id="{284F87C2-5C13-4BAC-A7F3-BB9A483C265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251</xdr:row>
      <xdr:rowOff>0</xdr:rowOff>
    </xdr:from>
    <xdr:ext cx="10372" cy="228955"/>
    <xdr:sp macro="" textlink="">
      <xdr:nvSpPr>
        <xdr:cNvPr id="4226" name="Text Box 192">
          <a:extLst>
            <a:ext uri="{FF2B5EF4-FFF2-40B4-BE49-F238E27FC236}">
              <a16:creationId xmlns:a16="http://schemas.microsoft.com/office/drawing/2014/main" id="{B5C1C62A-4645-4B05-8CFB-C44A495DD1D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4227" name="Text Box 192">
          <a:extLst>
            <a:ext uri="{FF2B5EF4-FFF2-40B4-BE49-F238E27FC236}">
              <a16:creationId xmlns:a16="http://schemas.microsoft.com/office/drawing/2014/main" id="{F56810A6-2436-41BF-968A-CE43D24118D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4228" name="Text Box 192">
          <a:extLst>
            <a:ext uri="{FF2B5EF4-FFF2-40B4-BE49-F238E27FC236}">
              <a16:creationId xmlns:a16="http://schemas.microsoft.com/office/drawing/2014/main" id="{D7CA8A3B-45AC-4632-B8EF-B24D472084B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4229" name="Text Box 192">
          <a:extLst>
            <a:ext uri="{FF2B5EF4-FFF2-40B4-BE49-F238E27FC236}">
              <a16:creationId xmlns:a16="http://schemas.microsoft.com/office/drawing/2014/main" id="{BB44D93A-59C2-4C2B-9BB2-99830337D81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4230" name="Text Box 192">
          <a:extLst>
            <a:ext uri="{FF2B5EF4-FFF2-40B4-BE49-F238E27FC236}">
              <a16:creationId xmlns:a16="http://schemas.microsoft.com/office/drawing/2014/main" id="{6F19539F-05D0-4B16-9BDC-62A892A70C8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4231" name="Text Box 192">
          <a:extLst>
            <a:ext uri="{FF2B5EF4-FFF2-40B4-BE49-F238E27FC236}">
              <a16:creationId xmlns:a16="http://schemas.microsoft.com/office/drawing/2014/main" id="{9EA2537B-BB8B-46AF-9F07-69D69B75342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4232" name="Text Box 192">
          <a:extLst>
            <a:ext uri="{FF2B5EF4-FFF2-40B4-BE49-F238E27FC236}">
              <a16:creationId xmlns:a16="http://schemas.microsoft.com/office/drawing/2014/main" id="{5DEBC091-DCA8-40D1-A0AC-8D32714FE1B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4233" name="Text Box 192">
          <a:extLst>
            <a:ext uri="{FF2B5EF4-FFF2-40B4-BE49-F238E27FC236}">
              <a16:creationId xmlns:a16="http://schemas.microsoft.com/office/drawing/2014/main" id="{5AECB166-B592-490F-B5BE-AEFC2546ACC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4234" name="Text Box 192">
          <a:extLst>
            <a:ext uri="{FF2B5EF4-FFF2-40B4-BE49-F238E27FC236}">
              <a16:creationId xmlns:a16="http://schemas.microsoft.com/office/drawing/2014/main" id="{17E59D11-9232-4C3B-A05E-E540DF1E757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252</xdr:row>
      <xdr:rowOff>0</xdr:rowOff>
    </xdr:from>
    <xdr:ext cx="10372" cy="228955"/>
    <xdr:sp macro="" textlink="">
      <xdr:nvSpPr>
        <xdr:cNvPr id="4235" name="Text Box 192">
          <a:extLst>
            <a:ext uri="{FF2B5EF4-FFF2-40B4-BE49-F238E27FC236}">
              <a16:creationId xmlns:a16="http://schemas.microsoft.com/office/drawing/2014/main" id="{379D51F9-A2D4-4030-BB0A-A95A815BD99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4236" name="Text Box 192">
          <a:extLst>
            <a:ext uri="{FF2B5EF4-FFF2-40B4-BE49-F238E27FC236}">
              <a16:creationId xmlns:a16="http://schemas.microsoft.com/office/drawing/2014/main" id="{984A9E44-4FBB-4D54-A81C-8E7B0B2FC10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4237" name="Text Box 192">
          <a:extLst>
            <a:ext uri="{FF2B5EF4-FFF2-40B4-BE49-F238E27FC236}">
              <a16:creationId xmlns:a16="http://schemas.microsoft.com/office/drawing/2014/main" id="{2CA7B8C7-2340-4B18-A870-7EEE2205A8C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4238" name="Text Box 192">
          <a:extLst>
            <a:ext uri="{FF2B5EF4-FFF2-40B4-BE49-F238E27FC236}">
              <a16:creationId xmlns:a16="http://schemas.microsoft.com/office/drawing/2014/main" id="{A7B540B2-0178-4962-8ECF-AA14E4F3AD1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4239" name="Text Box 192">
          <a:extLst>
            <a:ext uri="{FF2B5EF4-FFF2-40B4-BE49-F238E27FC236}">
              <a16:creationId xmlns:a16="http://schemas.microsoft.com/office/drawing/2014/main" id="{6D29D7FE-B991-4562-96ED-22ACC5DA58E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4240" name="Text Box 192">
          <a:extLst>
            <a:ext uri="{FF2B5EF4-FFF2-40B4-BE49-F238E27FC236}">
              <a16:creationId xmlns:a16="http://schemas.microsoft.com/office/drawing/2014/main" id="{31EFE0B4-268F-41FD-B3D9-D0998BFC6B5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4241" name="Text Box 192">
          <a:extLst>
            <a:ext uri="{FF2B5EF4-FFF2-40B4-BE49-F238E27FC236}">
              <a16:creationId xmlns:a16="http://schemas.microsoft.com/office/drawing/2014/main" id="{9FE03F57-0CD5-4B98-BEDC-E5847EB8372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4242" name="Text Box 192">
          <a:extLst>
            <a:ext uri="{FF2B5EF4-FFF2-40B4-BE49-F238E27FC236}">
              <a16:creationId xmlns:a16="http://schemas.microsoft.com/office/drawing/2014/main" id="{90856DB1-A305-4AEE-BE01-6AA81D7B1A6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4243" name="Text Box 192">
          <a:extLst>
            <a:ext uri="{FF2B5EF4-FFF2-40B4-BE49-F238E27FC236}">
              <a16:creationId xmlns:a16="http://schemas.microsoft.com/office/drawing/2014/main" id="{298E013D-C82C-4EAF-BAB6-E425ADB9FD4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253</xdr:row>
      <xdr:rowOff>0</xdr:rowOff>
    </xdr:from>
    <xdr:ext cx="10372" cy="228955"/>
    <xdr:sp macro="" textlink="">
      <xdr:nvSpPr>
        <xdr:cNvPr id="4244" name="Text Box 192">
          <a:extLst>
            <a:ext uri="{FF2B5EF4-FFF2-40B4-BE49-F238E27FC236}">
              <a16:creationId xmlns:a16="http://schemas.microsoft.com/office/drawing/2014/main" id="{4551051F-3948-411F-8962-B6773EEA197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4245" name="Text Box 192">
          <a:extLst>
            <a:ext uri="{FF2B5EF4-FFF2-40B4-BE49-F238E27FC236}">
              <a16:creationId xmlns:a16="http://schemas.microsoft.com/office/drawing/2014/main" id="{B5CDC31A-B3EC-4E1B-81FD-9C1A681103D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4246" name="Text Box 192">
          <a:extLst>
            <a:ext uri="{FF2B5EF4-FFF2-40B4-BE49-F238E27FC236}">
              <a16:creationId xmlns:a16="http://schemas.microsoft.com/office/drawing/2014/main" id="{3B32432C-FD87-4F20-9BC1-857AB03F6FE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4247" name="Text Box 192">
          <a:extLst>
            <a:ext uri="{FF2B5EF4-FFF2-40B4-BE49-F238E27FC236}">
              <a16:creationId xmlns:a16="http://schemas.microsoft.com/office/drawing/2014/main" id="{694B398E-737D-4B0B-B67D-E73FE97F17C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4248" name="Text Box 192">
          <a:extLst>
            <a:ext uri="{FF2B5EF4-FFF2-40B4-BE49-F238E27FC236}">
              <a16:creationId xmlns:a16="http://schemas.microsoft.com/office/drawing/2014/main" id="{16064FF6-EAF6-49BD-91F0-3C6EBAAF87C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4249" name="Text Box 192">
          <a:extLst>
            <a:ext uri="{FF2B5EF4-FFF2-40B4-BE49-F238E27FC236}">
              <a16:creationId xmlns:a16="http://schemas.microsoft.com/office/drawing/2014/main" id="{107BC7CF-465A-4F5E-91A5-42227A354AB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4250" name="Text Box 192">
          <a:extLst>
            <a:ext uri="{FF2B5EF4-FFF2-40B4-BE49-F238E27FC236}">
              <a16:creationId xmlns:a16="http://schemas.microsoft.com/office/drawing/2014/main" id="{915A2911-978A-4A1D-B78E-769BBE120C6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4251" name="Text Box 192">
          <a:extLst>
            <a:ext uri="{FF2B5EF4-FFF2-40B4-BE49-F238E27FC236}">
              <a16:creationId xmlns:a16="http://schemas.microsoft.com/office/drawing/2014/main" id="{3C2435FA-EA4D-4733-8404-5AB32F05DB6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4252" name="Text Box 192">
          <a:extLst>
            <a:ext uri="{FF2B5EF4-FFF2-40B4-BE49-F238E27FC236}">
              <a16:creationId xmlns:a16="http://schemas.microsoft.com/office/drawing/2014/main" id="{D1AE41AD-03B9-4BC3-A4FC-3034F188C6A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254</xdr:row>
      <xdr:rowOff>0</xdr:rowOff>
    </xdr:from>
    <xdr:ext cx="10372" cy="228955"/>
    <xdr:sp macro="" textlink="">
      <xdr:nvSpPr>
        <xdr:cNvPr id="4253" name="Text Box 192">
          <a:extLst>
            <a:ext uri="{FF2B5EF4-FFF2-40B4-BE49-F238E27FC236}">
              <a16:creationId xmlns:a16="http://schemas.microsoft.com/office/drawing/2014/main" id="{9C08D1E9-D191-4483-8E13-7CFD94B8AAD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4254" name="Text Box 192">
          <a:extLst>
            <a:ext uri="{FF2B5EF4-FFF2-40B4-BE49-F238E27FC236}">
              <a16:creationId xmlns:a16="http://schemas.microsoft.com/office/drawing/2014/main" id="{6860E34C-EC2D-449C-9714-0ED20353572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4255" name="Text Box 192">
          <a:extLst>
            <a:ext uri="{FF2B5EF4-FFF2-40B4-BE49-F238E27FC236}">
              <a16:creationId xmlns:a16="http://schemas.microsoft.com/office/drawing/2014/main" id="{AEF686CB-8BF1-44BF-B1D6-2D37D52D5FC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4256" name="Text Box 192">
          <a:extLst>
            <a:ext uri="{FF2B5EF4-FFF2-40B4-BE49-F238E27FC236}">
              <a16:creationId xmlns:a16="http://schemas.microsoft.com/office/drawing/2014/main" id="{F5953343-BCE9-4F71-8E31-C99B08D6600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4257" name="Text Box 192">
          <a:extLst>
            <a:ext uri="{FF2B5EF4-FFF2-40B4-BE49-F238E27FC236}">
              <a16:creationId xmlns:a16="http://schemas.microsoft.com/office/drawing/2014/main" id="{2A7049C2-2A17-42B9-9BEE-DE5526ED53F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4258" name="Text Box 192">
          <a:extLst>
            <a:ext uri="{FF2B5EF4-FFF2-40B4-BE49-F238E27FC236}">
              <a16:creationId xmlns:a16="http://schemas.microsoft.com/office/drawing/2014/main" id="{415C39A5-97A7-480A-8361-25860BBEAF3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4259" name="Text Box 192">
          <a:extLst>
            <a:ext uri="{FF2B5EF4-FFF2-40B4-BE49-F238E27FC236}">
              <a16:creationId xmlns:a16="http://schemas.microsoft.com/office/drawing/2014/main" id="{6FB6FA37-B754-437D-A42F-63CDBFCF3B4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4260" name="Text Box 192">
          <a:extLst>
            <a:ext uri="{FF2B5EF4-FFF2-40B4-BE49-F238E27FC236}">
              <a16:creationId xmlns:a16="http://schemas.microsoft.com/office/drawing/2014/main" id="{CDEE80FA-7CB8-4C57-99A6-A3B75CC1B94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4261" name="Text Box 192">
          <a:extLst>
            <a:ext uri="{FF2B5EF4-FFF2-40B4-BE49-F238E27FC236}">
              <a16:creationId xmlns:a16="http://schemas.microsoft.com/office/drawing/2014/main" id="{F55F442F-17C1-42BB-A8AF-D627B0217D6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255</xdr:row>
      <xdr:rowOff>0</xdr:rowOff>
    </xdr:from>
    <xdr:ext cx="10372" cy="228955"/>
    <xdr:sp macro="" textlink="">
      <xdr:nvSpPr>
        <xdr:cNvPr id="4262" name="Text Box 192">
          <a:extLst>
            <a:ext uri="{FF2B5EF4-FFF2-40B4-BE49-F238E27FC236}">
              <a16:creationId xmlns:a16="http://schemas.microsoft.com/office/drawing/2014/main" id="{04A1497E-31FE-4204-981D-0CE64322372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4263" name="Text Box 192">
          <a:extLst>
            <a:ext uri="{FF2B5EF4-FFF2-40B4-BE49-F238E27FC236}">
              <a16:creationId xmlns:a16="http://schemas.microsoft.com/office/drawing/2014/main" id="{8FFD7B06-06DC-4D09-A3D2-E374C646D73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4264" name="Text Box 192">
          <a:extLst>
            <a:ext uri="{FF2B5EF4-FFF2-40B4-BE49-F238E27FC236}">
              <a16:creationId xmlns:a16="http://schemas.microsoft.com/office/drawing/2014/main" id="{225BC447-85D3-4CC6-AB68-7D0A8E7972D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4265" name="Text Box 192">
          <a:extLst>
            <a:ext uri="{FF2B5EF4-FFF2-40B4-BE49-F238E27FC236}">
              <a16:creationId xmlns:a16="http://schemas.microsoft.com/office/drawing/2014/main" id="{2895F84B-8566-4A3A-AA12-2F1B6BE4F79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4266" name="Text Box 192">
          <a:extLst>
            <a:ext uri="{FF2B5EF4-FFF2-40B4-BE49-F238E27FC236}">
              <a16:creationId xmlns:a16="http://schemas.microsoft.com/office/drawing/2014/main" id="{3219BA86-7EDB-499E-A739-8BDBC5A83DE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4267" name="Text Box 192">
          <a:extLst>
            <a:ext uri="{FF2B5EF4-FFF2-40B4-BE49-F238E27FC236}">
              <a16:creationId xmlns:a16="http://schemas.microsoft.com/office/drawing/2014/main" id="{49129578-81EF-46F4-8EA5-2399F35B1C0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4268" name="Text Box 192">
          <a:extLst>
            <a:ext uri="{FF2B5EF4-FFF2-40B4-BE49-F238E27FC236}">
              <a16:creationId xmlns:a16="http://schemas.microsoft.com/office/drawing/2014/main" id="{65B33FF5-3F2A-4DB1-AD8B-143816BF28F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4269" name="Text Box 192">
          <a:extLst>
            <a:ext uri="{FF2B5EF4-FFF2-40B4-BE49-F238E27FC236}">
              <a16:creationId xmlns:a16="http://schemas.microsoft.com/office/drawing/2014/main" id="{49C1352A-DFAD-45CF-B3AC-478E03062EB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4270" name="Text Box 192">
          <a:extLst>
            <a:ext uri="{FF2B5EF4-FFF2-40B4-BE49-F238E27FC236}">
              <a16:creationId xmlns:a16="http://schemas.microsoft.com/office/drawing/2014/main" id="{0F16DB9C-DE09-434C-AF0D-425C6F98F94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256</xdr:row>
      <xdr:rowOff>0</xdr:rowOff>
    </xdr:from>
    <xdr:ext cx="10372" cy="228955"/>
    <xdr:sp macro="" textlink="">
      <xdr:nvSpPr>
        <xdr:cNvPr id="4271" name="Text Box 192">
          <a:extLst>
            <a:ext uri="{FF2B5EF4-FFF2-40B4-BE49-F238E27FC236}">
              <a16:creationId xmlns:a16="http://schemas.microsoft.com/office/drawing/2014/main" id="{160CE6CB-E692-453E-AFC3-0F857889BF5F}"/>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4272" name="Text Box 192">
          <a:extLst>
            <a:ext uri="{FF2B5EF4-FFF2-40B4-BE49-F238E27FC236}">
              <a16:creationId xmlns:a16="http://schemas.microsoft.com/office/drawing/2014/main" id="{2E6F4F3D-6A1F-447F-806A-C842CD164C9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4273" name="Text Box 192">
          <a:extLst>
            <a:ext uri="{FF2B5EF4-FFF2-40B4-BE49-F238E27FC236}">
              <a16:creationId xmlns:a16="http://schemas.microsoft.com/office/drawing/2014/main" id="{65759C56-5082-4CC7-AE31-74C14D799A1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4274" name="Text Box 192">
          <a:extLst>
            <a:ext uri="{FF2B5EF4-FFF2-40B4-BE49-F238E27FC236}">
              <a16:creationId xmlns:a16="http://schemas.microsoft.com/office/drawing/2014/main" id="{D4FEB469-213E-4055-87F1-034C6F0C387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4275" name="Text Box 192">
          <a:extLst>
            <a:ext uri="{FF2B5EF4-FFF2-40B4-BE49-F238E27FC236}">
              <a16:creationId xmlns:a16="http://schemas.microsoft.com/office/drawing/2014/main" id="{D077C779-FA4D-4E15-803A-58515E12FF1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4276" name="Text Box 192">
          <a:extLst>
            <a:ext uri="{FF2B5EF4-FFF2-40B4-BE49-F238E27FC236}">
              <a16:creationId xmlns:a16="http://schemas.microsoft.com/office/drawing/2014/main" id="{8E68B307-AB73-4E36-BED2-543F4E13B26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4277" name="Text Box 192">
          <a:extLst>
            <a:ext uri="{FF2B5EF4-FFF2-40B4-BE49-F238E27FC236}">
              <a16:creationId xmlns:a16="http://schemas.microsoft.com/office/drawing/2014/main" id="{FD6D34CC-FD33-4F37-BBCB-DF0C84C06BA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4278" name="Text Box 192">
          <a:extLst>
            <a:ext uri="{FF2B5EF4-FFF2-40B4-BE49-F238E27FC236}">
              <a16:creationId xmlns:a16="http://schemas.microsoft.com/office/drawing/2014/main" id="{D2D4837C-DEFB-4E5E-89A9-1E7CB27B492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4279" name="Text Box 192">
          <a:extLst>
            <a:ext uri="{FF2B5EF4-FFF2-40B4-BE49-F238E27FC236}">
              <a16:creationId xmlns:a16="http://schemas.microsoft.com/office/drawing/2014/main" id="{CBF29DA0-8316-442E-B5C2-DD53E0E07BB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257</xdr:row>
      <xdr:rowOff>0</xdr:rowOff>
    </xdr:from>
    <xdr:ext cx="10372" cy="228955"/>
    <xdr:sp macro="" textlink="">
      <xdr:nvSpPr>
        <xdr:cNvPr id="4280" name="Text Box 192">
          <a:extLst>
            <a:ext uri="{FF2B5EF4-FFF2-40B4-BE49-F238E27FC236}">
              <a16:creationId xmlns:a16="http://schemas.microsoft.com/office/drawing/2014/main" id="{36E2F844-1172-4734-B0C9-B4BC4AC84B0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4281" name="Text Box 192">
          <a:extLst>
            <a:ext uri="{FF2B5EF4-FFF2-40B4-BE49-F238E27FC236}">
              <a16:creationId xmlns:a16="http://schemas.microsoft.com/office/drawing/2014/main" id="{46A0E835-DED0-4786-9883-CF6A8734202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4282" name="Text Box 192">
          <a:extLst>
            <a:ext uri="{FF2B5EF4-FFF2-40B4-BE49-F238E27FC236}">
              <a16:creationId xmlns:a16="http://schemas.microsoft.com/office/drawing/2014/main" id="{48557AD6-75AA-4A5A-85FD-29D8FF1EACC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4283" name="Text Box 192">
          <a:extLst>
            <a:ext uri="{FF2B5EF4-FFF2-40B4-BE49-F238E27FC236}">
              <a16:creationId xmlns:a16="http://schemas.microsoft.com/office/drawing/2014/main" id="{A318A5BD-22CD-4249-AA08-5EFD5360AFA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4284" name="Text Box 192">
          <a:extLst>
            <a:ext uri="{FF2B5EF4-FFF2-40B4-BE49-F238E27FC236}">
              <a16:creationId xmlns:a16="http://schemas.microsoft.com/office/drawing/2014/main" id="{5FC3ACCB-FC64-4F8D-B87F-7A9B18E5DD9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4285" name="Text Box 192">
          <a:extLst>
            <a:ext uri="{FF2B5EF4-FFF2-40B4-BE49-F238E27FC236}">
              <a16:creationId xmlns:a16="http://schemas.microsoft.com/office/drawing/2014/main" id="{076830C5-25C5-4337-8569-52CCA7BA320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4286" name="Text Box 192">
          <a:extLst>
            <a:ext uri="{FF2B5EF4-FFF2-40B4-BE49-F238E27FC236}">
              <a16:creationId xmlns:a16="http://schemas.microsoft.com/office/drawing/2014/main" id="{8BF8D912-0AD7-45FE-BCF2-6440ED12993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4287" name="Text Box 192">
          <a:extLst>
            <a:ext uri="{FF2B5EF4-FFF2-40B4-BE49-F238E27FC236}">
              <a16:creationId xmlns:a16="http://schemas.microsoft.com/office/drawing/2014/main" id="{9AE6DB20-4742-4141-AFC1-6BECDBA3DA4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4288" name="Text Box 192">
          <a:extLst>
            <a:ext uri="{FF2B5EF4-FFF2-40B4-BE49-F238E27FC236}">
              <a16:creationId xmlns:a16="http://schemas.microsoft.com/office/drawing/2014/main" id="{7B0B40D2-AE3A-4B23-85E1-CDE514C7120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258</xdr:row>
      <xdr:rowOff>0</xdr:rowOff>
    </xdr:from>
    <xdr:ext cx="10372" cy="228955"/>
    <xdr:sp macro="" textlink="">
      <xdr:nvSpPr>
        <xdr:cNvPr id="4289" name="Text Box 192">
          <a:extLst>
            <a:ext uri="{FF2B5EF4-FFF2-40B4-BE49-F238E27FC236}">
              <a16:creationId xmlns:a16="http://schemas.microsoft.com/office/drawing/2014/main" id="{CE8AF469-BB27-4722-9DF0-6941BBE0064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4290" name="Text Box 192">
          <a:extLst>
            <a:ext uri="{FF2B5EF4-FFF2-40B4-BE49-F238E27FC236}">
              <a16:creationId xmlns:a16="http://schemas.microsoft.com/office/drawing/2014/main" id="{7E3ACFC2-E821-444C-85D6-DFBA7AF50A8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4291" name="Text Box 192">
          <a:extLst>
            <a:ext uri="{FF2B5EF4-FFF2-40B4-BE49-F238E27FC236}">
              <a16:creationId xmlns:a16="http://schemas.microsoft.com/office/drawing/2014/main" id="{F30D55CF-8F1C-4FED-BC9C-3388130C2C7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4292" name="Text Box 192">
          <a:extLst>
            <a:ext uri="{FF2B5EF4-FFF2-40B4-BE49-F238E27FC236}">
              <a16:creationId xmlns:a16="http://schemas.microsoft.com/office/drawing/2014/main" id="{018AF0AA-9DCC-4112-94D8-23CA36F5B94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4293" name="Text Box 192">
          <a:extLst>
            <a:ext uri="{FF2B5EF4-FFF2-40B4-BE49-F238E27FC236}">
              <a16:creationId xmlns:a16="http://schemas.microsoft.com/office/drawing/2014/main" id="{B0847A4E-AD9D-4901-B985-182698A9E5C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4294" name="Text Box 192">
          <a:extLst>
            <a:ext uri="{FF2B5EF4-FFF2-40B4-BE49-F238E27FC236}">
              <a16:creationId xmlns:a16="http://schemas.microsoft.com/office/drawing/2014/main" id="{6C76A2C3-3A81-4A26-86E3-B0C6E45E383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4295" name="Text Box 192">
          <a:extLst>
            <a:ext uri="{FF2B5EF4-FFF2-40B4-BE49-F238E27FC236}">
              <a16:creationId xmlns:a16="http://schemas.microsoft.com/office/drawing/2014/main" id="{3155D033-8A42-45EE-A063-5D1A02C9E65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4296" name="Text Box 192">
          <a:extLst>
            <a:ext uri="{FF2B5EF4-FFF2-40B4-BE49-F238E27FC236}">
              <a16:creationId xmlns:a16="http://schemas.microsoft.com/office/drawing/2014/main" id="{7A16E85F-6251-4BE7-83B0-A5FD32F0E83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4297" name="Text Box 192">
          <a:extLst>
            <a:ext uri="{FF2B5EF4-FFF2-40B4-BE49-F238E27FC236}">
              <a16:creationId xmlns:a16="http://schemas.microsoft.com/office/drawing/2014/main" id="{8D02E2B4-D9F6-4860-8DF5-EFE32010506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259</xdr:row>
      <xdr:rowOff>0</xdr:rowOff>
    </xdr:from>
    <xdr:ext cx="10372" cy="228955"/>
    <xdr:sp macro="" textlink="">
      <xdr:nvSpPr>
        <xdr:cNvPr id="4298" name="Text Box 192">
          <a:extLst>
            <a:ext uri="{FF2B5EF4-FFF2-40B4-BE49-F238E27FC236}">
              <a16:creationId xmlns:a16="http://schemas.microsoft.com/office/drawing/2014/main" id="{0963D513-A73F-4F7C-9C24-1B41C7BF708C}"/>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4299" name="Text Box 192">
          <a:extLst>
            <a:ext uri="{FF2B5EF4-FFF2-40B4-BE49-F238E27FC236}">
              <a16:creationId xmlns:a16="http://schemas.microsoft.com/office/drawing/2014/main" id="{5F5224EA-E1AE-4244-B1C9-A2DE0A9126D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4300" name="Text Box 192">
          <a:extLst>
            <a:ext uri="{FF2B5EF4-FFF2-40B4-BE49-F238E27FC236}">
              <a16:creationId xmlns:a16="http://schemas.microsoft.com/office/drawing/2014/main" id="{D2AE671D-8C07-4727-BA27-60FB934C710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4301" name="Text Box 192">
          <a:extLst>
            <a:ext uri="{FF2B5EF4-FFF2-40B4-BE49-F238E27FC236}">
              <a16:creationId xmlns:a16="http://schemas.microsoft.com/office/drawing/2014/main" id="{4F2E3EBD-FDB0-4C23-A70E-704031474E1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4302" name="Text Box 192">
          <a:extLst>
            <a:ext uri="{FF2B5EF4-FFF2-40B4-BE49-F238E27FC236}">
              <a16:creationId xmlns:a16="http://schemas.microsoft.com/office/drawing/2014/main" id="{58CC3BAC-ABFB-4665-8197-7EF80D37D31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4303" name="Text Box 192">
          <a:extLst>
            <a:ext uri="{FF2B5EF4-FFF2-40B4-BE49-F238E27FC236}">
              <a16:creationId xmlns:a16="http://schemas.microsoft.com/office/drawing/2014/main" id="{54BC9FD4-76A2-4FAC-810B-6B88F200CEF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4304" name="Text Box 192">
          <a:extLst>
            <a:ext uri="{FF2B5EF4-FFF2-40B4-BE49-F238E27FC236}">
              <a16:creationId xmlns:a16="http://schemas.microsoft.com/office/drawing/2014/main" id="{D1701211-3ADB-4914-8FF2-BC7809F9C5E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4305" name="Text Box 192">
          <a:extLst>
            <a:ext uri="{FF2B5EF4-FFF2-40B4-BE49-F238E27FC236}">
              <a16:creationId xmlns:a16="http://schemas.microsoft.com/office/drawing/2014/main" id="{C82EED15-4914-4E9D-ABC0-CA8A34D00E4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4306" name="Text Box 192">
          <a:extLst>
            <a:ext uri="{FF2B5EF4-FFF2-40B4-BE49-F238E27FC236}">
              <a16:creationId xmlns:a16="http://schemas.microsoft.com/office/drawing/2014/main" id="{DF7F37BD-010A-4355-99C3-D2AA001FE56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260</xdr:row>
      <xdr:rowOff>0</xdr:rowOff>
    </xdr:from>
    <xdr:ext cx="10372" cy="228955"/>
    <xdr:sp macro="" textlink="">
      <xdr:nvSpPr>
        <xdr:cNvPr id="4307" name="Text Box 192">
          <a:extLst>
            <a:ext uri="{FF2B5EF4-FFF2-40B4-BE49-F238E27FC236}">
              <a16:creationId xmlns:a16="http://schemas.microsoft.com/office/drawing/2014/main" id="{3362D0E2-4726-4398-A016-FDB4E5C6CE7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4308" name="Text Box 192">
          <a:extLst>
            <a:ext uri="{FF2B5EF4-FFF2-40B4-BE49-F238E27FC236}">
              <a16:creationId xmlns:a16="http://schemas.microsoft.com/office/drawing/2014/main" id="{7EC96169-E2AD-4FA6-82BF-B75D8A3368F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4309" name="Text Box 192">
          <a:extLst>
            <a:ext uri="{FF2B5EF4-FFF2-40B4-BE49-F238E27FC236}">
              <a16:creationId xmlns:a16="http://schemas.microsoft.com/office/drawing/2014/main" id="{5919B329-01A1-45C3-86CD-571E8BFBE2D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4310" name="Text Box 192">
          <a:extLst>
            <a:ext uri="{FF2B5EF4-FFF2-40B4-BE49-F238E27FC236}">
              <a16:creationId xmlns:a16="http://schemas.microsoft.com/office/drawing/2014/main" id="{A30BC613-A5F7-44FA-967B-56A282FB8DB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4311" name="Text Box 192">
          <a:extLst>
            <a:ext uri="{FF2B5EF4-FFF2-40B4-BE49-F238E27FC236}">
              <a16:creationId xmlns:a16="http://schemas.microsoft.com/office/drawing/2014/main" id="{2D2CAE8F-0C8F-4116-A82C-6CB49B1C370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4312" name="Text Box 192">
          <a:extLst>
            <a:ext uri="{FF2B5EF4-FFF2-40B4-BE49-F238E27FC236}">
              <a16:creationId xmlns:a16="http://schemas.microsoft.com/office/drawing/2014/main" id="{D0340C23-89B0-40B1-ADD2-0F347280804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261</xdr:row>
      <xdr:rowOff>0</xdr:rowOff>
    </xdr:from>
    <xdr:ext cx="10372" cy="228955"/>
    <xdr:sp macro="" textlink="">
      <xdr:nvSpPr>
        <xdr:cNvPr id="4313" name="Text Box 192">
          <a:extLst>
            <a:ext uri="{FF2B5EF4-FFF2-40B4-BE49-F238E27FC236}">
              <a16:creationId xmlns:a16="http://schemas.microsoft.com/office/drawing/2014/main" id="{3A799DE2-B482-414E-84ED-AD32D968969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263</xdr:row>
      <xdr:rowOff>0</xdr:rowOff>
    </xdr:from>
    <xdr:ext cx="10372" cy="228955"/>
    <xdr:sp macro="" textlink="">
      <xdr:nvSpPr>
        <xdr:cNvPr id="4314" name="Text Box 192">
          <a:extLst>
            <a:ext uri="{FF2B5EF4-FFF2-40B4-BE49-F238E27FC236}">
              <a16:creationId xmlns:a16="http://schemas.microsoft.com/office/drawing/2014/main" id="{2EB69732-DA4D-47FE-AFD9-1C091D936CB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4315" name="Text Box 192">
          <a:extLst>
            <a:ext uri="{FF2B5EF4-FFF2-40B4-BE49-F238E27FC236}">
              <a16:creationId xmlns:a16="http://schemas.microsoft.com/office/drawing/2014/main" id="{4C76F325-3E3A-468B-8557-DB8A949C8A1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263</xdr:row>
      <xdr:rowOff>0</xdr:rowOff>
    </xdr:from>
    <xdr:ext cx="10372" cy="228955"/>
    <xdr:sp macro="" textlink="">
      <xdr:nvSpPr>
        <xdr:cNvPr id="4316" name="Text Box 192">
          <a:extLst>
            <a:ext uri="{FF2B5EF4-FFF2-40B4-BE49-F238E27FC236}">
              <a16:creationId xmlns:a16="http://schemas.microsoft.com/office/drawing/2014/main" id="{B4B90D65-D8EC-40C9-B376-BD8E2C632B7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4317" name="Text Box 192">
          <a:extLst>
            <a:ext uri="{FF2B5EF4-FFF2-40B4-BE49-F238E27FC236}">
              <a16:creationId xmlns:a16="http://schemas.microsoft.com/office/drawing/2014/main" id="{973EB09D-4445-44DA-A793-5102F806C29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4318" name="Text Box 192">
          <a:extLst>
            <a:ext uri="{FF2B5EF4-FFF2-40B4-BE49-F238E27FC236}">
              <a16:creationId xmlns:a16="http://schemas.microsoft.com/office/drawing/2014/main" id="{33905783-D1CB-46B5-A30C-E2FC81E8327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4319" name="Text Box 192">
          <a:extLst>
            <a:ext uri="{FF2B5EF4-FFF2-40B4-BE49-F238E27FC236}">
              <a16:creationId xmlns:a16="http://schemas.microsoft.com/office/drawing/2014/main" id="{8D841D85-6806-4CA0-8B47-D6B3C3D486D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4320" name="Text Box 192">
          <a:extLst>
            <a:ext uri="{FF2B5EF4-FFF2-40B4-BE49-F238E27FC236}">
              <a16:creationId xmlns:a16="http://schemas.microsoft.com/office/drawing/2014/main" id="{8C97089D-C802-4865-B0CB-601E032C162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4321" name="Text Box 192">
          <a:extLst>
            <a:ext uri="{FF2B5EF4-FFF2-40B4-BE49-F238E27FC236}">
              <a16:creationId xmlns:a16="http://schemas.microsoft.com/office/drawing/2014/main" id="{021D2C64-6E95-41FA-B317-75B4F4A55AA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264</xdr:row>
      <xdr:rowOff>0</xdr:rowOff>
    </xdr:from>
    <xdr:ext cx="10372" cy="228955"/>
    <xdr:sp macro="" textlink="">
      <xdr:nvSpPr>
        <xdr:cNvPr id="4322" name="Text Box 192">
          <a:extLst>
            <a:ext uri="{FF2B5EF4-FFF2-40B4-BE49-F238E27FC236}">
              <a16:creationId xmlns:a16="http://schemas.microsoft.com/office/drawing/2014/main" id="{C7161DBA-9AEE-40A0-A109-84349C87361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266</xdr:row>
      <xdr:rowOff>0</xdr:rowOff>
    </xdr:from>
    <xdr:ext cx="10372" cy="228955"/>
    <xdr:sp macro="" textlink="">
      <xdr:nvSpPr>
        <xdr:cNvPr id="4323" name="Text Box 192">
          <a:extLst>
            <a:ext uri="{FF2B5EF4-FFF2-40B4-BE49-F238E27FC236}">
              <a16:creationId xmlns:a16="http://schemas.microsoft.com/office/drawing/2014/main" id="{85A7325C-D2DD-41A6-8082-3C039AD63630}"/>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4324" name="Text Box 192">
          <a:extLst>
            <a:ext uri="{FF2B5EF4-FFF2-40B4-BE49-F238E27FC236}">
              <a16:creationId xmlns:a16="http://schemas.microsoft.com/office/drawing/2014/main" id="{1EA86128-4426-4F02-9E87-06345B42963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266</xdr:row>
      <xdr:rowOff>0</xdr:rowOff>
    </xdr:from>
    <xdr:ext cx="10372" cy="228955"/>
    <xdr:sp macro="" textlink="">
      <xdr:nvSpPr>
        <xdr:cNvPr id="4325" name="Text Box 192">
          <a:extLst>
            <a:ext uri="{FF2B5EF4-FFF2-40B4-BE49-F238E27FC236}">
              <a16:creationId xmlns:a16="http://schemas.microsoft.com/office/drawing/2014/main" id="{97265489-7721-45BE-9744-7136831F67F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4326" name="Text Box 192">
          <a:extLst>
            <a:ext uri="{FF2B5EF4-FFF2-40B4-BE49-F238E27FC236}">
              <a16:creationId xmlns:a16="http://schemas.microsoft.com/office/drawing/2014/main" id="{727D34E0-5E45-4527-9732-26FCA97C846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4327" name="Text Box 192">
          <a:extLst>
            <a:ext uri="{FF2B5EF4-FFF2-40B4-BE49-F238E27FC236}">
              <a16:creationId xmlns:a16="http://schemas.microsoft.com/office/drawing/2014/main" id="{F3A3F799-8A59-4F18-AD68-A848DDD2805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4328" name="Text Box 192">
          <a:extLst>
            <a:ext uri="{FF2B5EF4-FFF2-40B4-BE49-F238E27FC236}">
              <a16:creationId xmlns:a16="http://schemas.microsoft.com/office/drawing/2014/main" id="{D9C15F75-4F04-4E21-9003-D975F51B0B9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4329" name="Text Box 192">
          <a:extLst>
            <a:ext uri="{FF2B5EF4-FFF2-40B4-BE49-F238E27FC236}">
              <a16:creationId xmlns:a16="http://schemas.microsoft.com/office/drawing/2014/main" id="{C9D8498F-8EB0-4FEA-AE33-0122E7D27AD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4330" name="Text Box 192">
          <a:extLst>
            <a:ext uri="{FF2B5EF4-FFF2-40B4-BE49-F238E27FC236}">
              <a16:creationId xmlns:a16="http://schemas.microsoft.com/office/drawing/2014/main" id="{002A7EDC-05B8-4190-88CC-3F2FEDCBB9A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4331" name="Text Box 192">
          <a:extLst>
            <a:ext uri="{FF2B5EF4-FFF2-40B4-BE49-F238E27FC236}">
              <a16:creationId xmlns:a16="http://schemas.microsoft.com/office/drawing/2014/main" id="{14862DD8-C360-4DF6-B99B-CA08FA43462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4332" name="Text Box 192">
          <a:extLst>
            <a:ext uri="{FF2B5EF4-FFF2-40B4-BE49-F238E27FC236}">
              <a16:creationId xmlns:a16="http://schemas.microsoft.com/office/drawing/2014/main" id="{4DBF9DF0-70E9-42B3-9F0C-CC45A43DDED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4333" name="Text Box 192">
          <a:extLst>
            <a:ext uri="{FF2B5EF4-FFF2-40B4-BE49-F238E27FC236}">
              <a16:creationId xmlns:a16="http://schemas.microsoft.com/office/drawing/2014/main" id="{7306A185-D755-4021-B5C6-5E4BC7638C1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267</xdr:row>
      <xdr:rowOff>0</xdr:rowOff>
    </xdr:from>
    <xdr:ext cx="10372" cy="228955"/>
    <xdr:sp macro="" textlink="">
      <xdr:nvSpPr>
        <xdr:cNvPr id="4334" name="Text Box 192">
          <a:extLst>
            <a:ext uri="{FF2B5EF4-FFF2-40B4-BE49-F238E27FC236}">
              <a16:creationId xmlns:a16="http://schemas.microsoft.com/office/drawing/2014/main" id="{45A1C770-2E32-40C5-B7F9-2EDEEB665702}"/>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4335" name="Text Box 192">
          <a:extLst>
            <a:ext uri="{FF2B5EF4-FFF2-40B4-BE49-F238E27FC236}">
              <a16:creationId xmlns:a16="http://schemas.microsoft.com/office/drawing/2014/main" id="{0F4A95AC-1B21-4A55-84B1-FC660E35199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4336" name="Text Box 192">
          <a:extLst>
            <a:ext uri="{FF2B5EF4-FFF2-40B4-BE49-F238E27FC236}">
              <a16:creationId xmlns:a16="http://schemas.microsoft.com/office/drawing/2014/main" id="{B813C8C8-8D3A-4157-B087-7201FC78826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4337" name="Text Box 192">
          <a:extLst>
            <a:ext uri="{FF2B5EF4-FFF2-40B4-BE49-F238E27FC236}">
              <a16:creationId xmlns:a16="http://schemas.microsoft.com/office/drawing/2014/main" id="{F9A59F09-AC4C-4245-BC22-03EE63185D9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4338" name="Text Box 192">
          <a:extLst>
            <a:ext uri="{FF2B5EF4-FFF2-40B4-BE49-F238E27FC236}">
              <a16:creationId xmlns:a16="http://schemas.microsoft.com/office/drawing/2014/main" id="{C956872E-11FD-4146-ACAC-40FC1E533C4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4339" name="Text Box 192">
          <a:extLst>
            <a:ext uri="{FF2B5EF4-FFF2-40B4-BE49-F238E27FC236}">
              <a16:creationId xmlns:a16="http://schemas.microsoft.com/office/drawing/2014/main" id="{3D45FCFC-3AA7-495F-9CC2-FE2A418E2BF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4340" name="Text Box 192">
          <a:extLst>
            <a:ext uri="{FF2B5EF4-FFF2-40B4-BE49-F238E27FC236}">
              <a16:creationId xmlns:a16="http://schemas.microsoft.com/office/drawing/2014/main" id="{9AA4D3FA-9218-456D-BE78-180C11627D1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4341" name="Text Box 192">
          <a:extLst>
            <a:ext uri="{FF2B5EF4-FFF2-40B4-BE49-F238E27FC236}">
              <a16:creationId xmlns:a16="http://schemas.microsoft.com/office/drawing/2014/main" id="{A2B67AEE-7E7D-4822-9A0F-D8E6D460F02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4342" name="Text Box 192">
          <a:extLst>
            <a:ext uri="{FF2B5EF4-FFF2-40B4-BE49-F238E27FC236}">
              <a16:creationId xmlns:a16="http://schemas.microsoft.com/office/drawing/2014/main" id="{B4D01F5C-490C-400D-821D-083568C4FAD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268</xdr:row>
      <xdr:rowOff>0</xdr:rowOff>
    </xdr:from>
    <xdr:ext cx="10372" cy="228955"/>
    <xdr:sp macro="" textlink="">
      <xdr:nvSpPr>
        <xdr:cNvPr id="4343" name="Text Box 192">
          <a:extLst>
            <a:ext uri="{FF2B5EF4-FFF2-40B4-BE49-F238E27FC236}">
              <a16:creationId xmlns:a16="http://schemas.microsoft.com/office/drawing/2014/main" id="{78826549-772F-47C6-84F1-19186210160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4344" name="Text Box 192">
          <a:extLst>
            <a:ext uri="{FF2B5EF4-FFF2-40B4-BE49-F238E27FC236}">
              <a16:creationId xmlns:a16="http://schemas.microsoft.com/office/drawing/2014/main" id="{06DB1CCD-03BC-4683-A112-A01BBEF9170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4345" name="Text Box 192">
          <a:extLst>
            <a:ext uri="{FF2B5EF4-FFF2-40B4-BE49-F238E27FC236}">
              <a16:creationId xmlns:a16="http://schemas.microsoft.com/office/drawing/2014/main" id="{F60E9199-AD45-4CE5-A93E-D919CD18448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4346" name="Text Box 192">
          <a:extLst>
            <a:ext uri="{FF2B5EF4-FFF2-40B4-BE49-F238E27FC236}">
              <a16:creationId xmlns:a16="http://schemas.microsoft.com/office/drawing/2014/main" id="{A7C166AA-4EF3-42F7-A134-2A355701E62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4347" name="Text Box 192">
          <a:extLst>
            <a:ext uri="{FF2B5EF4-FFF2-40B4-BE49-F238E27FC236}">
              <a16:creationId xmlns:a16="http://schemas.microsoft.com/office/drawing/2014/main" id="{8435C0F0-90AD-4B9E-B262-FB35F9AE350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4348" name="Text Box 192">
          <a:extLst>
            <a:ext uri="{FF2B5EF4-FFF2-40B4-BE49-F238E27FC236}">
              <a16:creationId xmlns:a16="http://schemas.microsoft.com/office/drawing/2014/main" id="{FB6B4BB1-76B3-4C83-8574-16AF2DB07A6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4349" name="Text Box 192">
          <a:extLst>
            <a:ext uri="{FF2B5EF4-FFF2-40B4-BE49-F238E27FC236}">
              <a16:creationId xmlns:a16="http://schemas.microsoft.com/office/drawing/2014/main" id="{40561D11-73B0-46C8-B4B7-1AEA4E165B2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4350" name="Text Box 192">
          <a:extLst>
            <a:ext uri="{FF2B5EF4-FFF2-40B4-BE49-F238E27FC236}">
              <a16:creationId xmlns:a16="http://schemas.microsoft.com/office/drawing/2014/main" id="{4A30CC2C-C0A9-481D-8375-80DE07E8E71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4351" name="Text Box 192">
          <a:extLst>
            <a:ext uri="{FF2B5EF4-FFF2-40B4-BE49-F238E27FC236}">
              <a16:creationId xmlns:a16="http://schemas.microsoft.com/office/drawing/2014/main" id="{24633676-A90F-49E5-8033-B5B7D2714AB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269</xdr:row>
      <xdr:rowOff>0</xdr:rowOff>
    </xdr:from>
    <xdr:ext cx="10372" cy="228955"/>
    <xdr:sp macro="" textlink="">
      <xdr:nvSpPr>
        <xdr:cNvPr id="4352" name="Text Box 192">
          <a:extLst>
            <a:ext uri="{FF2B5EF4-FFF2-40B4-BE49-F238E27FC236}">
              <a16:creationId xmlns:a16="http://schemas.microsoft.com/office/drawing/2014/main" id="{115D25F9-18CB-477B-B6F2-3B69B4E1D83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4353" name="Text Box 192">
          <a:extLst>
            <a:ext uri="{FF2B5EF4-FFF2-40B4-BE49-F238E27FC236}">
              <a16:creationId xmlns:a16="http://schemas.microsoft.com/office/drawing/2014/main" id="{58090133-9E84-4D0A-8D01-65C03F8D252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4354" name="Text Box 192">
          <a:extLst>
            <a:ext uri="{FF2B5EF4-FFF2-40B4-BE49-F238E27FC236}">
              <a16:creationId xmlns:a16="http://schemas.microsoft.com/office/drawing/2014/main" id="{57320E1F-529E-40DB-95E3-0D2E5FCCF09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4355" name="Text Box 192">
          <a:extLst>
            <a:ext uri="{FF2B5EF4-FFF2-40B4-BE49-F238E27FC236}">
              <a16:creationId xmlns:a16="http://schemas.microsoft.com/office/drawing/2014/main" id="{77C0C339-CC28-4AF6-B089-7629632FD21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4356" name="Text Box 192">
          <a:extLst>
            <a:ext uri="{FF2B5EF4-FFF2-40B4-BE49-F238E27FC236}">
              <a16:creationId xmlns:a16="http://schemas.microsoft.com/office/drawing/2014/main" id="{5049258C-D6CD-4D4F-B40C-685F5C85C90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4357" name="Text Box 192">
          <a:extLst>
            <a:ext uri="{FF2B5EF4-FFF2-40B4-BE49-F238E27FC236}">
              <a16:creationId xmlns:a16="http://schemas.microsoft.com/office/drawing/2014/main" id="{2C05706E-C7B1-406C-AF1F-3C41B8ECA10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4358" name="Text Box 192">
          <a:extLst>
            <a:ext uri="{FF2B5EF4-FFF2-40B4-BE49-F238E27FC236}">
              <a16:creationId xmlns:a16="http://schemas.microsoft.com/office/drawing/2014/main" id="{CF2C0B80-FBE6-4907-AFEA-2067B1580ED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4359" name="Text Box 192">
          <a:extLst>
            <a:ext uri="{FF2B5EF4-FFF2-40B4-BE49-F238E27FC236}">
              <a16:creationId xmlns:a16="http://schemas.microsoft.com/office/drawing/2014/main" id="{FE535185-DB07-4B9C-B36F-46C4980C759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4360" name="Text Box 192">
          <a:extLst>
            <a:ext uri="{FF2B5EF4-FFF2-40B4-BE49-F238E27FC236}">
              <a16:creationId xmlns:a16="http://schemas.microsoft.com/office/drawing/2014/main" id="{C6004C56-6176-40BD-BFCC-4187BA10AB9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270</xdr:row>
      <xdr:rowOff>0</xdr:rowOff>
    </xdr:from>
    <xdr:ext cx="10372" cy="228955"/>
    <xdr:sp macro="" textlink="">
      <xdr:nvSpPr>
        <xdr:cNvPr id="4361" name="Text Box 192">
          <a:extLst>
            <a:ext uri="{FF2B5EF4-FFF2-40B4-BE49-F238E27FC236}">
              <a16:creationId xmlns:a16="http://schemas.microsoft.com/office/drawing/2014/main" id="{F333A9D8-B79F-4AD4-BB5D-2EAFBB61349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4362" name="Text Box 192">
          <a:extLst>
            <a:ext uri="{FF2B5EF4-FFF2-40B4-BE49-F238E27FC236}">
              <a16:creationId xmlns:a16="http://schemas.microsoft.com/office/drawing/2014/main" id="{A5FC8CA8-A012-4F05-B9E9-6AE6613871B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4363" name="Text Box 192">
          <a:extLst>
            <a:ext uri="{FF2B5EF4-FFF2-40B4-BE49-F238E27FC236}">
              <a16:creationId xmlns:a16="http://schemas.microsoft.com/office/drawing/2014/main" id="{562B26A0-6FA1-4A73-8FF7-EE303DBD312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4364" name="Text Box 192">
          <a:extLst>
            <a:ext uri="{FF2B5EF4-FFF2-40B4-BE49-F238E27FC236}">
              <a16:creationId xmlns:a16="http://schemas.microsoft.com/office/drawing/2014/main" id="{A881000F-6D13-40DD-BCE9-521FC8043BC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4365" name="Text Box 192">
          <a:extLst>
            <a:ext uri="{FF2B5EF4-FFF2-40B4-BE49-F238E27FC236}">
              <a16:creationId xmlns:a16="http://schemas.microsoft.com/office/drawing/2014/main" id="{640515D9-9315-4B77-B252-5D8425ED1F9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4366" name="Text Box 192">
          <a:extLst>
            <a:ext uri="{FF2B5EF4-FFF2-40B4-BE49-F238E27FC236}">
              <a16:creationId xmlns:a16="http://schemas.microsoft.com/office/drawing/2014/main" id="{3C9CD0F4-8B06-426A-A4F6-9E63882872E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4367" name="Text Box 192">
          <a:extLst>
            <a:ext uri="{FF2B5EF4-FFF2-40B4-BE49-F238E27FC236}">
              <a16:creationId xmlns:a16="http://schemas.microsoft.com/office/drawing/2014/main" id="{996F50B6-82C8-462D-B79D-2ACE8908C06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4368" name="Text Box 192">
          <a:extLst>
            <a:ext uri="{FF2B5EF4-FFF2-40B4-BE49-F238E27FC236}">
              <a16:creationId xmlns:a16="http://schemas.microsoft.com/office/drawing/2014/main" id="{DC3C1A30-691C-4E63-8B65-79F033B4A5F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4369" name="Text Box 192">
          <a:extLst>
            <a:ext uri="{FF2B5EF4-FFF2-40B4-BE49-F238E27FC236}">
              <a16:creationId xmlns:a16="http://schemas.microsoft.com/office/drawing/2014/main" id="{EBE072ED-67A5-4C8F-9A4F-314AED01588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271</xdr:row>
      <xdr:rowOff>0</xdr:rowOff>
    </xdr:from>
    <xdr:ext cx="10372" cy="228955"/>
    <xdr:sp macro="" textlink="">
      <xdr:nvSpPr>
        <xdr:cNvPr id="4370" name="Text Box 192">
          <a:extLst>
            <a:ext uri="{FF2B5EF4-FFF2-40B4-BE49-F238E27FC236}">
              <a16:creationId xmlns:a16="http://schemas.microsoft.com/office/drawing/2014/main" id="{BB754A97-6F61-465A-9F9B-6A043FDFD761}"/>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4371" name="Text Box 192">
          <a:extLst>
            <a:ext uri="{FF2B5EF4-FFF2-40B4-BE49-F238E27FC236}">
              <a16:creationId xmlns:a16="http://schemas.microsoft.com/office/drawing/2014/main" id="{DDE162CB-6FD5-4EF1-A59B-8ADDD67187D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4372" name="Text Box 192">
          <a:extLst>
            <a:ext uri="{FF2B5EF4-FFF2-40B4-BE49-F238E27FC236}">
              <a16:creationId xmlns:a16="http://schemas.microsoft.com/office/drawing/2014/main" id="{D516A0BA-A333-47A7-B091-5FA639570AE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4373" name="Text Box 192">
          <a:extLst>
            <a:ext uri="{FF2B5EF4-FFF2-40B4-BE49-F238E27FC236}">
              <a16:creationId xmlns:a16="http://schemas.microsoft.com/office/drawing/2014/main" id="{C6F7A171-7ABA-465D-BBA7-7D6AC24ECFE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4374" name="Text Box 192">
          <a:extLst>
            <a:ext uri="{FF2B5EF4-FFF2-40B4-BE49-F238E27FC236}">
              <a16:creationId xmlns:a16="http://schemas.microsoft.com/office/drawing/2014/main" id="{BD786385-4869-4B90-9516-FC53F2CB69E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4375" name="Text Box 192">
          <a:extLst>
            <a:ext uri="{FF2B5EF4-FFF2-40B4-BE49-F238E27FC236}">
              <a16:creationId xmlns:a16="http://schemas.microsoft.com/office/drawing/2014/main" id="{76289ECB-B18D-4AD4-954F-70E8F743B75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4376" name="Text Box 192">
          <a:extLst>
            <a:ext uri="{FF2B5EF4-FFF2-40B4-BE49-F238E27FC236}">
              <a16:creationId xmlns:a16="http://schemas.microsoft.com/office/drawing/2014/main" id="{AFE5A22F-92F6-4CF4-9481-41C8825B489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4377" name="Text Box 192">
          <a:extLst>
            <a:ext uri="{FF2B5EF4-FFF2-40B4-BE49-F238E27FC236}">
              <a16:creationId xmlns:a16="http://schemas.microsoft.com/office/drawing/2014/main" id="{683A32FB-CD4C-4C27-9032-2298B414F3F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4378" name="Text Box 192">
          <a:extLst>
            <a:ext uri="{FF2B5EF4-FFF2-40B4-BE49-F238E27FC236}">
              <a16:creationId xmlns:a16="http://schemas.microsoft.com/office/drawing/2014/main" id="{E20316D4-B734-45A8-BC85-40161F3D8D3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272</xdr:row>
      <xdr:rowOff>0</xdr:rowOff>
    </xdr:from>
    <xdr:ext cx="10372" cy="228955"/>
    <xdr:sp macro="" textlink="">
      <xdr:nvSpPr>
        <xdr:cNvPr id="4379" name="Text Box 192">
          <a:extLst>
            <a:ext uri="{FF2B5EF4-FFF2-40B4-BE49-F238E27FC236}">
              <a16:creationId xmlns:a16="http://schemas.microsoft.com/office/drawing/2014/main" id="{17B8E1B9-915D-4B74-B98D-28C32F8A03E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4380" name="Text Box 192">
          <a:extLst>
            <a:ext uri="{FF2B5EF4-FFF2-40B4-BE49-F238E27FC236}">
              <a16:creationId xmlns:a16="http://schemas.microsoft.com/office/drawing/2014/main" id="{AC355A54-A411-43D0-AA48-AC3DFCDD653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4381" name="Text Box 192">
          <a:extLst>
            <a:ext uri="{FF2B5EF4-FFF2-40B4-BE49-F238E27FC236}">
              <a16:creationId xmlns:a16="http://schemas.microsoft.com/office/drawing/2014/main" id="{2F8347CC-82E3-471E-A7F4-C194977C2CA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4382" name="Text Box 192">
          <a:extLst>
            <a:ext uri="{FF2B5EF4-FFF2-40B4-BE49-F238E27FC236}">
              <a16:creationId xmlns:a16="http://schemas.microsoft.com/office/drawing/2014/main" id="{5CA6C7A6-3BA9-4244-83F2-0B5EDBAC57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4383" name="Text Box 192">
          <a:extLst>
            <a:ext uri="{FF2B5EF4-FFF2-40B4-BE49-F238E27FC236}">
              <a16:creationId xmlns:a16="http://schemas.microsoft.com/office/drawing/2014/main" id="{8687257C-313F-4E49-9826-4149B656075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4384" name="Text Box 192">
          <a:extLst>
            <a:ext uri="{FF2B5EF4-FFF2-40B4-BE49-F238E27FC236}">
              <a16:creationId xmlns:a16="http://schemas.microsoft.com/office/drawing/2014/main" id="{FACF4F0B-CDDF-4985-A5DF-4355A03C933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4385" name="Text Box 192">
          <a:extLst>
            <a:ext uri="{FF2B5EF4-FFF2-40B4-BE49-F238E27FC236}">
              <a16:creationId xmlns:a16="http://schemas.microsoft.com/office/drawing/2014/main" id="{1DB7A038-2A08-4829-8F5D-C1B381B6020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4386" name="Text Box 192">
          <a:extLst>
            <a:ext uri="{FF2B5EF4-FFF2-40B4-BE49-F238E27FC236}">
              <a16:creationId xmlns:a16="http://schemas.microsoft.com/office/drawing/2014/main" id="{9E945608-84A0-47CC-89B7-1FA71303BCC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4387" name="Text Box 192">
          <a:extLst>
            <a:ext uri="{FF2B5EF4-FFF2-40B4-BE49-F238E27FC236}">
              <a16:creationId xmlns:a16="http://schemas.microsoft.com/office/drawing/2014/main" id="{C46FC973-DF59-49FA-B2B0-F699F74A592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273</xdr:row>
      <xdr:rowOff>0</xdr:rowOff>
    </xdr:from>
    <xdr:ext cx="10372" cy="228955"/>
    <xdr:sp macro="" textlink="">
      <xdr:nvSpPr>
        <xdr:cNvPr id="4388" name="Text Box 192">
          <a:extLst>
            <a:ext uri="{FF2B5EF4-FFF2-40B4-BE49-F238E27FC236}">
              <a16:creationId xmlns:a16="http://schemas.microsoft.com/office/drawing/2014/main" id="{06F8EFA1-31E0-43BD-8947-0D95BA3E5DA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4389" name="Text Box 192">
          <a:extLst>
            <a:ext uri="{FF2B5EF4-FFF2-40B4-BE49-F238E27FC236}">
              <a16:creationId xmlns:a16="http://schemas.microsoft.com/office/drawing/2014/main" id="{137ACB7D-F2E5-4E4F-8CBC-FB42E0DDC33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4390" name="Text Box 192">
          <a:extLst>
            <a:ext uri="{FF2B5EF4-FFF2-40B4-BE49-F238E27FC236}">
              <a16:creationId xmlns:a16="http://schemas.microsoft.com/office/drawing/2014/main" id="{9BDE5010-5001-4BCC-9684-EDEBFD6708E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4391" name="Text Box 192">
          <a:extLst>
            <a:ext uri="{FF2B5EF4-FFF2-40B4-BE49-F238E27FC236}">
              <a16:creationId xmlns:a16="http://schemas.microsoft.com/office/drawing/2014/main" id="{8D8A3F41-E50F-4704-BBEE-47F6759E139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4392" name="Text Box 192">
          <a:extLst>
            <a:ext uri="{FF2B5EF4-FFF2-40B4-BE49-F238E27FC236}">
              <a16:creationId xmlns:a16="http://schemas.microsoft.com/office/drawing/2014/main" id="{6E3BC031-3778-4586-BBFA-96502AEC700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4393" name="Text Box 192">
          <a:extLst>
            <a:ext uri="{FF2B5EF4-FFF2-40B4-BE49-F238E27FC236}">
              <a16:creationId xmlns:a16="http://schemas.microsoft.com/office/drawing/2014/main" id="{F8B4D2D0-A8E1-41E6-8126-BF77A0409AC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4394" name="Text Box 192">
          <a:extLst>
            <a:ext uri="{FF2B5EF4-FFF2-40B4-BE49-F238E27FC236}">
              <a16:creationId xmlns:a16="http://schemas.microsoft.com/office/drawing/2014/main" id="{F49034E0-983D-4E12-A1FE-3E6C5AF0A1A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4395" name="Text Box 192">
          <a:extLst>
            <a:ext uri="{FF2B5EF4-FFF2-40B4-BE49-F238E27FC236}">
              <a16:creationId xmlns:a16="http://schemas.microsoft.com/office/drawing/2014/main" id="{140A027F-E24D-45F1-9414-BAA5471C8F2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4396" name="Text Box 192">
          <a:extLst>
            <a:ext uri="{FF2B5EF4-FFF2-40B4-BE49-F238E27FC236}">
              <a16:creationId xmlns:a16="http://schemas.microsoft.com/office/drawing/2014/main" id="{86048FC3-32EB-44D9-9C04-E63AF880F9A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274</xdr:row>
      <xdr:rowOff>0</xdr:rowOff>
    </xdr:from>
    <xdr:ext cx="10372" cy="228955"/>
    <xdr:sp macro="" textlink="">
      <xdr:nvSpPr>
        <xdr:cNvPr id="4397" name="Text Box 192">
          <a:extLst>
            <a:ext uri="{FF2B5EF4-FFF2-40B4-BE49-F238E27FC236}">
              <a16:creationId xmlns:a16="http://schemas.microsoft.com/office/drawing/2014/main" id="{311C1882-8A55-4DD9-B257-527DD241F8C4}"/>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4398" name="Text Box 192">
          <a:extLst>
            <a:ext uri="{FF2B5EF4-FFF2-40B4-BE49-F238E27FC236}">
              <a16:creationId xmlns:a16="http://schemas.microsoft.com/office/drawing/2014/main" id="{75A3ED2D-1F87-4279-A856-78222DF1626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4399" name="Text Box 192">
          <a:extLst>
            <a:ext uri="{FF2B5EF4-FFF2-40B4-BE49-F238E27FC236}">
              <a16:creationId xmlns:a16="http://schemas.microsoft.com/office/drawing/2014/main" id="{F7D73707-CA51-42CB-9199-FE78DE15346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4400" name="Text Box 192">
          <a:extLst>
            <a:ext uri="{FF2B5EF4-FFF2-40B4-BE49-F238E27FC236}">
              <a16:creationId xmlns:a16="http://schemas.microsoft.com/office/drawing/2014/main" id="{52ACC3F6-C01D-43C9-B49D-B89F5A3CFBF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4401" name="Text Box 192">
          <a:extLst>
            <a:ext uri="{FF2B5EF4-FFF2-40B4-BE49-F238E27FC236}">
              <a16:creationId xmlns:a16="http://schemas.microsoft.com/office/drawing/2014/main" id="{0536C915-9E60-43F5-AF45-8724B9978E8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4402" name="Text Box 192">
          <a:extLst>
            <a:ext uri="{FF2B5EF4-FFF2-40B4-BE49-F238E27FC236}">
              <a16:creationId xmlns:a16="http://schemas.microsoft.com/office/drawing/2014/main" id="{6F2A2809-59F2-4CCA-A7EB-C23F9988383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4403" name="Text Box 192">
          <a:extLst>
            <a:ext uri="{FF2B5EF4-FFF2-40B4-BE49-F238E27FC236}">
              <a16:creationId xmlns:a16="http://schemas.microsoft.com/office/drawing/2014/main" id="{73089BDF-B41B-4E74-BAFD-0D462381F57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4404" name="Text Box 192">
          <a:extLst>
            <a:ext uri="{FF2B5EF4-FFF2-40B4-BE49-F238E27FC236}">
              <a16:creationId xmlns:a16="http://schemas.microsoft.com/office/drawing/2014/main" id="{2F351853-D603-4533-889F-B77A1BDF5B9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4405" name="Text Box 192">
          <a:extLst>
            <a:ext uri="{FF2B5EF4-FFF2-40B4-BE49-F238E27FC236}">
              <a16:creationId xmlns:a16="http://schemas.microsoft.com/office/drawing/2014/main" id="{865DC48E-62D2-4FEB-99A2-AFD7B364C0E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275</xdr:row>
      <xdr:rowOff>0</xdr:rowOff>
    </xdr:from>
    <xdr:ext cx="10372" cy="228955"/>
    <xdr:sp macro="" textlink="">
      <xdr:nvSpPr>
        <xdr:cNvPr id="4406" name="Text Box 192">
          <a:extLst>
            <a:ext uri="{FF2B5EF4-FFF2-40B4-BE49-F238E27FC236}">
              <a16:creationId xmlns:a16="http://schemas.microsoft.com/office/drawing/2014/main" id="{3B8F30D2-7357-4301-A528-33DB52B3454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4407" name="Text Box 192">
          <a:extLst>
            <a:ext uri="{FF2B5EF4-FFF2-40B4-BE49-F238E27FC236}">
              <a16:creationId xmlns:a16="http://schemas.microsoft.com/office/drawing/2014/main" id="{01A7782D-1288-40AE-AB26-DDFEEF7FD67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4408" name="Text Box 192">
          <a:extLst>
            <a:ext uri="{FF2B5EF4-FFF2-40B4-BE49-F238E27FC236}">
              <a16:creationId xmlns:a16="http://schemas.microsoft.com/office/drawing/2014/main" id="{61BD403A-5F04-49B4-B29D-DCE05F5D7EA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4409" name="Text Box 192">
          <a:extLst>
            <a:ext uri="{FF2B5EF4-FFF2-40B4-BE49-F238E27FC236}">
              <a16:creationId xmlns:a16="http://schemas.microsoft.com/office/drawing/2014/main" id="{13FB822E-D2DC-4560-9332-260C0452CD1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4410" name="Text Box 192">
          <a:extLst>
            <a:ext uri="{FF2B5EF4-FFF2-40B4-BE49-F238E27FC236}">
              <a16:creationId xmlns:a16="http://schemas.microsoft.com/office/drawing/2014/main" id="{03FDF2F6-262D-49E0-A9C4-4FE0F4E5324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4411" name="Text Box 192">
          <a:extLst>
            <a:ext uri="{FF2B5EF4-FFF2-40B4-BE49-F238E27FC236}">
              <a16:creationId xmlns:a16="http://schemas.microsoft.com/office/drawing/2014/main" id="{A37140DC-4315-450E-B7D8-53405383A07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4412" name="Text Box 192">
          <a:extLst>
            <a:ext uri="{FF2B5EF4-FFF2-40B4-BE49-F238E27FC236}">
              <a16:creationId xmlns:a16="http://schemas.microsoft.com/office/drawing/2014/main" id="{4A50638C-2764-4852-ADC4-014ACD56D4F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4413" name="Text Box 192">
          <a:extLst>
            <a:ext uri="{FF2B5EF4-FFF2-40B4-BE49-F238E27FC236}">
              <a16:creationId xmlns:a16="http://schemas.microsoft.com/office/drawing/2014/main" id="{4CC9E5BD-5F7B-4B48-B93A-C47015295D85}"/>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4414" name="Text Box 192">
          <a:extLst>
            <a:ext uri="{FF2B5EF4-FFF2-40B4-BE49-F238E27FC236}">
              <a16:creationId xmlns:a16="http://schemas.microsoft.com/office/drawing/2014/main" id="{6DB33169-BA1E-4D4C-A95F-5B474166A79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276</xdr:row>
      <xdr:rowOff>0</xdr:rowOff>
    </xdr:from>
    <xdr:ext cx="10372" cy="228955"/>
    <xdr:sp macro="" textlink="">
      <xdr:nvSpPr>
        <xdr:cNvPr id="4415" name="Text Box 192">
          <a:extLst>
            <a:ext uri="{FF2B5EF4-FFF2-40B4-BE49-F238E27FC236}">
              <a16:creationId xmlns:a16="http://schemas.microsoft.com/office/drawing/2014/main" id="{5781C0E0-0B89-4383-A935-A05A8A8BF2A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4416" name="Text Box 192">
          <a:extLst>
            <a:ext uri="{FF2B5EF4-FFF2-40B4-BE49-F238E27FC236}">
              <a16:creationId xmlns:a16="http://schemas.microsoft.com/office/drawing/2014/main" id="{47CDEB76-105D-4C8A-8EF7-5C98A07F511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4417" name="Text Box 192">
          <a:extLst>
            <a:ext uri="{FF2B5EF4-FFF2-40B4-BE49-F238E27FC236}">
              <a16:creationId xmlns:a16="http://schemas.microsoft.com/office/drawing/2014/main" id="{1A010C65-9D12-4DDE-8CB4-4E7B1E2711C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4418" name="Text Box 192">
          <a:extLst>
            <a:ext uri="{FF2B5EF4-FFF2-40B4-BE49-F238E27FC236}">
              <a16:creationId xmlns:a16="http://schemas.microsoft.com/office/drawing/2014/main" id="{FE74818D-938D-4223-83AB-740E1912D6D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4419" name="Text Box 192">
          <a:extLst>
            <a:ext uri="{FF2B5EF4-FFF2-40B4-BE49-F238E27FC236}">
              <a16:creationId xmlns:a16="http://schemas.microsoft.com/office/drawing/2014/main" id="{1706C18D-15FF-4CCE-9263-3E0470A6D1E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4420" name="Text Box 192">
          <a:extLst>
            <a:ext uri="{FF2B5EF4-FFF2-40B4-BE49-F238E27FC236}">
              <a16:creationId xmlns:a16="http://schemas.microsoft.com/office/drawing/2014/main" id="{23C37FD0-42AC-4F36-AD47-AA1AFFB4679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4421" name="Text Box 192">
          <a:extLst>
            <a:ext uri="{FF2B5EF4-FFF2-40B4-BE49-F238E27FC236}">
              <a16:creationId xmlns:a16="http://schemas.microsoft.com/office/drawing/2014/main" id="{AE48909F-1C85-4F72-8297-BE3D7926E1B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4422" name="Text Box 192">
          <a:extLst>
            <a:ext uri="{FF2B5EF4-FFF2-40B4-BE49-F238E27FC236}">
              <a16:creationId xmlns:a16="http://schemas.microsoft.com/office/drawing/2014/main" id="{086C4013-350C-4D30-B4E9-0DED25107203}"/>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4423" name="Text Box 192">
          <a:extLst>
            <a:ext uri="{FF2B5EF4-FFF2-40B4-BE49-F238E27FC236}">
              <a16:creationId xmlns:a16="http://schemas.microsoft.com/office/drawing/2014/main" id="{FC3E3C5C-511D-4E2C-96A3-050A8F15CE6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277</xdr:row>
      <xdr:rowOff>0</xdr:rowOff>
    </xdr:from>
    <xdr:ext cx="10372" cy="228955"/>
    <xdr:sp macro="" textlink="">
      <xdr:nvSpPr>
        <xdr:cNvPr id="4424" name="Text Box 192">
          <a:extLst>
            <a:ext uri="{FF2B5EF4-FFF2-40B4-BE49-F238E27FC236}">
              <a16:creationId xmlns:a16="http://schemas.microsoft.com/office/drawing/2014/main" id="{5278F8F3-F8CB-4FA6-8671-A22667252E0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4425" name="Text Box 192">
          <a:extLst>
            <a:ext uri="{FF2B5EF4-FFF2-40B4-BE49-F238E27FC236}">
              <a16:creationId xmlns:a16="http://schemas.microsoft.com/office/drawing/2014/main" id="{A430A784-807F-4258-B9B3-C035AB326B3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4426" name="Text Box 192">
          <a:extLst>
            <a:ext uri="{FF2B5EF4-FFF2-40B4-BE49-F238E27FC236}">
              <a16:creationId xmlns:a16="http://schemas.microsoft.com/office/drawing/2014/main" id="{87FCFD2B-D392-4AE1-8EED-BF151C28849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4427" name="Text Box 192">
          <a:extLst>
            <a:ext uri="{FF2B5EF4-FFF2-40B4-BE49-F238E27FC236}">
              <a16:creationId xmlns:a16="http://schemas.microsoft.com/office/drawing/2014/main" id="{C1D0D7F7-B03F-40D0-946C-F62C2D17209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4428" name="Text Box 192">
          <a:extLst>
            <a:ext uri="{FF2B5EF4-FFF2-40B4-BE49-F238E27FC236}">
              <a16:creationId xmlns:a16="http://schemas.microsoft.com/office/drawing/2014/main" id="{37BE7E7A-37E9-4FAD-BC8E-33C2F554915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4429" name="Text Box 192">
          <a:extLst>
            <a:ext uri="{FF2B5EF4-FFF2-40B4-BE49-F238E27FC236}">
              <a16:creationId xmlns:a16="http://schemas.microsoft.com/office/drawing/2014/main" id="{33B3E4A0-68A1-48DB-B684-59EB209165F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4430" name="Text Box 192">
          <a:extLst>
            <a:ext uri="{FF2B5EF4-FFF2-40B4-BE49-F238E27FC236}">
              <a16:creationId xmlns:a16="http://schemas.microsoft.com/office/drawing/2014/main" id="{18F3FD08-7023-405C-BED4-E20273EE213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4431" name="Text Box 192">
          <a:extLst>
            <a:ext uri="{FF2B5EF4-FFF2-40B4-BE49-F238E27FC236}">
              <a16:creationId xmlns:a16="http://schemas.microsoft.com/office/drawing/2014/main" id="{6D82F248-9B3F-4415-BA96-DC605FE60F8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4432" name="Text Box 192">
          <a:extLst>
            <a:ext uri="{FF2B5EF4-FFF2-40B4-BE49-F238E27FC236}">
              <a16:creationId xmlns:a16="http://schemas.microsoft.com/office/drawing/2014/main" id="{E2FBDA03-7764-470F-8C6D-7E6EC365638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278</xdr:row>
      <xdr:rowOff>0</xdr:rowOff>
    </xdr:from>
    <xdr:ext cx="10372" cy="228955"/>
    <xdr:sp macro="" textlink="">
      <xdr:nvSpPr>
        <xdr:cNvPr id="4433" name="Text Box 192">
          <a:extLst>
            <a:ext uri="{FF2B5EF4-FFF2-40B4-BE49-F238E27FC236}">
              <a16:creationId xmlns:a16="http://schemas.microsoft.com/office/drawing/2014/main" id="{2D8CF425-84A9-466B-896B-99919DED200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4434" name="Text Box 192">
          <a:extLst>
            <a:ext uri="{FF2B5EF4-FFF2-40B4-BE49-F238E27FC236}">
              <a16:creationId xmlns:a16="http://schemas.microsoft.com/office/drawing/2014/main" id="{7B4F0612-EAD4-4E4C-9ECD-FD2DC3077D8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4435" name="Text Box 192">
          <a:extLst>
            <a:ext uri="{FF2B5EF4-FFF2-40B4-BE49-F238E27FC236}">
              <a16:creationId xmlns:a16="http://schemas.microsoft.com/office/drawing/2014/main" id="{AF3768DE-08A6-420E-AF1A-6F36E4559A3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4436" name="Text Box 192">
          <a:extLst>
            <a:ext uri="{FF2B5EF4-FFF2-40B4-BE49-F238E27FC236}">
              <a16:creationId xmlns:a16="http://schemas.microsoft.com/office/drawing/2014/main" id="{8F6F4A3D-D254-4703-ABFF-2492D4E94EA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4437" name="Text Box 192">
          <a:extLst>
            <a:ext uri="{FF2B5EF4-FFF2-40B4-BE49-F238E27FC236}">
              <a16:creationId xmlns:a16="http://schemas.microsoft.com/office/drawing/2014/main" id="{DF173CDA-5081-44DD-B4A2-04C2CFB3CA1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4438" name="Text Box 192">
          <a:extLst>
            <a:ext uri="{FF2B5EF4-FFF2-40B4-BE49-F238E27FC236}">
              <a16:creationId xmlns:a16="http://schemas.microsoft.com/office/drawing/2014/main" id="{F4510836-5AFD-47C0-ABC0-29B338AE80D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4439" name="Text Box 192">
          <a:extLst>
            <a:ext uri="{FF2B5EF4-FFF2-40B4-BE49-F238E27FC236}">
              <a16:creationId xmlns:a16="http://schemas.microsoft.com/office/drawing/2014/main" id="{66C09E23-D2AF-46A8-B911-25F3F6972FA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4440" name="Text Box 192">
          <a:extLst>
            <a:ext uri="{FF2B5EF4-FFF2-40B4-BE49-F238E27FC236}">
              <a16:creationId xmlns:a16="http://schemas.microsoft.com/office/drawing/2014/main" id="{620EC449-D0AA-43DE-AAE7-6513394C535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4441" name="Text Box 192">
          <a:extLst>
            <a:ext uri="{FF2B5EF4-FFF2-40B4-BE49-F238E27FC236}">
              <a16:creationId xmlns:a16="http://schemas.microsoft.com/office/drawing/2014/main" id="{50880044-5F14-44BB-9A2C-2C57FB26096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279</xdr:row>
      <xdr:rowOff>0</xdr:rowOff>
    </xdr:from>
    <xdr:ext cx="10372" cy="228955"/>
    <xdr:sp macro="" textlink="">
      <xdr:nvSpPr>
        <xdr:cNvPr id="4442" name="Text Box 192">
          <a:extLst>
            <a:ext uri="{FF2B5EF4-FFF2-40B4-BE49-F238E27FC236}">
              <a16:creationId xmlns:a16="http://schemas.microsoft.com/office/drawing/2014/main" id="{1CEC0B32-1685-4762-BE7A-7F0C28C1CAF7}"/>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4443" name="Text Box 192">
          <a:extLst>
            <a:ext uri="{FF2B5EF4-FFF2-40B4-BE49-F238E27FC236}">
              <a16:creationId xmlns:a16="http://schemas.microsoft.com/office/drawing/2014/main" id="{F1B92312-2675-4AEA-81A3-FC6220EA25F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4444" name="Text Box 192">
          <a:extLst>
            <a:ext uri="{FF2B5EF4-FFF2-40B4-BE49-F238E27FC236}">
              <a16:creationId xmlns:a16="http://schemas.microsoft.com/office/drawing/2014/main" id="{16521870-F46E-475B-A808-E3B1A85201DC}"/>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4445" name="Text Box 192">
          <a:extLst>
            <a:ext uri="{FF2B5EF4-FFF2-40B4-BE49-F238E27FC236}">
              <a16:creationId xmlns:a16="http://schemas.microsoft.com/office/drawing/2014/main" id="{C5D4AA84-CC14-4C22-889D-93F3249F174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4446" name="Text Box 192">
          <a:extLst>
            <a:ext uri="{FF2B5EF4-FFF2-40B4-BE49-F238E27FC236}">
              <a16:creationId xmlns:a16="http://schemas.microsoft.com/office/drawing/2014/main" id="{E82F8B2F-8F9D-4E75-99F4-A96A4A45AD0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4447" name="Text Box 192">
          <a:extLst>
            <a:ext uri="{FF2B5EF4-FFF2-40B4-BE49-F238E27FC236}">
              <a16:creationId xmlns:a16="http://schemas.microsoft.com/office/drawing/2014/main" id="{B7DEB7A4-4168-41E2-93D8-6C038455860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4448" name="Text Box 192">
          <a:extLst>
            <a:ext uri="{FF2B5EF4-FFF2-40B4-BE49-F238E27FC236}">
              <a16:creationId xmlns:a16="http://schemas.microsoft.com/office/drawing/2014/main" id="{3EC8876D-4E0A-4602-B1C1-7BB073732FD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4449" name="Text Box 192">
          <a:extLst>
            <a:ext uri="{FF2B5EF4-FFF2-40B4-BE49-F238E27FC236}">
              <a16:creationId xmlns:a16="http://schemas.microsoft.com/office/drawing/2014/main" id="{BA51AF95-57D7-4087-ABB2-29CF98E3EDAA}"/>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4450" name="Text Box 192">
          <a:extLst>
            <a:ext uri="{FF2B5EF4-FFF2-40B4-BE49-F238E27FC236}">
              <a16:creationId xmlns:a16="http://schemas.microsoft.com/office/drawing/2014/main" id="{A5F9416B-E47F-42AB-9782-551AFDDBF872}"/>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280</xdr:row>
      <xdr:rowOff>0</xdr:rowOff>
    </xdr:from>
    <xdr:ext cx="10372" cy="228955"/>
    <xdr:sp macro="" textlink="">
      <xdr:nvSpPr>
        <xdr:cNvPr id="4451" name="Text Box 192">
          <a:extLst>
            <a:ext uri="{FF2B5EF4-FFF2-40B4-BE49-F238E27FC236}">
              <a16:creationId xmlns:a16="http://schemas.microsoft.com/office/drawing/2014/main" id="{D78AF3DE-2342-43C2-A92D-EBE6D9B800C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4452" name="Text Box 192">
          <a:extLst>
            <a:ext uri="{FF2B5EF4-FFF2-40B4-BE49-F238E27FC236}">
              <a16:creationId xmlns:a16="http://schemas.microsoft.com/office/drawing/2014/main" id="{225A8683-730C-4D2A-818F-E0A836631DB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4453" name="Text Box 192">
          <a:extLst>
            <a:ext uri="{FF2B5EF4-FFF2-40B4-BE49-F238E27FC236}">
              <a16:creationId xmlns:a16="http://schemas.microsoft.com/office/drawing/2014/main" id="{812417AA-9D4F-441C-81EC-24FB7825463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4454" name="Text Box 192">
          <a:extLst>
            <a:ext uri="{FF2B5EF4-FFF2-40B4-BE49-F238E27FC236}">
              <a16:creationId xmlns:a16="http://schemas.microsoft.com/office/drawing/2014/main" id="{9AC3B3D5-DE66-45BC-B54F-0589A5EBC7BE}"/>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4455" name="Text Box 192">
          <a:extLst>
            <a:ext uri="{FF2B5EF4-FFF2-40B4-BE49-F238E27FC236}">
              <a16:creationId xmlns:a16="http://schemas.microsoft.com/office/drawing/2014/main" id="{E5379781-1DC9-4BD1-90F4-3B1221EF1A0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4456" name="Text Box 192">
          <a:extLst>
            <a:ext uri="{FF2B5EF4-FFF2-40B4-BE49-F238E27FC236}">
              <a16:creationId xmlns:a16="http://schemas.microsoft.com/office/drawing/2014/main" id="{56197A95-ADCA-4A94-ACCA-9C5CA3051AD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281</xdr:row>
      <xdr:rowOff>0</xdr:rowOff>
    </xdr:from>
    <xdr:ext cx="10372" cy="228955"/>
    <xdr:sp macro="" textlink="">
      <xdr:nvSpPr>
        <xdr:cNvPr id="4457" name="Text Box 192">
          <a:extLst>
            <a:ext uri="{FF2B5EF4-FFF2-40B4-BE49-F238E27FC236}">
              <a16:creationId xmlns:a16="http://schemas.microsoft.com/office/drawing/2014/main" id="{4FBECC6D-327E-4CDE-A602-A2FBBE062F0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283</xdr:row>
      <xdr:rowOff>0</xdr:rowOff>
    </xdr:from>
    <xdr:ext cx="10372" cy="228955"/>
    <xdr:sp macro="" textlink="">
      <xdr:nvSpPr>
        <xdr:cNvPr id="4458" name="Text Box 192">
          <a:extLst>
            <a:ext uri="{FF2B5EF4-FFF2-40B4-BE49-F238E27FC236}">
              <a16:creationId xmlns:a16="http://schemas.microsoft.com/office/drawing/2014/main" id="{3A30CA05-641C-4D08-BC00-49144903D63E}"/>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4459" name="Text Box 192">
          <a:extLst>
            <a:ext uri="{FF2B5EF4-FFF2-40B4-BE49-F238E27FC236}">
              <a16:creationId xmlns:a16="http://schemas.microsoft.com/office/drawing/2014/main" id="{BB8DB264-91B5-4367-B479-449B0AA611D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283</xdr:row>
      <xdr:rowOff>0</xdr:rowOff>
    </xdr:from>
    <xdr:ext cx="10372" cy="228955"/>
    <xdr:sp macro="" textlink="">
      <xdr:nvSpPr>
        <xdr:cNvPr id="4460" name="Text Box 192">
          <a:extLst>
            <a:ext uri="{FF2B5EF4-FFF2-40B4-BE49-F238E27FC236}">
              <a16:creationId xmlns:a16="http://schemas.microsoft.com/office/drawing/2014/main" id="{2E8852D4-27A7-414B-AFCC-CB1B8111F559}"/>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4461" name="Text Box 192">
          <a:extLst>
            <a:ext uri="{FF2B5EF4-FFF2-40B4-BE49-F238E27FC236}">
              <a16:creationId xmlns:a16="http://schemas.microsoft.com/office/drawing/2014/main" id="{B818C8A9-56B7-4D7F-AE94-C64FB5CFCA6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4462" name="Text Box 192">
          <a:extLst>
            <a:ext uri="{FF2B5EF4-FFF2-40B4-BE49-F238E27FC236}">
              <a16:creationId xmlns:a16="http://schemas.microsoft.com/office/drawing/2014/main" id="{AFBEBBC2-6CDF-4F40-9C9B-1AC62048320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4463" name="Text Box 192">
          <a:extLst>
            <a:ext uri="{FF2B5EF4-FFF2-40B4-BE49-F238E27FC236}">
              <a16:creationId xmlns:a16="http://schemas.microsoft.com/office/drawing/2014/main" id="{0D9A1E59-A8C6-4AB9-A1EC-A1388CA9FB33}"/>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4464" name="Text Box 192">
          <a:extLst>
            <a:ext uri="{FF2B5EF4-FFF2-40B4-BE49-F238E27FC236}">
              <a16:creationId xmlns:a16="http://schemas.microsoft.com/office/drawing/2014/main" id="{D4A181BC-B68F-48DD-B8B1-B31EDCD9F246}"/>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4465" name="Text Box 192">
          <a:extLst>
            <a:ext uri="{FF2B5EF4-FFF2-40B4-BE49-F238E27FC236}">
              <a16:creationId xmlns:a16="http://schemas.microsoft.com/office/drawing/2014/main" id="{DC85BDBF-5C48-40DC-8C5E-930AFD5BA09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4466" name="Text Box 192">
          <a:extLst>
            <a:ext uri="{FF2B5EF4-FFF2-40B4-BE49-F238E27FC236}">
              <a16:creationId xmlns:a16="http://schemas.microsoft.com/office/drawing/2014/main" id="{73622AB3-F8D9-4499-8D01-7A4758F83329}"/>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4467" name="Text Box 192">
          <a:extLst>
            <a:ext uri="{FF2B5EF4-FFF2-40B4-BE49-F238E27FC236}">
              <a16:creationId xmlns:a16="http://schemas.microsoft.com/office/drawing/2014/main" id="{11AA86F8-C6ED-440B-9846-A4040C753CDB}"/>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4468" name="Text Box 192">
          <a:extLst>
            <a:ext uri="{FF2B5EF4-FFF2-40B4-BE49-F238E27FC236}">
              <a16:creationId xmlns:a16="http://schemas.microsoft.com/office/drawing/2014/main" id="{3E84C100-F355-4ADD-AB65-59077A7BEEC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284</xdr:row>
      <xdr:rowOff>0</xdr:rowOff>
    </xdr:from>
    <xdr:ext cx="10372" cy="228955"/>
    <xdr:sp macro="" textlink="">
      <xdr:nvSpPr>
        <xdr:cNvPr id="4469" name="Text Box 192">
          <a:extLst>
            <a:ext uri="{FF2B5EF4-FFF2-40B4-BE49-F238E27FC236}">
              <a16:creationId xmlns:a16="http://schemas.microsoft.com/office/drawing/2014/main" id="{A425E1BE-54AA-462B-AA2A-5E12FE29FB2D}"/>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4470" name="Text Box 192">
          <a:extLst>
            <a:ext uri="{FF2B5EF4-FFF2-40B4-BE49-F238E27FC236}">
              <a16:creationId xmlns:a16="http://schemas.microsoft.com/office/drawing/2014/main" id="{B82953CE-0FD0-4E9A-B512-5BBAA0E50368}"/>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4471" name="Text Box 192">
          <a:extLst>
            <a:ext uri="{FF2B5EF4-FFF2-40B4-BE49-F238E27FC236}">
              <a16:creationId xmlns:a16="http://schemas.microsoft.com/office/drawing/2014/main" id="{E1253C64-4469-4E4C-A513-9FA64E2C1281}"/>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4472" name="Text Box 192">
          <a:extLst>
            <a:ext uri="{FF2B5EF4-FFF2-40B4-BE49-F238E27FC236}">
              <a16:creationId xmlns:a16="http://schemas.microsoft.com/office/drawing/2014/main" id="{48C99532-CF43-44AD-B15C-1AEC9B3E09C4}"/>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4473" name="Text Box 192">
          <a:extLst>
            <a:ext uri="{FF2B5EF4-FFF2-40B4-BE49-F238E27FC236}">
              <a16:creationId xmlns:a16="http://schemas.microsoft.com/office/drawing/2014/main" id="{8FEB7311-0424-4B47-B216-B9BD125ECBC0}"/>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4474" name="Text Box 192">
          <a:extLst>
            <a:ext uri="{FF2B5EF4-FFF2-40B4-BE49-F238E27FC236}">
              <a16:creationId xmlns:a16="http://schemas.microsoft.com/office/drawing/2014/main" id="{C251FBF0-2E48-457A-91B4-9B16DAB277F7}"/>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4475" name="Text Box 192">
          <a:extLst>
            <a:ext uri="{FF2B5EF4-FFF2-40B4-BE49-F238E27FC236}">
              <a16:creationId xmlns:a16="http://schemas.microsoft.com/office/drawing/2014/main" id="{E303B27A-0062-41EB-B736-6689E371F20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4476" name="Text Box 192">
          <a:extLst>
            <a:ext uri="{FF2B5EF4-FFF2-40B4-BE49-F238E27FC236}">
              <a16:creationId xmlns:a16="http://schemas.microsoft.com/office/drawing/2014/main" id="{D3C72E3D-F1C1-435F-B99A-A83313A9AAD6}"/>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4477" name="Text Box 192">
          <a:extLst>
            <a:ext uri="{FF2B5EF4-FFF2-40B4-BE49-F238E27FC236}">
              <a16:creationId xmlns:a16="http://schemas.microsoft.com/office/drawing/2014/main" id="{662BD4FC-2B13-4561-AA60-D63FEEADBC3D}"/>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285</xdr:row>
      <xdr:rowOff>0</xdr:rowOff>
    </xdr:from>
    <xdr:ext cx="10372" cy="228955"/>
    <xdr:sp macro="" textlink="">
      <xdr:nvSpPr>
        <xdr:cNvPr id="4478" name="Text Box 192">
          <a:extLst>
            <a:ext uri="{FF2B5EF4-FFF2-40B4-BE49-F238E27FC236}">
              <a16:creationId xmlns:a16="http://schemas.microsoft.com/office/drawing/2014/main" id="{F4CBAB73-B425-4700-B2E8-45561A76CC28}"/>
            </a:ext>
          </a:extLst>
        </xdr:cNvPr>
        <xdr:cNvSpPr txBox="1">
          <a:spLocks noChangeArrowheads="1"/>
        </xdr:cNvSpPr>
      </xdr:nvSpPr>
      <xdr:spPr bwMode="auto">
        <a:xfrm>
          <a:off x="25200209" y="3232548"/>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4479" name="Text Box 192">
          <a:extLst>
            <a:ext uri="{FF2B5EF4-FFF2-40B4-BE49-F238E27FC236}">
              <a16:creationId xmlns:a16="http://schemas.microsoft.com/office/drawing/2014/main" id="{1AF8B4D1-7A78-4C0D-8A56-990FC856258A}"/>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4480" name="Text Box 192">
          <a:extLst>
            <a:ext uri="{FF2B5EF4-FFF2-40B4-BE49-F238E27FC236}">
              <a16:creationId xmlns:a16="http://schemas.microsoft.com/office/drawing/2014/main" id="{A1A71B31-0899-4262-97FC-316CC558D72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4481" name="Text Box 192">
          <a:extLst>
            <a:ext uri="{FF2B5EF4-FFF2-40B4-BE49-F238E27FC236}">
              <a16:creationId xmlns:a16="http://schemas.microsoft.com/office/drawing/2014/main" id="{5928E454-CDAA-4A75-BAA6-47359D47F7D5}"/>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4482" name="Text Box 192">
          <a:extLst>
            <a:ext uri="{FF2B5EF4-FFF2-40B4-BE49-F238E27FC236}">
              <a16:creationId xmlns:a16="http://schemas.microsoft.com/office/drawing/2014/main" id="{17755660-A134-4925-A9E2-68CB503467B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4483" name="Text Box 192">
          <a:extLst>
            <a:ext uri="{FF2B5EF4-FFF2-40B4-BE49-F238E27FC236}">
              <a16:creationId xmlns:a16="http://schemas.microsoft.com/office/drawing/2014/main" id="{5BDA7B57-1AAF-4F21-9C42-4588EAAD39AF}"/>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286</xdr:row>
      <xdr:rowOff>0</xdr:rowOff>
    </xdr:from>
    <xdr:ext cx="10372" cy="228955"/>
    <xdr:sp macro="" textlink="">
      <xdr:nvSpPr>
        <xdr:cNvPr id="4484" name="Text Box 192">
          <a:extLst>
            <a:ext uri="{FF2B5EF4-FFF2-40B4-BE49-F238E27FC236}">
              <a16:creationId xmlns:a16="http://schemas.microsoft.com/office/drawing/2014/main" id="{7C6F3B43-3A8E-4006-9E1C-5FA9A04F308B}"/>
            </a:ext>
          </a:extLst>
        </xdr:cNvPr>
        <xdr:cNvSpPr txBox="1">
          <a:spLocks noChangeArrowheads="1"/>
        </xdr:cNvSpPr>
      </xdr:nvSpPr>
      <xdr:spPr bwMode="auto">
        <a:xfrm>
          <a:off x="25200209" y="3399235"/>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57" name="Text Box 192">
          <a:extLst>
            <a:ext uri="{FF2B5EF4-FFF2-40B4-BE49-F238E27FC236}">
              <a16:creationId xmlns:a16="http://schemas.microsoft.com/office/drawing/2014/main" id="{6BFBEAE7-5BD6-4915-B887-ED10D668A7D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58" name="Text Box 192">
          <a:extLst>
            <a:ext uri="{FF2B5EF4-FFF2-40B4-BE49-F238E27FC236}">
              <a16:creationId xmlns:a16="http://schemas.microsoft.com/office/drawing/2014/main" id="{E4779933-59B7-4D1D-96FA-8B5A3990F56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59" name="Text Box 192">
          <a:extLst>
            <a:ext uri="{FF2B5EF4-FFF2-40B4-BE49-F238E27FC236}">
              <a16:creationId xmlns:a16="http://schemas.microsoft.com/office/drawing/2014/main" id="{3867F83C-432E-4B49-9C21-99B666C3817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60" name="Text Box 192">
          <a:extLst>
            <a:ext uri="{FF2B5EF4-FFF2-40B4-BE49-F238E27FC236}">
              <a16:creationId xmlns:a16="http://schemas.microsoft.com/office/drawing/2014/main" id="{7296A93D-312E-46DF-9DEC-008CA39801A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61" name="Text Box 192">
          <a:extLst>
            <a:ext uri="{FF2B5EF4-FFF2-40B4-BE49-F238E27FC236}">
              <a16:creationId xmlns:a16="http://schemas.microsoft.com/office/drawing/2014/main" id="{82A80EC6-A477-43A4-8E03-F9C78C9EC85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62" name="Text Box 192">
          <a:extLst>
            <a:ext uri="{FF2B5EF4-FFF2-40B4-BE49-F238E27FC236}">
              <a16:creationId xmlns:a16="http://schemas.microsoft.com/office/drawing/2014/main" id="{9F2CA2B1-6E99-4DBC-8F50-BABF1775625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63" name="Text Box 192">
          <a:extLst>
            <a:ext uri="{FF2B5EF4-FFF2-40B4-BE49-F238E27FC236}">
              <a16:creationId xmlns:a16="http://schemas.microsoft.com/office/drawing/2014/main" id="{9E22795C-D011-4897-A302-12AFA29B813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64" name="Text Box 192">
          <a:extLst>
            <a:ext uri="{FF2B5EF4-FFF2-40B4-BE49-F238E27FC236}">
              <a16:creationId xmlns:a16="http://schemas.microsoft.com/office/drawing/2014/main" id="{CA84AC2B-56F7-4A11-A9F1-42A36FA247B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65" name="Text Box 192">
          <a:extLst>
            <a:ext uri="{FF2B5EF4-FFF2-40B4-BE49-F238E27FC236}">
              <a16:creationId xmlns:a16="http://schemas.microsoft.com/office/drawing/2014/main" id="{BFE73737-5AEF-4463-A675-94C4502CADE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66" name="Text Box 192">
          <a:extLst>
            <a:ext uri="{FF2B5EF4-FFF2-40B4-BE49-F238E27FC236}">
              <a16:creationId xmlns:a16="http://schemas.microsoft.com/office/drawing/2014/main" id="{33EF3AB0-5D43-4D08-A0B6-0B8AE059E02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67" name="Text Box 192">
          <a:extLst>
            <a:ext uri="{FF2B5EF4-FFF2-40B4-BE49-F238E27FC236}">
              <a16:creationId xmlns:a16="http://schemas.microsoft.com/office/drawing/2014/main" id="{7CE00C73-30A3-447C-8346-BE99D17B13B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68" name="Text Box 192">
          <a:extLst>
            <a:ext uri="{FF2B5EF4-FFF2-40B4-BE49-F238E27FC236}">
              <a16:creationId xmlns:a16="http://schemas.microsoft.com/office/drawing/2014/main" id="{41E1618A-27B1-472A-BE40-998F029E5B3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69" name="Text Box 192">
          <a:extLst>
            <a:ext uri="{FF2B5EF4-FFF2-40B4-BE49-F238E27FC236}">
              <a16:creationId xmlns:a16="http://schemas.microsoft.com/office/drawing/2014/main" id="{CE39DEFA-7A23-46CD-A491-0353883D262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70" name="Text Box 192">
          <a:extLst>
            <a:ext uri="{FF2B5EF4-FFF2-40B4-BE49-F238E27FC236}">
              <a16:creationId xmlns:a16="http://schemas.microsoft.com/office/drawing/2014/main" id="{00E231A1-88E6-44BB-B5B0-104AD80B5B5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71" name="Text Box 192">
          <a:extLst>
            <a:ext uri="{FF2B5EF4-FFF2-40B4-BE49-F238E27FC236}">
              <a16:creationId xmlns:a16="http://schemas.microsoft.com/office/drawing/2014/main" id="{1717C5C9-B2EE-4079-8B6F-1B3FF2EDE6B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72" name="Text Box 192">
          <a:extLst>
            <a:ext uri="{FF2B5EF4-FFF2-40B4-BE49-F238E27FC236}">
              <a16:creationId xmlns:a16="http://schemas.microsoft.com/office/drawing/2014/main" id="{34C4BB61-8DFB-4648-9170-4649B753AE3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73" name="Text Box 192">
          <a:extLst>
            <a:ext uri="{FF2B5EF4-FFF2-40B4-BE49-F238E27FC236}">
              <a16:creationId xmlns:a16="http://schemas.microsoft.com/office/drawing/2014/main" id="{FB156545-68B0-4A16-8C0A-B45B65615A3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289</xdr:row>
      <xdr:rowOff>0</xdr:rowOff>
    </xdr:from>
    <xdr:ext cx="10372" cy="228955"/>
    <xdr:sp macro="" textlink="">
      <xdr:nvSpPr>
        <xdr:cNvPr id="4574" name="Text Box 192">
          <a:extLst>
            <a:ext uri="{FF2B5EF4-FFF2-40B4-BE49-F238E27FC236}">
              <a16:creationId xmlns:a16="http://schemas.microsoft.com/office/drawing/2014/main" id="{48ADB947-70DC-47E7-A156-529BCF1781D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75" name="Text Box 192">
          <a:extLst>
            <a:ext uri="{FF2B5EF4-FFF2-40B4-BE49-F238E27FC236}">
              <a16:creationId xmlns:a16="http://schemas.microsoft.com/office/drawing/2014/main" id="{528370B3-AF17-48E1-BED7-D3AFE4240B9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76" name="Text Box 192">
          <a:extLst>
            <a:ext uri="{FF2B5EF4-FFF2-40B4-BE49-F238E27FC236}">
              <a16:creationId xmlns:a16="http://schemas.microsoft.com/office/drawing/2014/main" id="{A731B900-2584-4FC9-92B4-0BD990AA46F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77" name="Text Box 192">
          <a:extLst>
            <a:ext uri="{FF2B5EF4-FFF2-40B4-BE49-F238E27FC236}">
              <a16:creationId xmlns:a16="http://schemas.microsoft.com/office/drawing/2014/main" id="{B2DE4211-769D-4141-B19C-863123871DB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78" name="Text Box 192">
          <a:extLst>
            <a:ext uri="{FF2B5EF4-FFF2-40B4-BE49-F238E27FC236}">
              <a16:creationId xmlns:a16="http://schemas.microsoft.com/office/drawing/2014/main" id="{684E7979-20C4-49FD-9601-7AF7BBD9810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79" name="Text Box 192">
          <a:extLst>
            <a:ext uri="{FF2B5EF4-FFF2-40B4-BE49-F238E27FC236}">
              <a16:creationId xmlns:a16="http://schemas.microsoft.com/office/drawing/2014/main" id="{DEF62A6D-5733-4A86-A1EB-38A02BF9E7E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80" name="Text Box 192">
          <a:extLst>
            <a:ext uri="{FF2B5EF4-FFF2-40B4-BE49-F238E27FC236}">
              <a16:creationId xmlns:a16="http://schemas.microsoft.com/office/drawing/2014/main" id="{04830AAC-EE53-4962-A546-73FA21EC0CC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81" name="Text Box 192">
          <a:extLst>
            <a:ext uri="{FF2B5EF4-FFF2-40B4-BE49-F238E27FC236}">
              <a16:creationId xmlns:a16="http://schemas.microsoft.com/office/drawing/2014/main" id="{852438BE-591F-4D09-8969-460D64E6FF4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82" name="Text Box 192">
          <a:extLst>
            <a:ext uri="{FF2B5EF4-FFF2-40B4-BE49-F238E27FC236}">
              <a16:creationId xmlns:a16="http://schemas.microsoft.com/office/drawing/2014/main" id="{8F6D048F-A25F-4D19-9556-8D126CD5096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83" name="Text Box 192">
          <a:extLst>
            <a:ext uri="{FF2B5EF4-FFF2-40B4-BE49-F238E27FC236}">
              <a16:creationId xmlns:a16="http://schemas.microsoft.com/office/drawing/2014/main" id="{4909CA87-7547-45BB-B6E2-FCBB35D159A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84" name="Text Box 192">
          <a:extLst>
            <a:ext uri="{FF2B5EF4-FFF2-40B4-BE49-F238E27FC236}">
              <a16:creationId xmlns:a16="http://schemas.microsoft.com/office/drawing/2014/main" id="{428ED570-3F0A-48C5-882B-EAD74ECB471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85" name="Text Box 192">
          <a:extLst>
            <a:ext uri="{FF2B5EF4-FFF2-40B4-BE49-F238E27FC236}">
              <a16:creationId xmlns:a16="http://schemas.microsoft.com/office/drawing/2014/main" id="{2C5F80C7-AA96-40AC-A701-576C9D35FDE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86" name="Text Box 192">
          <a:extLst>
            <a:ext uri="{FF2B5EF4-FFF2-40B4-BE49-F238E27FC236}">
              <a16:creationId xmlns:a16="http://schemas.microsoft.com/office/drawing/2014/main" id="{9D6FBCE3-4C5F-49DC-8070-C7603A26C11D}"/>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87" name="Text Box 192">
          <a:extLst>
            <a:ext uri="{FF2B5EF4-FFF2-40B4-BE49-F238E27FC236}">
              <a16:creationId xmlns:a16="http://schemas.microsoft.com/office/drawing/2014/main" id="{56993086-680E-4C86-8D1E-C32490028FB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88" name="Text Box 192">
          <a:extLst>
            <a:ext uri="{FF2B5EF4-FFF2-40B4-BE49-F238E27FC236}">
              <a16:creationId xmlns:a16="http://schemas.microsoft.com/office/drawing/2014/main" id="{8AE14AB7-FAAF-4EEA-8170-0B7024DBCF4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89" name="Text Box 192">
          <a:extLst>
            <a:ext uri="{FF2B5EF4-FFF2-40B4-BE49-F238E27FC236}">
              <a16:creationId xmlns:a16="http://schemas.microsoft.com/office/drawing/2014/main" id="{0B1A8172-FB9E-499E-9185-7B901F74FDFD}"/>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90" name="Text Box 192">
          <a:extLst>
            <a:ext uri="{FF2B5EF4-FFF2-40B4-BE49-F238E27FC236}">
              <a16:creationId xmlns:a16="http://schemas.microsoft.com/office/drawing/2014/main" id="{F28D2124-88B5-4BFC-AD58-BE0585745DE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91" name="Text Box 192">
          <a:extLst>
            <a:ext uri="{FF2B5EF4-FFF2-40B4-BE49-F238E27FC236}">
              <a16:creationId xmlns:a16="http://schemas.microsoft.com/office/drawing/2014/main" id="{5EE9C5D4-067B-41DA-A4AE-ABA52780B69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290</xdr:row>
      <xdr:rowOff>0</xdr:rowOff>
    </xdr:from>
    <xdr:ext cx="10372" cy="228955"/>
    <xdr:sp macro="" textlink="">
      <xdr:nvSpPr>
        <xdr:cNvPr id="4592" name="Text Box 192">
          <a:extLst>
            <a:ext uri="{FF2B5EF4-FFF2-40B4-BE49-F238E27FC236}">
              <a16:creationId xmlns:a16="http://schemas.microsoft.com/office/drawing/2014/main" id="{52CE46E5-D2B1-4406-A48B-95EAC807236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593" name="Text Box 192">
          <a:extLst>
            <a:ext uri="{FF2B5EF4-FFF2-40B4-BE49-F238E27FC236}">
              <a16:creationId xmlns:a16="http://schemas.microsoft.com/office/drawing/2014/main" id="{638E3230-83B1-4989-925D-037604C0091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594" name="Text Box 192">
          <a:extLst>
            <a:ext uri="{FF2B5EF4-FFF2-40B4-BE49-F238E27FC236}">
              <a16:creationId xmlns:a16="http://schemas.microsoft.com/office/drawing/2014/main" id="{7DE2CEAD-17A4-4268-A23A-41CFFE7B71C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595" name="Text Box 192">
          <a:extLst>
            <a:ext uri="{FF2B5EF4-FFF2-40B4-BE49-F238E27FC236}">
              <a16:creationId xmlns:a16="http://schemas.microsoft.com/office/drawing/2014/main" id="{6ED6FF83-3C2C-4168-9C85-A358F3CE44C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596" name="Text Box 192">
          <a:extLst>
            <a:ext uri="{FF2B5EF4-FFF2-40B4-BE49-F238E27FC236}">
              <a16:creationId xmlns:a16="http://schemas.microsoft.com/office/drawing/2014/main" id="{0D1F214E-C0E7-462D-819F-7E535B63311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597" name="Text Box 192">
          <a:extLst>
            <a:ext uri="{FF2B5EF4-FFF2-40B4-BE49-F238E27FC236}">
              <a16:creationId xmlns:a16="http://schemas.microsoft.com/office/drawing/2014/main" id="{572D4BFC-F561-47A0-94FA-7692526A965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598" name="Text Box 192">
          <a:extLst>
            <a:ext uri="{FF2B5EF4-FFF2-40B4-BE49-F238E27FC236}">
              <a16:creationId xmlns:a16="http://schemas.microsoft.com/office/drawing/2014/main" id="{5EFE7588-BCF1-4000-9904-2C44ABF46FA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599" name="Text Box 192">
          <a:extLst>
            <a:ext uri="{FF2B5EF4-FFF2-40B4-BE49-F238E27FC236}">
              <a16:creationId xmlns:a16="http://schemas.microsoft.com/office/drawing/2014/main" id="{73736CB6-D9A6-449B-9A21-879BD666BC9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00" name="Text Box 192">
          <a:extLst>
            <a:ext uri="{FF2B5EF4-FFF2-40B4-BE49-F238E27FC236}">
              <a16:creationId xmlns:a16="http://schemas.microsoft.com/office/drawing/2014/main" id="{1D816D58-165B-43C4-B583-0890E1CA5CDD}"/>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01" name="Text Box 192">
          <a:extLst>
            <a:ext uri="{FF2B5EF4-FFF2-40B4-BE49-F238E27FC236}">
              <a16:creationId xmlns:a16="http://schemas.microsoft.com/office/drawing/2014/main" id="{8C03A42F-3AF4-4F8B-AF91-D81A1AD344F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02" name="Text Box 192">
          <a:extLst>
            <a:ext uri="{FF2B5EF4-FFF2-40B4-BE49-F238E27FC236}">
              <a16:creationId xmlns:a16="http://schemas.microsoft.com/office/drawing/2014/main" id="{047A8334-D488-41AF-971F-B1A5454A267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03" name="Text Box 192">
          <a:extLst>
            <a:ext uri="{FF2B5EF4-FFF2-40B4-BE49-F238E27FC236}">
              <a16:creationId xmlns:a16="http://schemas.microsoft.com/office/drawing/2014/main" id="{B56F95F1-940D-4BF5-8AE1-CB7899D20DA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04" name="Text Box 192">
          <a:extLst>
            <a:ext uri="{FF2B5EF4-FFF2-40B4-BE49-F238E27FC236}">
              <a16:creationId xmlns:a16="http://schemas.microsoft.com/office/drawing/2014/main" id="{CC955D02-C99A-4864-B7B0-D02D202EE00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05" name="Text Box 192">
          <a:extLst>
            <a:ext uri="{FF2B5EF4-FFF2-40B4-BE49-F238E27FC236}">
              <a16:creationId xmlns:a16="http://schemas.microsoft.com/office/drawing/2014/main" id="{B8108B5F-9C4A-42AB-A0BC-B985C8D8E5C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06" name="Text Box 192">
          <a:extLst>
            <a:ext uri="{FF2B5EF4-FFF2-40B4-BE49-F238E27FC236}">
              <a16:creationId xmlns:a16="http://schemas.microsoft.com/office/drawing/2014/main" id="{2E4EBA5A-A092-4E01-ACDC-9B208769FFF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07" name="Text Box 192">
          <a:extLst>
            <a:ext uri="{FF2B5EF4-FFF2-40B4-BE49-F238E27FC236}">
              <a16:creationId xmlns:a16="http://schemas.microsoft.com/office/drawing/2014/main" id="{D0692596-3D76-4892-AD33-D86BDAD8637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08" name="Text Box 192">
          <a:extLst>
            <a:ext uri="{FF2B5EF4-FFF2-40B4-BE49-F238E27FC236}">
              <a16:creationId xmlns:a16="http://schemas.microsoft.com/office/drawing/2014/main" id="{7C817524-E6DD-45B1-98FC-AC5418BEFE2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09" name="Text Box 192">
          <a:extLst>
            <a:ext uri="{FF2B5EF4-FFF2-40B4-BE49-F238E27FC236}">
              <a16:creationId xmlns:a16="http://schemas.microsoft.com/office/drawing/2014/main" id="{C760B436-CF34-4D23-9B83-0756CB2F5C4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291</xdr:row>
      <xdr:rowOff>0</xdr:rowOff>
    </xdr:from>
    <xdr:ext cx="10372" cy="228955"/>
    <xdr:sp macro="" textlink="">
      <xdr:nvSpPr>
        <xdr:cNvPr id="4610" name="Text Box 192">
          <a:extLst>
            <a:ext uri="{FF2B5EF4-FFF2-40B4-BE49-F238E27FC236}">
              <a16:creationId xmlns:a16="http://schemas.microsoft.com/office/drawing/2014/main" id="{25785A8B-062D-4C3A-BD74-66A1ED9C771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11" name="Text Box 192">
          <a:extLst>
            <a:ext uri="{FF2B5EF4-FFF2-40B4-BE49-F238E27FC236}">
              <a16:creationId xmlns:a16="http://schemas.microsoft.com/office/drawing/2014/main" id="{E9F0AC41-3B54-48FD-9E3B-F6D863BA51A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12" name="Text Box 192">
          <a:extLst>
            <a:ext uri="{FF2B5EF4-FFF2-40B4-BE49-F238E27FC236}">
              <a16:creationId xmlns:a16="http://schemas.microsoft.com/office/drawing/2014/main" id="{5FEC8172-5544-46EA-A9EE-FD52ABAA1CB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13" name="Text Box 192">
          <a:extLst>
            <a:ext uri="{FF2B5EF4-FFF2-40B4-BE49-F238E27FC236}">
              <a16:creationId xmlns:a16="http://schemas.microsoft.com/office/drawing/2014/main" id="{8BAF42D6-3557-4764-B118-A7E04A0D251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14" name="Text Box 192">
          <a:extLst>
            <a:ext uri="{FF2B5EF4-FFF2-40B4-BE49-F238E27FC236}">
              <a16:creationId xmlns:a16="http://schemas.microsoft.com/office/drawing/2014/main" id="{81ED4CD3-04DC-43B0-B085-26BE78A7878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15" name="Text Box 192">
          <a:extLst>
            <a:ext uri="{FF2B5EF4-FFF2-40B4-BE49-F238E27FC236}">
              <a16:creationId xmlns:a16="http://schemas.microsoft.com/office/drawing/2014/main" id="{2CF54AD2-0D14-4A44-B4D7-9F3DE35F57D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16" name="Text Box 192">
          <a:extLst>
            <a:ext uri="{FF2B5EF4-FFF2-40B4-BE49-F238E27FC236}">
              <a16:creationId xmlns:a16="http://schemas.microsoft.com/office/drawing/2014/main" id="{4E1CC75D-085E-4992-9011-47BA91B7A67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17" name="Text Box 192">
          <a:extLst>
            <a:ext uri="{FF2B5EF4-FFF2-40B4-BE49-F238E27FC236}">
              <a16:creationId xmlns:a16="http://schemas.microsoft.com/office/drawing/2014/main" id="{C73FC0E9-0128-448D-91F8-681B339ABF3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18" name="Text Box 192">
          <a:extLst>
            <a:ext uri="{FF2B5EF4-FFF2-40B4-BE49-F238E27FC236}">
              <a16:creationId xmlns:a16="http://schemas.microsoft.com/office/drawing/2014/main" id="{25F49DFC-A793-4F20-9F36-EFF35EB321F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19" name="Text Box 192">
          <a:extLst>
            <a:ext uri="{FF2B5EF4-FFF2-40B4-BE49-F238E27FC236}">
              <a16:creationId xmlns:a16="http://schemas.microsoft.com/office/drawing/2014/main" id="{9415FBAB-E4FB-4CC9-98F0-E4DE2ED0771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20" name="Text Box 192">
          <a:extLst>
            <a:ext uri="{FF2B5EF4-FFF2-40B4-BE49-F238E27FC236}">
              <a16:creationId xmlns:a16="http://schemas.microsoft.com/office/drawing/2014/main" id="{08041188-15F0-41E0-8732-17294178323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21" name="Text Box 192">
          <a:extLst>
            <a:ext uri="{FF2B5EF4-FFF2-40B4-BE49-F238E27FC236}">
              <a16:creationId xmlns:a16="http://schemas.microsoft.com/office/drawing/2014/main" id="{0528FE42-6A32-4145-B4FF-A5A220CDDA9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22" name="Text Box 192">
          <a:extLst>
            <a:ext uri="{FF2B5EF4-FFF2-40B4-BE49-F238E27FC236}">
              <a16:creationId xmlns:a16="http://schemas.microsoft.com/office/drawing/2014/main" id="{128313B6-F69B-4F24-B426-2E268F79135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23" name="Text Box 192">
          <a:extLst>
            <a:ext uri="{FF2B5EF4-FFF2-40B4-BE49-F238E27FC236}">
              <a16:creationId xmlns:a16="http://schemas.microsoft.com/office/drawing/2014/main" id="{23B28189-2B65-4F7A-A5DC-502430518D3D}"/>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24" name="Text Box 192">
          <a:extLst>
            <a:ext uri="{FF2B5EF4-FFF2-40B4-BE49-F238E27FC236}">
              <a16:creationId xmlns:a16="http://schemas.microsoft.com/office/drawing/2014/main" id="{1CB984EC-E33F-493E-9EF3-00E3D0FC698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25" name="Text Box 192">
          <a:extLst>
            <a:ext uri="{FF2B5EF4-FFF2-40B4-BE49-F238E27FC236}">
              <a16:creationId xmlns:a16="http://schemas.microsoft.com/office/drawing/2014/main" id="{94DCECC5-8A3F-4ADD-A837-E277BC48179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26" name="Text Box 192">
          <a:extLst>
            <a:ext uri="{FF2B5EF4-FFF2-40B4-BE49-F238E27FC236}">
              <a16:creationId xmlns:a16="http://schemas.microsoft.com/office/drawing/2014/main" id="{7949AE60-D9F6-4A3F-AF9D-EF789023597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27" name="Text Box 192">
          <a:extLst>
            <a:ext uri="{FF2B5EF4-FFF2-40B4-BE49-F238E27FC236}">
              <a16:creationId xmlns:a16="http://schemas.microsoft.com/office/drawing/2014/main" id="{9B4BF2F7-A2E8-456D-BFED-48A416393D6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292</xdr:row>
      <xdr:rowOff>0</xdr:rowOff>
    </xdr:from>
    <xdr:ext cx="10372" cy="228955"/>
    <xdr:sp macro="" textlink="">
      <xdr:nvSpPr>
        <xdr:cNvPr id="4628" name="Text Box 192">
          <a:extLst>
            <a:ext uri="{FF2B5EF4-FFF2-40B4-BE49-F238E27FC236}">
              <a16:creationId xmlns:a16="http://schemas.microsoft.com/office/drawing/2014/main" id="{76BAAE96-FD68-4107-8E63-55494C82F19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29" name="Text Box 192">
          <a:extLst>
            <a:ext uri="{FF2B5EF4-FFF2-40B4-BE49-F238E27FC236}">
              <a16:creationId xmlns:a16="http://schemas.microsoft.com/office/drawing/2014/main" id="{3D709BEE-6984-4E14-A82A-F6234BF0200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30" name="Text Box 192">
          <a:extLst>
            <a:ext uri="{FF2B5EF4-FFF2-40B4-BE49-F238E27FC236}">
              <a16:creationId xmlns:a16="http://schemas.microsoft.com/office/drawing/2014/main" id="{F74D1BAF-AECC-4292-B7A6-8B6D83D7CA9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31" name="Text Box 192">
          <a:extLst>
            <a:ext uri="{FF2B5EF4-FFF2-40B4-BE49-F238E27FC236}">
              <a16:creationId xmlns:a16="http://schemas.microsoft.com/office/drawing/2014/main" id="{BFF19FFA-EF70-4804-BE43-85C21080B45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32" name="Text Box 192">
          <a:extLst>
            <a:ext uri="{FF2B5EF4-FFF2-40B4-BE49-F238E27FC236}">
              <a16:creationId xmlns:a16="http://schemas.microsoft.com/office/drawing/2014/main" id="{EDB90634-D9AD-4A37-AA58-5309058344F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33" name="Text Box 192">
          <a:extLst>
            <a:ext uri="{FF2B5EF4-FFF2-40B4-BE49-F238E27FC236}">
              <a16:creationId xmlns:a16="http://schemas.microsoft.com/office/drawing/2014/main" id="{16B871BD-EC7C-4439-BC4D-C19560E42A1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34" name="Text Box 192">
          <a:extLst>
            <a:ext uri="{FF2B5EF4-FFF2-40B4-BE49-F238E27FC236}">
              <a16:creationId xmlns:a16="http://schemas.microsoft.com/office/drawing/2014/main" id="{DBF47579-B68A-4ED0-8C0C-0E2784EB813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35" name="Text Box 192">
          <a:extLst>
            <a:ext uri="{FF2B5EF4-FFF2-40B4-BE49-F238E27FC236}">
              <a16:creationId xmlns:a16="http://schemas.microsoft.com/office/drawing/2014/main" id="{F1974A97-457C-497A-B79D-89614BA2B6B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36" name="Text Box 192">
          <a:extLst>
            <a:ext uri="{FF2B5EF4-FFF2-40B4-BE49-F238E27FC236}">
              <a16:creationId xmlns:a16="http://schemas.microsoft.com/office/drawing/2014/main" id="{3E8D9D93-6657-47E3-A874-C5A97B3D041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37" name="Text Box 192">
          <a:extLst>
            <a:ext uri="{FF2B5EF4-FFF2-40B4-BE49-F238E27FC236}">
              <a16:creationId xmlns:a16="http://schemas.microsoft.com/office/drawing/2014/main" id="{6A7484AE-AA1E-47EF-8CF4-B969A5CFD36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38" name="Text Box 192">
          <a:extLst>
            <a:ext uri="{FF2B5EF4-FFF2-40B4-BE49-F238E27FC236}">
              <a16:creationId xmlns:a16="http://schemas.microsoft.com/office/drawing/2014/main" id="{33F1A9E4-7249-4AE5-889B-9396BE1CF74D}"/>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39" name="Text Box 192">
          <a:extLst>
            <a:ext uri="{FF2B5EF4-FFF2-40B4-BE49-F238E27FC236}">
              <a16:creationId xmlns:a16="http://schemas.microsoft.com/office/drawing/2014/main" id="{1712DDFF-D853-4B2F-94E8-B0355FC808E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40" name="Text Box 192">
          <a:extLst>
            <a:ext uri="{FF2B5EF4-FFF2-40B4-BE49-F238E27FC236}">
              <a16:creationId xmlns:a16="http://schemas.microsoft.com/office/drawing/2014/main" id="{5530335B-8788-41ED-B0E8-95D05FB8DF8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41" name="Text Box 192">
          <a:extLst>
            <a:ext uri="{FF2B5EF4-FFF2-40B4-BE49-F238E27FC236}">
              <a16:creationId xmlns:a16="http://schemas.microsoft.com/office/drawing/2014/main" id="{F68F27E8-DC0E-4F71-B9D4-0FD2DA1994E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42" name="Text Box 192">
          <a:extLst>
            <a:ext uri="{FF2B5EF4-FFF2-40B4-BE49-F238E27FC236}">
              <a16:creationId xmlns:a16="http://schemas.microsoft.com/office/drawing/2014/main" id="{0B31AE7D-56BF-4E85-B636-09F6C906140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43" name="Text Box 192">
          <a:extLst>
            <a:ext uri="{FF2B5EF4-FFF2-40B4-BE49-F238E27FC236}">
              <a16:creationId xmlns:a16="http://schemas.microsoft.com/office/drawing/2014/main" id="{237C06F1-ED21-4B86-858F-5CC367EAFF9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44" name="Text Box 192">
          <a:extLst>
            <a:ext uri="{FF2B5EF4-FFF2-40B4-BE49-F238E27FC236}">
              <a16:creationId xmlns:a16="http://schemas.microsoft.com/office/drawing/2014/main" id="{DB76D40F-4D15-4A2A-819D-A7F7AF4902F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45" name="Text Box 192">
          <a:extLst>
            <a:ext uri="{FF2B5EF4-FFF2-40B4-BE49-F238E27FC236}">
              <a16:creationId xmlns:a16="http://schemas.microsoft.com/office/drawing/2014/main" id="{9B04149D-D08D-4FAB-803A-9A8059E7135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295</xdr:row>
      <xdr:rowOff>0</xdr:rowOff>
    </xdr:from>
    <xdr:ext cx="10372" cy="228955"/>
    <xdr:sp macro="" textlink="">
      <xdr:nvSpPr>
        <xdr:cNvPr id="4646" name="Text Box 192">
          <a:extLst>
            <a:ext uri="{FF2B5EF4-FFF2-40B4-BE49-F238E27FC236}">
              <a16:creationId xmlns:a16="http://schemas.microsoft.com/office/drawing/2014/main" id="{70D24276-0F7E-43B5-AF30-C11DD589D4C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47" name="Text Box 192">
          <a:extLst>
            <a:ext uri="{FF2B5EF4-FFF2-40B4-BE49-F238E27FC236}">
              <a16:creationId xmlns:a16="http://schemas.microsoft.com/office/drawing/2014/main" id="{A4890AC4-525B-4714-8AFA-210792C79F5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48" name="Text Box 192">
          <a:extLst>
            <a:ext uri="{FF2B5EF4-FFF2-40B4-BE49-F238E27FC236}">
              <a16:creationId xmlns:a16="http://schemas.microsoft.com/office/drawing/2014/main" id="{ABA78558-032A-404B-8AEE-B304182949F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49" name="Text Box 192">
          <a:extLst>
            <a:ext uri="{FF2B5EF4-FFF2-40B4-BE49-F238E27FC236}">
              <a16:creationId xmlns:a16="http://schemas.microsoft.com/office/drawing/2014/main" id="{75D6E10E-29FB-42E7-8A5B-73B61110AF6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50" name="Text Box 192">
          <a:extLst>
            <a:ext uri="{FF2B5EF4-FFF2-40B4-BE49-F238E27FC236}">
              <a16:creationId xmlns:a16="http://schemas.microsoft.com/office/drawing/2014/main" id="{1361AEE4-07FF-499D-A703-333DB23591C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51" name="Text Box 192">
          <a:extLst>
            <a:ext uri="{FF2B5EF4-FFF2-40B4-BE49-F238E27FC236}">
              <a16:creationId xmlns:a16="http://schemas.microsoft.com/office/drawing/2014/main" id="{83055E25-EB8C-498F-8F40-D4810043DA7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52" name="Text Box 192">
          <a:extLst>
            <a:ext uri="{FF2B5EF4-FFF2-40B4-BE49-F238E27FC236}">
              <a16:creationId xmlns:a16="http://schemas.microsoft.com/office/drawing/2014/main" id="{12A48C32-F48F-43A1-8BD3-3F73B9D89D5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53" name="Text Box 192">
          <a:extLst>
            <a:ext uri="{FF2B5EF4-FFF2-40B4-BE49-F238E27FC236}">
              <a16:creationId xmlns:a16="http://schemas.microsoft.com/office/drawing/2014/main" id="{BA152AE6-8ED9-4532-9EEF-48F4C8873A5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54" name="Text Box 192">
          <a:extLst>
            <a:ext uri="{FF2B5EF4-FFF2-40B4-BE49-F238E27FC236}">
              <a16:creationId xmlns:a16="http://schemas.microsoft.com/office/drawing/2014/main" id="{8588AF71-3F0E-4180-A881-0A6A3437202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55" name="Text Box 192">
          <a:extLst>
            <a:ext uri="{FF2B5EF4-FFF2-40B4-BE49-F238E27FC236}">
              <a16:creationId xmlns:a16="http://schemas.microsoft.com/office/drawing/2014/main" id="{5760CA5B-0CBA-4C51-A2E5-2A9FC2C26A6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56" name="Text Box 192">
          <a:extLst>
            <a:ext uri="{FF2B5EF4-FFF2-40B4-BE49-F238E27FC236}">
              <a16:creationId xmlns:a16="http://schemas.microsoft.com/office/drawing/2014/main" id="{72E2B098-F05A-4F1E-9209-E3FE161CD2E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57" name="Text Box 192">
          <a:extLst>
            <a:ext uri="{FF2B5EF4-FFF2-40B4-BE49-F238E27FC236}">
              <a16:creationId xmlns:a16="http://schemas.microsoft.com/office/drawing/2014/main" id="{CE117E3E-F539-4CA1-A5E9-1712E369284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58" name="Text Box 192">
          <a:extLst>
            <a:ext uri="{FF2B5EF4-FFF2-40B4-BE49-F238E27FC236}">
              <a16:creationId xmlns:a16="http://schemas.microsoft.com/office/drawing/2014/main" id="{3F1322ED-061B-4635-95D2-0C331C63298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59" name="Text Box 192">
          <a:extLst>
            <a:ext uri="{FF2B5EF4-FFF2-40B4-BE49-F238E27FC236}">
              <a16:creationId xmlns:a16="http://schemas.microsoft.com/office/drawing/2014/main" id="{528E8238-7646-41F3-9DEE-25BC336C2E3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60" name="Text Box 192">
          <a:extLst>
            <a:ext uri="{FF2B5EF4-FFF2-40B4-BE49-F238E27FC236}">
              <a16:creationId xmlns:a16="http://schemas.microsoft.com/office/drawing/2014/main" id="{C21C7BEF-2939-4D26-ABB5-8FE9D19811A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61" name="Text Box 192">
          <a:extLst>
            <a:ext uri="{FF2B5EF4-FFF2-40B4-BE49-F238E27FC236}">
              <a16:creationId xmlns:a16="http://schemas.microsoft.com/office/drawing/2014/main" id="{99C9B697-523D-4899-B179-1CA31C3E8CD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62" name="Text Box 192">
          <a:extLst>
            <a:ext uri="{FF2B5EF4-FFF2-40B4-BE49-F238E27FC236}">
              <a16:creationId xmlns:a16="http://schemas.microsoft.com/office/drawing/2014/main" id="{AF4253A5-0188-494D-9DC5-8A1262F5F9B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63" name="Text Box 192">
          <a:extLst>
            <a:ext uri="{FF2B5EF4-FFF2-40B4-BE49-F238E27FC236}">
              <a16:creationId xmlns:a16="http://schemas.microsoft.com/office/drawing/2014/main" id="{BBA6EA5D-002E-4758-B8A0-70377B17301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296</xdr:row>
      <xdr:rowOff>0</xdr:rowOff>
    </xdr:from>
    <xdr:ext cx="10372" cy="228955"/>
    <xdr:sp macro="" textlink="">
      <xdr:nvSpPr>
        <xdr:cNvPr id="4664" name="Text Box 192">
          <a:extLst>
            <a:ext uri="{FF2B5EF4-FFF2-40B4-BE49-F238E27FC236}">
              <a16:creationId xmlns:a16="http://schemas.microsoft.com/office/drawing/2014/main" id="{B30388A9-CEAF-44E1-947F-55C2661A0CF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65" name="Text Box 192">
          <a:extLst>
            <a:ext uri="{FF2B5EF4-FFF2-40B4-BE49-F238E27FC236}">
              <a16:creationId xmlns:a16="http://schemas.microsoft.com/office/drawing/2014/main" id="{3C41073E-8F3D-47BD-99BD-3FA0D785C84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66" name="Text Box 192">
          <a:extLst>
            <a:ext uri="{FF2B5EF4-FFF2-40B4-BE49-F238E27FC236}">
              <a16:creationId xmlns:a16="http://schemas.microsoft.com/office/drawing/2014/main" id="{2774254D-F1DA-429D-AFBA-E5918267162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67" name="Text Box 192">
          <a:extLst>
            <a:ext uri="{FF2B5EF4-FFF2-40B4-BE49-F238E27FC236}">
              <a16:creationId xmlns:a16="http://schemas.microsoft.com/office/drawing/2014/main" id="{8E3765B7-8357-4129-9536-AF95F1D28FB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68" name="Text Box 192">
          <a:extLst>
            <a:ext uri="{FF2B5EF4-FFF2-40B4-BE49-F238E27FC236}">
              <a16:creationId xmlns:a16="http://schemas.microsoft.com/office/drawing/2014/main" id="{B4252531-CBE9-4854-805B-5EB6ACD1854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69" name="Text Box 192">
          <a:extLst>
            <a:ext uri="{FF2B5EF4-FFF2-40B4-BE49-F238E27FC236}">
              <a16:creationId xmlns:a16="http://schemas.microsoft.com/office/drawing/2014/main" id="{0A15C1F3-D92B-4BB3-99F7-E1030EC290B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70" name="Text Box 192">
          <a:extLst>
            <a:ext uri="{FF2B5EF4-FFF2-40B4-BE49-F238E27FC236}">
              <a16:creationId xmlns:a16="http://schemas.microsoft.com/office/drawing/2014/main" id="{65E6E029-240A-40FE-B9EB-92F785A65BE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71" name="Text Box 192">
          <a:extLst>
            <a:ext uri="{FF2B5EF4-FFF2-40B4-BE49-F238E27FC236}">
              <a16:creationId xmlns:a16="http://schemas.microsoft.com/office/drawing/2014/main" id="{03653432-8D11-44B3-9CBB-58E33F855E4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72" name="Text Box 192">
          <a:extLst>
            <a:ext uri="{FF2B5EF4-FFF2-40B4-BE49-F238E27FC236}">
              <a16:creationId xmlns:a16="http://schemas.microsoft.com/office/drawing/2014/main" id="{159BE98B-F829-4127-ADD6-8C8ED6B49AC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73" name="Text Box 192">
          <a:extLst>
            <a:ext uri="{FF2B5EF4-FFF2-40B4-BE49-F238E27FC236}">
              <a16:creationId xmlns:a16="http://schemas.microsoft.com/office/drawing/2014/main" id="{CA5CCFE0-07B4-45B1-B180-15D90A04A04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74" name="Text Box 192">
          <a:extLst>
            <a:ext uri="{FF2B5EF4-FFF2-40B4-BE49-F238E27FC236}">
              <a16:creationId xmlns:a16="http://schemas.microsoft.com/office/drawing/2014/main" id="{893CCD00-0CEA-4976-9839-D81F09FD69F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75" name="Text Box 192">
          <a:extLst>
            <a:ext uri="{FF2B5EF4-FFF2-40B4-BE49-F238E27FC236}">
              <a16:creationId xmlns:a16="http://schemas.microsoft.com/office/drawing/2014/main" id="{6E0EBF21-F7E8-43A9-983A-1745A4927A7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76" name="Text Box 192">
          <a:extLst>
            <a:ext uri="{FF2B5EF4-FFF2-40B4-BE49-F238E27FC236}">
              <a16:creationId xmlns:a16="http://schemas.microsoft.com/office/drawing/2014/main" id="{FA1FC958-FF0D-431E-8419-30BB0DCC10D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77" name="Text Box 192">
          <a:extLst>
            <a:ext uri="{FF2B5EF4-FFF2-40B4-BE49-F238E27FC236}">
              <a16:creationId xmlns:a16="http://schemas.microsoft.com/office/drawing/2014/main" id="{583E0762-4212-4E00-A5CD-59A3101A2A1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78" name="Text Box 192">
          <a:extLst>
            <a:ext uri="{FF2B5EF4-FFF2-40B4-BE49-F238E27FC236}">
              <a16:creationId xmlns:a16="http://schemas.microsoft.com/office/drawing/2014/main" id="{FE4433C7-1B9C-43FD-8586-9170DDA4081D}"/>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79" name="Text Box 192">
          <a:extLst>
            <a:ext uri="{FF2B5EF4-FFF2-40B4-BE49-F238E27FC236}">
              <a16:creationId xmlns:a16="http://schemas.microsoft.com/office/drawing/2014/main" id="{EDC8E138-C3E2-4929-8D4A-7B9DD5C5C73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80" name="Text Box 192">
          <a:extLst>
            <a:ext uri="{FF2B5EF4-FFF2-40B4-BE49-F238E27FC236}">
              <a16:creationId xmlns:a16="http://schemas.microsoft.com/office/drawing/2014/main" id="{CF7A98CB-4785-4C06-89F9-7C2607F6DA0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81" name="Text Box 192">
          <a:extLst>
            <a:ext uri="{FF2B5EF4-FFF2-40B4-BE49-F238E27FC236}">
              <a16:creationId xmlns:a16="http://schemas.microsoft.com/office/drawing/2014/main" id="{F90DD577-C817-4E4A-BD6A-B6C79524305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682" name="Text Box 192">
          <a:extLst>
            <a:ext uri="{FF2B5EF4-FFF2-40B4-BE49-F238E27FC236}">
              <a16:creationId xmlns:a16="http://schemas.microsoft.com/office/drawing/2014/main" id="{BF5F6910-32D2-4EBF-94FA-2165241E883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83" name="Text Box 192">
          <a:extLst>
            <a:ext uri="{FF2B5EF4-FFF2-40B4-BE49-F238E27FC236}">
              <a16:creationId xmlns:a16="http://schemas.microsoft.com/office/drawing/2014/main" id="{9BE06EC3-E59A-438C-93A7-1A2330C50F8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84" name="Text Box 192">
          <a:extLst>
            <a:ext uri="{FF2B5EF4-FFF2-40B4-BE49-F238E27FC236}">
              <a16:creationId xmlns:a16="http://schemas.microsoft.com/office/drawing/2014/main" id="{A918E575-1FCF-44AF-92EB-493D7A2EF88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85" name="Text Box 192">
          <a:extLst>
            <a:ext uri="{FF2B5EF4-FFF2-40B4-BE49-F238E27FC236}">
              <a16:creationId xmlns:a16="http://schemas.microsoft.com/office/drawing/2014/main" id="{A4A5BE92-754D-48DE-9E39-C60BA7F7DE1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86" name="Text Box 192">
          <a:extLst>
            <a:ext uri="{FF2B5EF4-FFF2-40B4-BE49-F238E27FC236}">
              <a16:creationId xmlns:a16="http://schemas.microsoft.com/office/drawing/2014/main" id="{023EA9FE-1159-412D-B197-6973E0BBD45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87" name="Text Box 192">
          <a:extLst>
            <a:ext uri="{FF2B5EF4-FFF2-40B4-BE49-F238E27FC236}">
              <a16:creationId xmlns:a16="http://schemas.microsoft.com/office/drawing/2014/main" id="{EA8D7603-020C-41DC-84D7-45A49781B6F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88" name="Text Box 192">
          <a:extLst>
            <a:ext uri="{FF2B5EF4-FFF2-40B4-BE49-F238E27FC236}">
              <a16:creationId xmlns:a16="http://schemas.microsoft.com/office/drawing/2014/main" id="{BDDD5725-3879-4E61-8B77-6D38D2A4A25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89" name="Text Box 192">
          <a:extLst>
            <a:ext uri="{FF2B5EF4-FFF2-40B4-BE49-F238E27FC236}">
              <a16:creationId xmlns:a16="http://schemas.microsoft.com/office/drawing/2014/main" id="{5B5F3B9D-B46D-4C4A-A6B0-2A4D9C5957C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90" name="Text Box 192">
          <a:extLst>
            <a:ext uri="{FF2B5EF4-FFF2-40B4-BE49-F238E27FC236}">
              <a16:creationId xmlns:a16="http://schemas.microsoft.com/office/drawing/2014/main" id="{3A955277-56B5-4EC2-BDD0-4EECC876399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91" name="Text Box 192">
          <a:extLst>
            <a:ext uri="{FF2B5EF4-FFF2-40B4-BE49-F238E27FC236}">
              <a16:creationId xmlns:a16="http://schemas.microsoft.com/office/drawing/2014/main" id="{90722212-6E5B-4E1A-8E5B-14AD068F170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92" name="Text Box 192">
          <a:extLst>
            <a:ext uri="{FF2B5EF4-FFF2-40B4-BE49-F238E27FC236}">
              <a16:creationId xmlns:a16="http://schemas.microsoft.com/office/drawing/2014/main" id="{C4F44233-24E0-4E89-9497-3C798AC5EC9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93" name="Text Box 192">
          <a:extLst>
            <a:ext uri="{FF2B5EF4-FFF2-40B4-BE49-F238E27FC236}">
              <a16:creationId xmlns:a16="http://schemas.microsoft.com/office/drawing/2014/main" id="{6BD69253-4A18-4412-95E3-1F99291A1B3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94" name="Text Box 192">
          <a:extLst>
            <a:ext uri="{FF2B5EF4-FFF2-40B4-BE49-F238E27FC236}">
              <a16:creationId xmlns:a16="http://schemas.microsoft.com/office/drawing/2014/main" id="{872A8566-494E-483B-9B90-8F5F370E065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95" name="Text Box 192">
          <a:extLst>
            <a:ext uri="{FF2B5EF4-FFF2-40B4-BE49-F238E27FC236}">
              <a16:creationId xmlns:a16="http://schemas.microsoft.com/office/drawing/2014/main" id="{E1E659F3-9BB1-458D-970B-EBA9B170759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96" name="Text Box 192">
          <a:extLst>
            <a:ext uri="{FF2B5EF4-FFF2-40B4-BE49-F238E27FC236}">
              <a16:creationId xmlns:a16="http://schemas.microsoft.com/office/drawing/2014/main" id="{BE0E10E5-4008-48CA-8800-0603385D82D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97" name="Text Box 192">
          <a:extLst>
            <a:ext uri="{FF2B5EF4-FFF2-40B4-BE49-F238E27FC236}">
              <a16:creationId xmlns:a16="http://schemas.microsoft.com/office/drawing/2014/main" id="{556BFE10-AB3F-4534-9E8E-5F85B34C3D7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98" name="Text Box 192">
          <a:extLst>
            <a:ext uri="{FF2B5EF4-FFF2-40B4-BE49-F238E27FC236}">
              <a16:creationId xmlns:a16="http://schemas.microsoft.com/office/drawing/2014/main" id="{B6B319D7-5130-4BF0-812B-BE2FC5646C6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699" name="Text Box 192">
          <a:extLst>
            <a:ext uri="{FF2B5EF4-FFF2-40B4-BE49-F238E27FC236}">
              <a16:creationId xmlns:a16="http://schemas.microsoft.com/office/drawing/2014/main" id="{ADDA8E05-2919-4970-8ED6-1138CAAF2B6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700" name="Text Box 192">
          <a:extLst>
            <a:ext uri="{FF2B5EF4-FFF2-40B4-BE49-F238E27FC236}">
              <a16:creationId xmlns:a16="http://schemas.microsoft.com/office/drawing/2014/main" id="{7D758D85-96EC-4D04-8CB2-6CC32C30607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01" name="Text Box 192">
          <a:extLst>
            <a:ext uri="{FF2B5EF4-FFF2-40B4-BE49-F238E27FC236}">
              <a16:creationId xmlns:a16="http://schemas.microsoft.com/office/drawing/2014/main" id="{BEF1E2A1-623B-4398-8C51-BBD36EDF5F6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02" name="Text Box 192">
          <a:extLst>
            <a:ext uri="{FF2B5EF4-FFF2-40B4-BE49-F238E27FC236}">
              <a16:creationId xmlns:a16="http://schemas.microsoft.com/office/drawing/2014/main" id="{8B75FE07-F630-4511-ABEE-23F9EE3BA18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03" name="Text Box 192">
          <a:extLst>
            <a:ext uri="{FF2B5EF4-FFF2-40B4-BE49-F238E27FC236}">
              <a16:creationId xmlns:a16="http://schemas.microsoft.com/office/drawing/2014/main" id="{CF76404C-0EB0-4D24-B39F-FBF47C8BEA7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04" name="Text Box 192">
          <a:extLst>
            <a:ext uri="{FF2B5EF4-FFF2-40B4-BE49-F238E27FC236}">
              <a16:creationId xmlns:a16="http://schemas.microsoft.com/office/drawing/2014/main" id="{3E939E65-D04D-4B0A-ABEC-91C1EFE68C5D}"/>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05" name="Text Box 192">
          <a:extLst>
            <a:ext uri="{FF2B5EF4-FFF2-40B4-BE49-F238E27FC236}">
              <a16:creationId xmlns:a16="http://schemas.microsoft.com/office/drawing/2014/main" id="{0139C8B7-1493-45CA-9C9A-E705D30CEF9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06" name="Text Box 192">
          <a:extLst>
            <a:ext uri="{FF2B5EF4-FFF2-40B4-BE49-F238E27FC236}">
              <a16:creationId xmlns:a16="http://schemas.microsoft.com/office/drawing/2014/main" id="{5873094C-6D8A-44D7-8C56-8C4941004D4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07" name="Text Box 192">
          <a:extLst>
            <a:ext uri="{FF2B5EF4-FFF2-40B4-BE49-F238E27FC236}">
              <a16:creationId xmlns:a16="http://schemas.microsoft.com/office/drawing/2014/main" id="{E1507860-B297-4338-858A-45DF44C468F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08" name="Text Box 192">
          <a:extLst>
            <a:ext uri="{FF2B5EF4-FFF2-40B4-BE49-F238E27FC236}">
              <a16:creationId xmlns:a16="http://schemas.microsoft.com/office/drawing/2014/main" id="{F03EF19E-4620-4071-9B0A-AD644D1E466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09" name="Text Box 192">
          <a:extLst>
            <a:ext uri="{FF2B5EF4-FFF2-40B4-BE49-F238E27FC236}">
              <a16:creationId xmlns:a16="http://schemas.microsoft.com/office/drawing/2014/main" id="{BD87C19B-0855-4E4A-8021-B35ED1A1A34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10" name="Text Box 192">
          <a:extLst>
            <a:ext uri="{FF2B5EF4-FFF2-40B4-BE49-F238E27FC236}">
              <a16:creationId xmlns:a16="http://schemas.microsoft.com/office/drawing/2014/main" id="{619A574F-D02A-4C8E-B34C-CDFC53CD217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11" name="Text Box 192">
          <a:extLst>
            <a:ext uri="{FF2B5EF4-FFF2-40B4-BE49-F238E27FC236}">
              <a16:creationId xmlns:a16="http://schemas.microsoft.com/office/drawing/2014/main" id="{3095ADC1-5D91-46C9-8BED-D1FB9DD6747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12" name="Text Box 192">
          <a:extLst>
            <a:ext uri="{FF2B5EF4-FFF2-40B4-BE49-F238E27FC236}">
              <a16:creationId xmlns:a16="http://schemas.microsoft.com/office/drawing/2014/main" id="{164D9B92-55EF-4DE6-BB4D-E83AAF6927F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13" name="Text Box 192">
          <a:extLst>
            <a:ext uri="{FF2B5EF4-FFF2-40B4-BE49-F238E27FC236}">
              <a16:creationId xmlns:a16="http://schemas.microsoft.com/office/drawing/2014/main" id="{C3D6920E-5DDE-4F26-8129-561610E00F0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14" name="Text Box 192">
          <a:extLst>
            <a:ext uri="{FF2B5EF4-FFF2-40B4-BE49-F238E27FC236}">
              <a16:creationId xmlns:a16="http://schemas.microsoft.com/office/drawing/2014/main" id="{F5D33803-379D-4E86-A0ED-F162557550B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15" name="Text Box 192">
          <a:extLst>
            <a:ext uri="{FF2B5EF4-FFF2-40B4-BE49-F238E27FC236}">
              <a16:creationId xmlns:a16="http://schemas.microsoft.com/office/drawing/2014/main" id="{59E84331-05EE-48CD-A186-94055EF299AD}"/>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16" name="Text Box 192">
          <a:extLst>
            <a:ext uri="{FF2B5EF4-FFF2-40B4-BE49-F238E27FC236}">
              <a16:creationId xmlns:a16="http://schemas.microsoft.com/office/drawing/2014/main" id="{3B94E318-BDC9-41AA-ADE1-8BE917E2509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17" name="Text Box 192">
          <a:extLst>
            <a:ext uri="{FF2B5EF4-FFF2-40B4-BE49-F238E27FC236}">
              <a16:creationId xmlns:a16="http://schemas.microsoft.com/office/drawing/2014/main" id="{3F462DC6-E739-4B50-B97E-69D887A6E02D}"/>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718" name="Text Box 192">
          <a:extLst>
            <a:ext uri="{FF2B5EF4-FFF2-40B4-BE49-F238E27FC236}">
              <a16:creationId xmlns:a16="http://schemas.microsoft.com/office/drawing/2014/main" id="{1F141110-9A54-4937-B7A1-BCEF3A3893A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19" name="Text Box 192">
          <a:extLst>
            <a:ext uri="{FF2B5EF4-FFF2-40B4-BE49-F238E27FC236}">
              <a16:creationId xmlns:a16="http://schemas.microsoft.com/office/drawing/2014/main" id="{8C765EA2-1562-4F5C-9650-301C5C1562F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20" name="Text Box 192">
          <a:extLst>
            <a:ext uri="{FF2B5EF4-FFF2-40B4-BE49-F238E27FC236}">
              <a16:creationId xmlns:a16="http://schemas.microsoft.com/office/drawing/2014/main" id="{27E264CD-842F-478B-9EAC-9E829DC4FB8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21" name="Text Box 192">
          <a:extLst>
            <a:ext uri="{FF2B5EF4-FFF2-40B4-BE49-F238E27FC236}">
              <a16:creationId xmlns:a16="http://schemas.microsoft.com/office/drawing/2014/main" id="{64181821-9C3E-4BF7-8181-7718A0E2F33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22" name="Text Box 192">
          <a:extLst>
            <a:ext uri="{FF2B5EF4-FFF2-40B4-BE49-F238E27FC236}">
              <a16:creationId xmlns:a16="http://schemas.microsoft.com/office/drawing/2014/main" id="{3ACF8B0A-4724-4B77-8C5C-8014E6B4AE4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23" name="Text Box 192">
          <a:extLst>
            <a:ext uri="{FF2B5EF4-FFF2-40B4-BE49-F238E27FC236}">
              <a16:creationId xmlns:a16="http://schemas.microsoft.com/office/drawing/2014/main" id="{6F28F409-E973-4153-8317-A09B6877F49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24" name="Text Box 192">
          <a:extLst>
            <a:ext uri="{FF2B5EF4-FFF2-40B4-BE49-F238E27FC236}">
              <a16:creationId xmlns:a16="http://schemas.microsoft.com/office/drawing/2014/main" id="{35A059AB-544E-48CB-AA33-D1121092551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25" name="Text Box 192">
          <a:extLst>
            <a:ext uri="{FF2B5EF4-FFF2-40B4-BE49-F238E27FC236}">
              <a16:creationId xmlns:a16="http://schemas.microsoft.com/office/drawing/2014/main" id="{732BEC3F-5304-4057-85DC-F8FAD8174ED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26" name="Text Box 192">
          <a:extLst>
            <a:ext uri="{FF2B5EF4-FFF2-40B4-BE49-F238E27FC236}">
              <a16:creationId xmlns:a16="http://schemas.microsoft.com/office/drawing/2014/main" id="{F84F887B-2471-4779-9D2C-DD546821BEF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27" name="Text Box 192">
          <a:extLst>
            <a:ext uri="{FF2B5EF4-FFF2-40B4-BE49-F238E27FC236}">
              <a16:creationId xmlns:a16="http://schemas.microsoft.com/office/drawing/2014/main" id="{CCCAA784-44C6-4411-A6D7-8AA31DF73EC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28" name="Text Box 192">
          <a:extLst>
            <a:ext uri="{FF2B5EF4-FFF2-40B4-BE49-F238E27FC236}">
              <a16:creationId xmlns:a16="http://schemas.microsoft.com/office/drawing/2014/main" id="{EBCCB1BB-7F6A-45C3-8F6C-745C8BCAAC5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29" name="Text Box 192">
          <a:extLst>
            <a:ext uri="{FF2B5EF4-FFF2-40B4-BE49-F238E27FC236}">
              <a16:creationId xmlns:a16="http://schemas.microsoft.com/office/drawing/2014/main" id="{439DA8BB-E90F-404C-A4C3-9A78D67D026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30" name="Text Box 192">
          <a:extLst>
            <a:ext uri="{FF2B5EF4-FFF2-40B4-BE49-F238E27FC236}">
              <a16:creationId xmlns:a16="http://schemas.microsoft.com/office/drawing/2014/main" id="{C6007E54-2BBD-4BB0-9281-61F18B0FEDC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31" name="Text Box 192">
          <a:extLst>
            <a:ext uri="{FF2B5EF4-FFF2-40B4-BE49-F238E27FC236}">
              <a16:creationId xmlns:a16="http://schemas.microsoft.com/office/drawing/2014/main" id="{13BC9AD4-F3FF-4E42-80CF-97A5397A5D4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32" name="Text Box 192">
          <a:extLst>
            <a:ext uri="{FF2B5EF4-FFF2-40B4-BE49-F238E27FC236}">
              <a16:creationId xmlns:a16="http://schemas.microsoft.com/office/drawing/2014/main" id="{2E9021EB-1BD3-4653-8E2D-9B454730A63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33" name="Text Box 192">
          <a:extLst>
            <a:ext uri="{FF2B5EF4-FFF2-40B4-BE49-F238E27FC236}">
              <a16:creationId xmlns:a16="http://schemas.microsoft.com/office/drawing/2014/main" id="{4DDC7C7A-0251-41C3-BA31-DBFFBB5CDBF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34" name="Text Box 192">
          <a:extLst>
            <a:ext uri="{FF2B5EF4-FFF2-40B4-BE49-F238E27FC236}">
              <a16:creationId xmlns:a16="http://schemas.microsoft.com/office/drawing/2014/main" id="{031F4BF6-5119-4C16-92FD-8E55E45EC6B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35" name="Text Box 192">
          <a:extLst>
            <a:ext uri="{FF2B5EF4-FFF2-40B4-BE49-F238E27FC236}">
              <a16:creationId xmlns:a16="http://schemas.microsoft.com/office/drawing/2014/main" id="{A964B08E-65EE-4559-89CD-23AD2920144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736" name="Text Box 192">
          <a:extLst>
            <a:ext uri="{FF2B5EF4-FFF2-40B4-BE49-F238E27FC236}">
              <a16:creationId xmlns:a16="http://schemas.microsoft.com/office/drawing/2014/main" id="{0F8178DA-07A0-4294-A077-FDEB90167D0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37" name="Text Box 192">
          <a:extLst>
            <a:ext uri="{FF2B5EF4-FFF2-40B4-BE49-F238E27FC236}">
              <a16:creationId xmlns:a16="http://schemas.microsoft.com/office/drawing/2014/main" id="{A099CFFB-ACBE-4261-B127-0C35051C3AF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38" name="Text Box 192">
          <a:extLst>
            <a:ext uri="{FF2B5EF4-FFF2-40B4-BE49-F238E27FC236}">
              <a16:creationId xmlns:a16="http://schemas.microsoft.com/office/drawing/2014/main" id="{4328F134-610C-4CD5-8133-B30D868DC19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39" name="Text Box 192">
          <a:extLst>
            <a:ext uri="{FF2B5EF4-FFF2-40B4-BE49-F238E27FC236}">
              <a16:creationId xmlns:a16="http://schemas.microsoft.com/office/drawing/2014/main" id="{F9C5F966-EF2E-43C8-9514-68C3471C0A4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40" name="Text Box 192">
          <a:extLst>
            <a:ext uri="{FF2B5EF4-FFF2-40B4-BE49-F238E27FC236}">
              <a16:creationId xmlns:a16="http://schemas.microsoft.com/office/drawing/2014/main" id="{4AC54963-54E5-4135-8FDC-E03FFBA96A4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41" name="Text Box 192">
          <a:extLst>
            <a:ext uri="{FF2B5EF4-FFF2-40B4-BE49-F238E27FC236}">
              <a16:creationId xmlns:a16="http://schemas.microsoft.com/office/drawing/2014/main" id="{76C6B378-539B-4351-9CAC-C6FD3E3F965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42" name="Text Box 192">
          <a:extLst>
            <a:ext uri="{FF2B5EF4-FFF2-40B4-BE49-F238E27FC236}">
              <a16:creationId xmlns:a16="http://schemas.microsoft.com/office/drawing/2014/main" id="{888E855D-1246-44F4-8A06-AF97598C106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43" name="Text Box 192">
          <a:extLst>
            <a:ext uri="{FF2B5EF4-FFF2-40B4-BE49-F238E27FC236}">
              <a16:creationId xmlns:a16="http://schemas.microsoft.com/office/drawing/2014/main" id="{24A5E97C-6E6E-4293-AB09-3166E329B44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44" name="Text Box 192">
          <a:extLst>
            <a:ext uri="{FF2B5EF4-FFF2-40B4-BE49-F238E27FC236}">
              <a16:creationId xmlns:a16="http://schemas.microsoft.com/office/drawing/2014/main" id="{8F71F6C9-C370-481A-BAD8-1AA1B9206FA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45" name="Text Box 192">
          <a:extLst>
            <a:ext uri="{FF2B5EF4-FFF2-40B4-BE49-F238E27FC236}">
              <a16:creationId xmlns:a16="http://schemas.microsoft.com/office/drawing/2014/main" id="{E8FE6170-D946-478A-B423-F57926120F8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46" name="Text Box 192">
          <a:extLst>
            <a:ext uri="{FF2B5EF4-FFF2-40B4-BE49-F238E27FC236}">
              <a16:creationId xmlns:a16="http://schemas.microsoft.com/office/drawing/2014/main" id="{832D43BD-26C5-41E1-A60A-6EB6D77078C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47" name="Text Box 192">
          <a:extLst>
            <a:ext uri="{FF2B5EF4-FFF2-40B4-BE49-F238E27FC236}">
              <a16:creationId xmlns:a16="http://schemas.microsoft.com/office/drawing/2014/main" id="{409CFB9B-EB7B-4236-B42E-B90321E36DB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48" name="Text Box 192">
          <a:extLst>
            <a:ext uri="{FF2B5EF4-FFF2-40B4-BE49-F238E27FC236}">
              <a16:creationId xmlns:a16="http://schemas.microsoft.com/office/drawing/2014/main" id="{F82D522A-F4EE-4991-B57A-1DCEB082AC2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49" name="Text Box 192">
          <a:extLst>
            <a:ext uri="{FF2B5EF4-FFF2-40B4-BE49-F238E27FC236}">
              <a16:creationId xmlns:a16="http://schemas.microsoft.com/office/drawing/2014/main" id="{2A01A015-5062-4DF8-8999-E90FE3ED99F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50" name="Text Box 192">
          <a:extLst>
            <a:ext uri="{FF2B5EF4-FFF2-40B4-BE49-F238E27FC236}">
              <a16:creationId xmlns:a16="http://schemas.microsoft.com/office/drawing/2014/main" id="{51AE9BB8-9823-42F1-810E-F1B3CAF82F0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51" name="Text Box 192">
          <a:extLst>
            <a:ext uri="{FF2B5EF4-FFF2-40B4-BE49-F238E27FC236}">
              <a16:creationId xmlns:a16="http://schemas.microsoft.com/office/drawing/2014/main" id="{9EAC60AD-250C-4D48-82C6-42A962C69B2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52" name="Text Box 192">
          <a:extLst>
            <a:ext uri="{FF2B5EF4-FFF2-40B4-BE49-F238E27FC236}">
              <a16:creationId xmlns:a16="http://schemas.microsoft.com/office/drawing/2014/main" id="{E25221CF-8F91-4379-96E4-01E64F14685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53" name="Text Box 192">
          <a:extLst>
            <a:ext uri="{FF2B5EF4-FFF2-40B4-BE49-F238E27FC236}">
              <a16:creationId xmlns:a16="http://schemas.microsoft.com/office/drawing/2014/main" id="{0F739897-BFFA-431B-B87F-106793A78EF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754" name="Text Box 192">
          <a:extLst>
            <a:ext uri="{FF2B5EF4-FFF2-40B4-BE49-F238E27FC236}">
              <a16:creationId xmlns:a16="http://schemas.microsoft.com/office/drawing/2014/main" id="{34E8763F-D079-4C6E-B752-860585F3DA0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55" name="Text Box 192">
          <a:extLst>
            <a:ext uri="{FF2B5EF4-FFF2-40B4-BE49-F238E27FC236}">
              <a16:creationId xmlns:a16="http://schemas.microsoft.com/office/drawing/2014/main" id="{B4ED0F48-DAAD-4366-BDFC-EA6202A61DB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56" name="Text Box 192">
          <a:extLst>
            <a:ext uri="{FF2B5EF4-FFF2-40B4-BE49-F238E27FC236}">
              <a16:creationId xmlns:a16="http://schemas.microsoft.com/office/drawing/2014/main" id="{FDCDEDE6-B3D8-45C9-A0BF-E4BDF60FAAB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57" name="Text Box 192">
          <a:extLst>
            <a:ext uri="{FF2B5EF4-FFF2-40B4-BE49-F238E27FC236}">
              <a16:creationId xmlns:a16="http://schemas.microsoft.com/office/drawing/2014/main" id="{8EC7ACB9-B780-4547-821B-83945FA046F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58" name="Text Box 192">
          <a:extLst>
            <a:ext uri="{FF2B5EF4-FFF2-40B4-BE49-F238E27FC236}">
              <a16:creationId xmlns:a16="http://schemas.microsoft.com/office/drawing/2014/main" id="{A03CB55C-CDA8-40C7-988A-49A79BFA990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59" name="Text Box 192">
          <a:extLst>
            <a:ext uri="{FF2B5EF4-FFF2-40B4-BE49-F238E27FC236}">
              <a16:creationId xmlns:a16="http://schemas.microsoft.com/office/drawing/2014/main" id="{54DCF03D-B012-4876-8BB0-15657D0A799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60" name="Text Box 192">
          <a:extLst>
            <a:ext uri="{FF2B5EF4-FFF2-40B4-BE49-F238E27FC236}">
              <a16:creationId xmlns:a16="http://schemas.microsoft.com/office/drawing/2014/main" id="{1AD98C34-66AF-4E4E-B8A8-AFBA82B2E41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61" name="Text Box 192">
          <a:extLst>
            <a:ext uri="{FF2B5EF4-FFF2-40B4-BE49-F238E27FC236}">
              <a16:creationId xmlns:a16="http://schemas.microsoft.com/office/drawing/2014/main" id="{3D13DFAB-50EB-495C-A3B8-41F0343C189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62" name="Text Box 192">
          <a:extLst>
            <a:ext uri="{FF2B5EF4-FFF2-40B4-BE49-F238E27FC236}">
              <a16:creationId xmlns:a16="http://schemas.microsoft.com/office/drawing/2014/main" id="{DBDB0FBB-DF67-4D10-9B60-AEF86BBFB36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63" name="Text Box 192">
          <a:extLst>
            <a:ext uri="{FF2B5EF4-FFF2-40B4-BE49-F238E27FC236}">
              <a16:creationId xmlns:a16="http://schemas.microsoft.com/office/drawing/2014/main" id="{74A53839-6855-47BE-8825-E031E88C805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64" name="Text Box 192">
          <a:extLst>
            <a:ext uri="{FF2B5EF4-FFF2-40B4-BE49-F238E27FC236}">
              <a16:creationId xmlns:a16="http://schemas.microsoft.com/office/drawing/2014/main" id="{BD7AA4BF-8D9D-4F27-A808-B2E80F5EE91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65" name="Text Box 192">
          <a:extLst>
            <a:ext uri="{FF2B5EF4-FFF2-40B4-BE49-F238E27FC236}">
              <a16:creationId xmlns:a16="http://schemas.microsoft.com/office/drawing/2014/main" id="{222347F8-8659-475E-9709-BD448A1051E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66" name="Text Box 192">
          <a:extLst>
            <a:ext uri="{FF2B5EF4-FFF2-40B4-BE49-F238E27FC236}">
              <a16:creationId xmlns:a16="http://schemas.microsoft.com/office/drawing/2014/main" id="{5432A075-8E0E-4C22-8A06-8B93373E6CB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67" name="Text Box 192">
          <a:extLst>
            <a:ext uri="{FF2B5EF4-FFF2-40B4-BE49-F238E27FC236}">
              <a16:creationId xmlns:a16="http://schemas.microsoft.com/office/drawing/2014/main" id="{575AABE5-7F00-4459-B94F-E80BB8F0E2F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68" name="Text Box 192">
          <a:extLst>
            <a:ext uri="{FF2B5EF4-FFF2-40B4-BE49-F238E27FC236}">
              <a16:creationId xmlns:a16="http://schemas.microsoft.com/office/drawing/2014/main" id="{540A5724-C266-4E0A-8960-51968D2797D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69" name="Text Box 192">
          <a:extLst>
            <a:ext uri="{FF2B5EF4-FFF2-40B4-BE49-F238E27FC236}">
              <a16:creationId xmlns:a16="http://schemas.microsoft.com/office/drawing/2014/main" id="{3DC2E78F-6153-4EDD-8C9F-18BDC49D135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70" name="Text Box 192">
          <a:extLst>
            <a:ext uri="{FF2B5EF4-FFF2-40B4-BE49-F238E27FC236}">
              <a16:creationId xmlns:a16="http://schemas.microsoft.com/office/drawing/2014/main" id="{F8F437CB-C4F8-4565-88A0-E345F9C48E3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71" name="Text Box 192">
          <a:extLst>
            <a:ext uri="{FF2B5EF4-FFF2-40B4-BE49-F238E27FC236}">
              <a16:creationId xmlns:a16="http://schemas.microsoft.com/office/drawing/2014/main" id="{61E94BA2-FACF-4F90-8F3C-AEA14C239BF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772" name="Text Box 192">
          <a:extLst>
            <a:ext uri="{FF2B5EF4-FFF2-40B4-BE49-F238E27FC236}">
              <a16:creationId xmlns:a16="http://schemas.microsoft.com/office/drawing/2014/main" id="{CA8F10B4-CCC4-4901-B43A-2EDEE88D1D0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73" name="Text Box 192">
          <a:extLst>
            <a:ext uri="{FF2B5EF4-FFF2-40B4-BE49-F238E27FC236}">
              <a16:creationId xmlns:a16="http://schemas.microsoft.com/office/drawing/2014/main" id="{CDD4E616-5CDC-420E-BCFA-CB5EF9FA4AD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74" name="Text Box 192">
          <a:extLst>
            <a:ext uri="{FF2B5EF4-FFF2-40B4-BE49-F238E27FC236}">
              <a16:creationId xmlns:a16="http://schemas.microsoft.com/office/drawing/2014/main" id="{5149BB8C-8265-4A14-B5A2-6AFB04E351D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75" name="Text Box 192">
          <a:extLst>
            <a:ext uri="{FF2B5EF4-FFF2-40B4-BE49-F238E27FC236}">
              <a16:creationId xmlns:a16="http://schemas.microsoft.com/office/drawing/2014/main" id="{9C8B0B36-1D62-459E-8674-DF6E86052B4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76" name="Text Box 192">
          <a:extLst>
            <a:ext uri="{FF2B5EF4-FFF2-40B4-BE49-F238E27FC236}">
              <a16:creationId xmlns:a16="http://schemas.microsoft.com/office/drawing/2014/main" id="{A8A4A7B9-C6F3-49BA-86F0-27990563A572}"/>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77" name="Text Box 192">
          <a:extLst>
            <a:ext uri="{FF2B5EF4-FFF2-40B4-BE49-F238E27FC236}">
              <a16:creationId xmlns:a16="http://schemas.microsoft.com/office/drawing/2014/main" id="{C0CFE84B-06B9-41FD-BF9B-CE16D0155B4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78" name="Text Box 192">
          <a:extLst>
            <a:ext uri="{FF2B5EF4-FFF2-40B4-BE49-F238E27FC236}">
              <a16:creationId xmlns:a16="http://schemas.microsoft.com/office/drawing/2014/main" id="{BFFB08C5-7F0F-49E8-A746-E49860C5884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79" name="Text Box 192">
          <a:extLst>
            <a:ext uri="{FF2B5EF4-FFF2-40B4-BE49-F238E27FC236}">
              <a16:creationId xmlns:a16="http://schemas.microsoft.com/office/drawing/2014/main" id="{CB5AB2BC-366F-44F6-B75F-CA75549CDB9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80" name="Text Box 192">
          <a:extLst>
            <a:ext uri="{FF2B5EF4-FFF2-40B4-BE49-F238E27FC236}">
              <a16:creationId xmlns:a16="http://schemas.microsoft.com/office/drawing/2014/main" id="{57F0907D-1EE9-4149-BBCC-8F3B8600785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81" name="Text Box 192">
          <a:extLst>
            <a:ext uri="{FF2B5EF4-FFF2-40B4-BE49-F238E27FC236}">
              <a16:creationId xmlns:a16="http://schemas.microsoft.com/office/drawing/2014/main" id="{3F05F95E-B6D7-4D0D-A5C1-8771CECE9BB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82" name="Text Box 192">
          <a:extLst>
            <a:ext uri="{FF2B5EF4-FFF2-40B4-BE49-F238E27FC236}">
              <a16:creationId xmlns:a16="http://schemas.microsoft.com/office/drawing/2014/main" id="{496829B8-856D-465E-B16B-B47B6BFDCD29}"/>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83" name="Text Box 192">
          <a:extLst>
            <a:ext uri="{FF2B5EF4-FFF2-40B4-BE49-F238E27FC236}">
              <a16:creationId xmlns:a16="http://schemas.microsoft.com/office/drawing/2014/main" id="{5B270073-1F6C-4A6E-B977-33278EF6EED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84" name="Text Box 192">
          <a:extLst>
            <a:ext uri="{FF2B5EF4-FFF2-40B4-BE49-F238E27FC236}">
              <a16:creationId xmlns:a16="http://schemas.microsoft.com/office/drawing/2014/main" id="{FE7EBC25-2975-4449-AAB9-1069908A39A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85" name="Text Box 192">
          <a:extLst>
            <a:ext uri="{FF2B5EF4-FFF2-40B4-BE49-F238E27FC236}">
              <a16:creationId xmlns:a16="http://schemas.microsoft.com/office/drawing/2014/main" id="{921E1C8A-EA60-4572-AABE-98288BD8BAA3}"/>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86" name="Text Box 192">
          <a:extLst>
            <a:ext uri="{FF2B5EF4-FFF2-40B4-BE49-F238E27FC236}">
              <a16:creationId xmlns:a16="http://schemas.microsoft.com/office/drawing/2014/main" id="{3508E2E8-5439-4C32-938B-5D75FE51286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87" name="Text Box 192">
          <a:extLst>
            <a:ext uri="{FF2B5EF4-FFF2-40B4-BE49-F238E27FC236}">
              <a16:creationId xmlns:a16="http://schemas.microsoft.com/office/drawing/2014/main" id="{124F853B-AE2E-4243-87D5-E1AE1952C7F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88" name="Text Box 192">
          <a:extLst>
            <a:ext uri="{FF2B5EF4-FFF2-40B4-BE49-F238E27FC236}">
              <a16:creationId xmlns:a16="http://schemas.microsoft.com/office/drawing/2014/main" id="{26F0C180-9C1C-4693-8849-5DF00C9E860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89" name="Text Box 192">
          <a:extLst>
            <a:ext uri="{FF2B5EF4-FFF2-40B4-BE49-F238E27FC236}">
              <a16:creationId xmlns:a16="http://schemas.microsoft.com/office/drawing/2014/main" id="{AA0A48B8-6B69-4713-AB76-4B7AFBC12AC8}"/>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790" name="Text Box 192">
          <a:extLst>
            <a:ext uri="{FF2B5EF4-FFF2-40B4-BE49-F238E27FC236}">
              <a16:creationId xmlns:a16="http://schemas.microsoft.com/office/drawing/2014/main" id="{44B463E3-999D-4D7F-A955-61B73650D7B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791" name="Text Box 192">
          <a:extLst>
            <a:ext uri="{FF2B5EF4-FFF2-40B4-BE49-F238E27FC236}">
              <a16:creationId xmlns:a16="http://schemas.microsoft.com/office/drawing/2014/main" id="{C981B024-AB67-4476-85DD-41F1544F523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792" name="Text Box 192">
          <a:extLst>
            <a:ext uri="{FF2B5EF4-FFF2-40B4-BE49-F238E27FC236}">
              <a16:creationId xmlns:a16="http://schemas.microsoft.com/office/drawing/2014/main" id="{740767D8-075E-4B72-B8A1-24432BE49970}"/>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793" name="Text Box 192">
          <a:extLst>
            <a:ext uri="{FF2B5EF4-FFF2-40B4-BE49-F238E27FC236}">
              <a16:creationId xmlns:a16="http://schemas.microsoft.com/office/drawing/2014/main" id="{8556B60D-7C5C-47EA-8913-B812192FBC3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794" name="Text Box 192">
          <a:extLst>
            <a:ext uri="{FF2B5EF4-FFF2-40B4-BE49-F238E27FC236}">
              <a16:creationId xmlns:a16="http://schemas.microsoft.com/office/drawing/2014/main" id="{7C92C01E-1288-48CB-809D-5E0D13D4457F}"/>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795" name="Text Box 192">
          <a:extLst>
            <a:ext uri="{FF2B5EF4-FFF2-40B4-BE49-F238E27FC236}">
              <a16:creationId xmlns:a16="http://schemas.microsoft.com/office/drawing/2014/main" id="{44F7AB7D-4BEB-45F5-B5AF-D34E06AF9CBB}"/>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796" name="Text Box 192">
          <a:extLst>
            <a:ext uri="{FF2B5EF4-FFF2-40B4-BE49-F238E27FC236}">
              <a16:creationId xmlns:a16="http://schemas.microsoft.com/office/drawing/2014/main" id="{8AE96065-53CA-4E42-8A04-66371412E741}"/>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797" name="Text Box 192">
          <a:extLst>
            <a:ext uri="{FF2B5EF4-FFF2-40B4-BE49-F238E27FC236}">
              <a16:creationId xmlns:a16="http://schemas.microsoft.com/office/drawing/2014/main" id="{A0211E5C-ADE3-4D6B-A835-1D244C68CBAE}"/>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798" name="Text Box 192">
          <a:extLst>
            <a:ext uri="{FF2B5EF4-FFF2-40B4-BE49-F238E27FC236}">
              <a16:creationId xmlns:a16="http://schemas.microsoft.com/office/drawing/2014/main" id="{0869967D-CBCF-4850-BFF5-EE8AF75064B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799" name="Text Box 192">
          <a:extLst>
            <a:ext uri="{FF2B5EF4-FFF2-40B4-BE49-F238E27FC236}">
              <a16:creationId xmlns:a16="http://schemas.microsoft.com/office/drawing/2014/main" id="{C8689CF5-EF0C-411A-AB30-C3DD33E181B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800" name="Text Box 192">
          <a:extLst>
            <a:ext uri="{FF2B5EF4-FFF2-40B4-BE49-F238E27FC236}">
              <a16:creationId xmlns:a16="http://schemas.microsoft.com/office/drawing/2014/main" id="{E784D76C-9DFA-49D6-8870-832ABDC4D685}"/>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801" name="Text Box 192">
          <a:extLst>
            <a:ext uri="{FF2B5EF4-FFF2-40B4-BE49-F238E27FC236}">
              <a16:creationId xmlns:a16="http://schemas.microsoft.com/office/drawing/2014/main" id="{F946E981-9C79-4092-AC60-D32BE72A1B8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802" name="Text Box 192">
          <a:extLst>
            <a:ext uri="{FF2B5EF4-FFF2-40B4-BE49-F238E27FC236}">
              <a16:creationId xmlns:a16="http://schemas.microsoft.com/office/drawing/2014/main" id="{98F36197-1D21-49C9-BE6D-C1AA1F69ACCA}"/>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803" name="Text Box 192">
          <a:extLst>
            <a:ext uri="{FF2B5EF4-FFF2-40B4-BE49-F238E27FC236}">
              <a16:creationId xmlns:a16="http://schemas.microsoft.com/office/drawing/2014/main" id="{F7B1451D-CD50-4B51-8DE7-EDD0BBC255D6}"/>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804" name="Text Box 192">
          <a:extLst>
            <a:ext uri="{FF2B5EF4-FFF2-40B4-BE49-F238E27FC236}">
              <a16:creationId xmlns:a16="http://schemas.microsoft.com/office/drawing/2014/main" id="{775197F2-8FD2-4F35-AEF6-BB886CA19B6D}"/>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805" name="Text Box 192">
          <a:extLst>
            <a:ext uri="{FF2B5EF4-FFF2-40B4-BE49-F238E27FC236}">
              <a16:creationId xmlns:a16="http://schemas.microsoft.com/office/drawing/2014/main" id="{35AFD475-F9A2-4E33-A403-57B9FF424874}"/>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806" name="Text Box 192">
          <a:extLst>
            <a:ext uri="{FF2B5EF4-FFF2-40B4-BE49-F238E27FC236}">
              <a16:creationId xmlns:a16="http://schemas.microsoft.com/office/drawing/2014/main" id="{DACDDEC3-6915-4F6B-8069-4F6B0E3209B7}"/>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807" name="Text Box 192">
          <a:extLst>
            <a:ext uri="{FF2B5EF4-FFF2-40B4-BE49-F238E27FC236}">
              <a16:creationId xmlns:a16="http://schemas.microsoft.com/office/drawing/2014/main" id="{03018970-096A-429A-ACBB-740114051DA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4808" name="Text Box 192">
          <a:extLst>
            <a:ext uri="{FF2B5EF4-FFF2-40B4-BE49-F238E27FC236}">
              <a16:creationId xmlns:a16="http://schemas.microsoft.com/office/drawing/2014/main" id="{327EB020-52F4-4614-9DDB-E3925AA47F0C}"/>
            </a:ext>
          </a:extLst>
        </xdr:cNvPr>
        <xdr:cNvSpPr txBox="1">
          <a:spLocks noChangeArrowheads="1"/>
        </xdr:cNvSpPr>
      </xdr:nvSpPr>
      <xdr:spPr bwMode="auto">
        <a:xfrm>
          <a:off x="25200209" y="91707891"/>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09" name="Text Box 192">
          <a:extLst>
            <a:ext uri="{FF2B5EF4-FFF2-40B4-BE49-F238E27FC236}">
              <a16:creationId xmlns:a16="http://schemas.microsoft.com/office/drawing/2014/main" id="{E18F98C3-709B-4853-842D-08372049D3E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299</xdr:row>
      <xdr:rowOff>0</xdr:rowOff>
    </xdr:from>
    <xdr:ext cx="10372" cy="228955"/>
    <xdr:sp macro="" textlink="">
      <xdr:nvSpPr>
        <xdr:cNvPr id="4810" name="Text Box 192">
          <a:extLst>
            <a:ext uri="{FF2B5EF4-FFF2-40B4-BE49-F238E27FC236}">
              <a16:creationId xmlns:a16="http://schemas.microsoft.com/office/drawing/2014/main" id="{5A61B52C-58BA-4E65-8A3B-785CBD327FAC}"/>
            </a:ext>
          </a:extLst>
        </xdr:cNvPr>
        <xdr:cNvSpPr txBox="1">
          <a:spLocks noChangeArrowheads="1"/>
        </xdr:cNvSpPr>
      </xdr:nvSpPr>
      <xdr:spPr bwMode="auto">
        <a:xfrm>
          <a:off x="25200209" y="978515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11" name="Text Box 192">
          <a:extLst>
            <a:ext uri="{FF2B5EF4-FFF2-40B4-BE49-F238E27FC236}">
              <a16:creationId xmlns:a16="http://schemas.microsoft.com/office/drawing/2014/main" id="{42BE362E-6760-47A9-BF9B-C0A874AE4F25}"/>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12" name="Text Box 192">
          <a:extLst>
            <a:ext uri="{FF2B5EF4-FFF2-40B4-BE49-F238E27FC236}">
              <a16:creationId xmlns:a16="http://schemas.microsoft.com/office/drawing/2014/main" id="{4924416A-83C4-4311-8766-1A7193CAE57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13" name="Text Box 192">
          <a:extLst>
            <a:ext uri="{FF2B5EF4-FFF2-40B4-BE49-F238E27FC236}">
              <a16:creationId xmlns:a16="http://schemas.microsoft.com/office/drawing/2014/main" id="{F4F0C223-1468-4D50-8DE2-C6F13465AFF8}"/>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14" name="Text Box 192">
          <a:extLst>
            <a:ext uri="{FF2B5EF4-FFF2-40B4-BE49-F238E27FC236}">
              <a16:creationId xmlns:a16="http://schemas.microsoft.com/office/drawing/2014/main" id="{2D9E2A51-6B6E-44A6-9D25-737C1B64A121}"/>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15" name="Text Box 192">
          <a:extLst>
            <a:ext uri="{FF2B5EF4-FFF2-40B4-BE49-F238E27FC236}">
              <a16:creationId xmlns:a16="http://schemas.microsoft.com/office/drawing/2014/main" id="{07C94070-69C0-4EC3-97F9-6E79F5C64D7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16" name="Text Box 192">
          <a:extLst>
            <a:ext uri="{FF2B5EF4-FFF2-40B4-BE49-F238E27FC236}">
              <a16:creationId xmlns:a16="http://schemas.microsoft.com/office/drawing/2014/main" id="{C4A49554-63BE-4DE7-AE38-8DBFA2327F63}"/>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17" name="Text Box 192">
          <a:extLst>
            <a:ext uri="{FF2B5EF4-FFF2-40B4-BE49-F238E27FC236}">
              <a16:creationId xmlns:a16="http://schemas.microsoft.com/office/drawing/2014/main" id="{4E772BAE-7DB7-4A14-9A36-BA53BDAF87A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18" name="Text Box 192">
          <a:extLst>
            <a:ext uri="{FF2B5EF4-FFF2-40B4-BE49-F238E27FC236}">
              <a16:creationId xmlns:a16="http://schemas.microsoft.com/office/drawing/2014/main" id="{0C975F39-9A5B-4CCC-AB7F-A255C8135DC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19" name="Text Box 192">
          <a:extLst>
            <a:ext uri="{FF2B5EF4-FFF2-40B4-BE49-F238E27FC236}">
              <a16:creationId xmlns:a16="http://schemas.microsoft.com/office/drawing/2014/main" id="{6A9FB90A-6F7C-40E7-931B-5D3B9DBBE2F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20" name="Text Box 192">
          <a:extLst>
            <a:ext uri="{FF2B5EF4-FFF2-40B4-BE49-F238E27FC236}">
              <a16:creationId xmlns:a16="http://schemas.microsoft.com/office/drawing/2014/main" id="{C36F4E6A-CE30-4E18-8034-F1218FDB66D4}"/>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21" name="Text Box 192">
          <a:extLst>
            <a:ext uri="{FF2B5EF4-FFF2-40B4-BE49-F238E27FC236}">
              <a16:creationId xmlns:a16="http://schemas.microsoft.com/office/drawing/2014/main" id="{D7B13124-DD4C-4B06-ACF6-D7D166A50DE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22" name="Text Box 192">
          <a:extLst>
            <a:ext uri="{FF2B5EF4-FFF2-40B4-BE49-F238E27FC236}">
              <a16:creationId xmlns:a16="http://schemas.microsoft.com/office/drawing/2014/main" id="{C79C8272-8CD0-4E49-8FD7-828B1630FDD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23" name="Text Box 192">
          <a:extLst>
            <a:ext uri="{FF2B5EF4-FFF2-40B4-BE49-F238E27FC236}">
              <a16:creationId xmlns:a16="http://schemas.microsoft.com/office/drawing/2014/main" id="{3B9CEF6B-1C50-4F1C-9A57-8B3B4C82BC0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24" name="Text Box 192">
          <a:extLst>
            <a:ext uri="{FF2B5EF4-FFF2-40B4-BE49-F238E27FC236}">
              <a16:creationId xmlns:a16="http://schemas.microsoft.com/office/drawing/2014/main" id="{ADBCF928-0765-4254-AB24-B8207ADAA44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25" name="Text Box 192">
          <a:extLst>
            <a:ext uri="{FF2B5EF4-FFF2-40B4-BE49-F238E27FC236}">
              <a16:creationId xmlns:a16="http://schemas.microsoft.com/office/drawing/2014/main" id="{A280E9E9-48BB-49C9-B5C9-C9E50DA7BF5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26" name="Text Box 192">
          <a:extLst>
            <a:ext uri="{FF2B5EF4-FFF2-40B4-BE49-F238E27FC236}">
              <a16:creationId xmlns:a16="http://schemas.microsoft.com/office/drawing/2014/main" id="{60CD61FA-1586-496D-B91B-A5491BB84D64}"/>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27" name="Text Box 192">
          <a:extLst>
            <a:ext uri="{FF2B5EF4-FFF2-40B4-BE49-F238E27FC236}">
              <a16:creationId xmlns:a16="http://schemas.microsoft.com/office/drawing/2014/main" id="{FC95FBA5-87D2-455C-A643-606A2EFE607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28" name="Text Box 192">
          <a:extLst>
            <a:ext uri="{FF2B5EF4-FFF2-40B4-BE49-F238E27FC236}">
              <a16:creationId xmlns:a16="http://schemas.microsoft.com/office/drawing/2014/main" id="{12C31331-B914-4972-B8D9-AA3BC09042C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29" name="Text Box 192">
          <a:extLst>
            <a:ext uri="{FF2B5EF4-FFF2-40B4-BE49-F238E27FC236}">
              <a16:creationId xmlns:a16="http://schemas.microsoft.com/office/drawing/2014/main" id="{B7264C79-DE44-48E1-81B7-48F5A8977CB3}"/>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30" name="Text Box 192">
          <a:extLst>
            <a:ext uri="{FF2B5EF4-FFF2-40B4-BE49-F238E27FC236}">
              <a16:creationId xmlns:a16="http://schemas.microsoft.com/office/drawing/2014/main" id="{40021395-DA9B-4865-87ED-2D6C8C72AD5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31" name="Text Box 192">
          <a:extLst>
            <a:ext uri="{FF2B5EF4-FFF2-40B4-BE49-F238E27FC236}">
              <a16:creationId xmlns:a16="http://schemas.microsoft.com/office/drawing/2014/main" id="{EC59350F-F9D6-4F64-BC63-3E4B5320435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32" name="Text Box 192">
          <a:extLst>
            <a:ext uri="{FF2B5EF4-FFF2-40B4-BE49-F238E27FC236}">
              <a16:creationId xmlns:a16="http://schemas.microsoft.com/office/drawing/2014/main" id="{3CC0AD42-0224-4FCD-A369-75A93F32379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33" name="Text Box 192">
          <a:extLst>
            <a:ext uri="{FF2B5EF4-FFF2-40B4-BE49-F238E27FC236}">
              <a16:creationId xmlns:a16="http://schemas.microsoft.com/office/drawing/2014/main" id="{9B3F4A7C-22F7-42C5-B63F-762485DEB5A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34" name="Text Box 192">
          <a:extLst>
            <a:ext uri="{FF2B5EF4-FFF2-40B4-BE49-F238E27FC236}">
              <a16:creationId xmlns:a16="http://schemas.microsoft.com/office/drawing/2014/main" id="{7815331E-12C6-41CE-8CEC-36EC4D70BB9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35" name="Text Box 192">
          <a:extLst>
            <a:ext uri="{FF2B5EF4-FFF2-40B4-BE49-F238E27FC236}">
              <a16:creationId xmlns:a16="http://schemas.microsoft.com/office/drawing/2014/main" id="{F1209899-5105-427A-9524-290139514A01}"/>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36" name="Text Box 192">
          <a:extLst>
            <a:ext uri="{FF2B5EF4-FFF2-40B4-BE49-F238E27FC236}">
              <a16:creationId xmlns:a16="http://schemas.microsoft.com/office/drawing/2014/main" id="{FF73E53F-7993-43E0-BFAB-2627D5D43F0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37" name="Text Box 192">
          <a:extLst>
            <a:ext uri="{FF2B5EF4-FFF2-40B4-BE49-F238E27FC236}">
              <a16:creationId xmlns:a16="http://schemas.microsoft.com/office/drawing/2014/main" id="{41EB15CF-8AC0-4AA6-89D1-84BF54186B3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38" name="Text Box 192">
          <a:extLst>
            <a:ext uri="{FF2B5EF4-FFF2-40B4-BE49-F238E27FC236}">
              <a16:creationId xmlns:a16="http://schemas.microsoft.com/office/drawing/2014/main" id="{9F67FBF9-3846-4C34-AA1D-D69BFE35165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39" name="Text Box 192">
          <a:extLst>
            <a:ext uri="{FF2B5EF4-FFF2-40B4-BE49-F238E27FC236}">
              <a16:creationId xmlns:a16="http://schemas.microsoft.com/office/drawing/2014/main" id="{E2786D75-793A-4543-9929-BBBA0DD39EE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40" name="Text Box 192">
          <a:extLst>
            <a:ext uri="{FF2B5EF4-FFF2-40B4-BE49-F238E27FC236}">
              <a16:creationId xmlns:a16="http://schemas.microsoft.com/office/drawing/2014/main" id="{6A7238D1-5DC7-4856-BF47-46B81CA57194}"/>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300</xdr:row>
      <xdr:rowOff>0</xdr:rowOff>
    </xdr:from>
    <xdr:ext cx="10372" cy="228955"/>
    <xdr:sp macro="" textlink="">
      <xdr:nvSpPr>
        <xdr:cNvPr id="4841" name="Text Box 192">
          <a:extLst>
            <a:ext uri="{FF2B5EF4-FFF2-40B4-BE49-F238E27FC236}">
              <a16:creationId xmlns:a16="http://schemas.microsoft.com/office/drawing/2014/main" id="{D16EE714-80E3-4951-A008-4D52A0FE6AEF}"/>
            </a:ext>
          </a:extLst>
        </xdr:cNvPr>
        <xdr:cNvSpPr txBox="1">
          <a:spLocks noChangeArrowheads="1"/>
        </xdr:cNvSpPr>
      </xdr:nvSpPr>
      <xdr:spPr bwMode="auto">
        <a:xfrm>
          <a:off x="25200209" y="978515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42" name="Text Box 192">
          <a:extLst>
            <a:ext uri="{FF2B5EF4-FFF2-40B4-BE49-F238E27FC236}">
              <a16:creationId xmlns:a16="http://schemas.microsoft.com/office/drawing/2014/main" id="{9D47037A-1E9B-4004-B47E-E1F660AE1B4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43" name="Text Box 192">
          <a:extLst>
            <a:ext uri="{FF2B5EF4-FFF2-40B4-BE49-F238E27FC236}">
              <a16:creationId xmlns:a16="http://schemas.microsoft.com/office/drawing/2014/main" id="{030DB7F9-6A8E-4131-B213-C05FB073A6B4}"/>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44" name="Text Box 192">
          <a:extLst>
            <a:ext uri="{FF2B5EF4-FFF2-40B4-BE49-F238E27FC236}">
              <a16:creationId xmlns:a16="http://schemas.microsoft.com/office/drawing/2014/main" id="{915ABF62-EDFE-4BB7-BBB7-09AC421E1E1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45" name="Text Box 192">
          <a:extLst>
            <a:ext uri="{FF2B5EF4-FFF2-40B4-BE49-F238E27FC236}">
              <a16:creationId xmlns:a16="http://schemas.microsoft.com/office/drawing/2014/main" id="{0D4CC16B-6EEE-4C58-9D26-5D348AFE09D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46" name="Text Box 192">
          <a:extLst>
            <a:ext uri="{FF2B5EF4-FFF2-40B4-BE49-F238E27FC236}">
              <a16:creationId xmlns:a16="http://schemas.microsoft.com/office/drawing/2014/main" id="{5A35E304-2B2C-49B4-B1FB-90572B36CDB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47" name="Text Box 192">
          <a:extLst>
            <a:ext uri="{FF2B5EF4-FFF2-40B4-BE49-F238E27FC236}">
              <a16:creationId xmlns:a16="http://schemas.microsoft.com/office/drawing/2014/main" id="{53C71403-B468-4265-BF3E-A985A9DBDEB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48" name="Text Box 192">
          <a:extLst>
            <a:ext uri="{FF2B5EF4-FFF2-40B4-BE49-F238E27FC236}">
              <a16:creationId xmlns:a16="http://schemas.microsoft.com/office/drawing/2014/main" id="{EBD7A5E4-8444-4F17-BE3A-60933175FE9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49" name="Text Box 192">
          <a:extLst>
            <a:ext uri="{FF2B5EF4-FFF2-40B4-BE49-F238E27FC236}">
              <a16:creationId xmlns:a16="http://schemas.microsoft.com/office/drawing/2014/main" id="{921BDAFF-2F4E-4CF1-A93E-1D067AD8A68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50" name="Text Box 192">
          <a:extLst>
            <a:ext uri="{FF2B5EF4-FFF2-40B4-BE49-F238E27FC236}">
              <a16:creationId xmlns:a16="http://schemas.microsoft.com/office/drawing/2014/main" id="{94B13897-4977-4281-ABF4-BA270CE6FB7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51" name="Text Box 192">
          <a:extLst>
            <a:ext uri="{FF2B5EF4-FFF2-40B4-BE49-F238E27FC236}">
              <a16:creationId xmlns:a16="http://schemas.microsoft.com/office/drawing/2014/main" id="{97F673B7-F749-4720-88F2-6A30FBCAAE65}"/>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52" name="Text Box 192">
          <a:extLst>
            <a:ext uri="{FF2B5EF4-FFF2-40B4-BE49-F238E27FC236}">
              <a16:creationId xmlns:a16="http://schemas.microsoft.com/office/drawing/2014/main" id="{70A3A12B-D763-490C-A34D-D45A152E5D1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53" name="Text Box 192">
          <a:extLst>
            <a:ext uri="{FF2B5EF4-FFF2-40B4-BE49-F238E27FC236}">
              <a16:creationId xmlns:a16="http://schemas.microsoft.com/office/drawing/2014/main" id="{6EDCB96C-C903-4F1E-9E7B-DA24B1C7C77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54" name="Text Box 192">
          <a:extLst>
            <a:ext uri="{FF2B5EF4-FFF2-40B4-BE49-F238E27FC236}">
              <a16:creationId xmlns:a16="http://schemas.microsoft.com/office/drawing/2014/main" id="{5119BB44-7521-439B-90DE-46808718CC2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55" name="Text Box 192">
          <a:extLst>
            <a:ext uri="{FF2B5EF4-FFF2-40B4-BE49-F238E27FC236}">
              <a16:creationId xmlns:a16="http://schemas.microsoft.com/office/drawing/2014/main" id="{B9EC3431-B7E4-4A53-98D5-7837F5D7FBD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56" name="Text Box 192">
          <a:extLst>
            <a:ext uri="{FF2B5EF4-FFF2-40B4-BE49-F238E27FC236}">
              <a16:creationId xmlns:a16="http://schemas.microsoft.com/office/drawing/2014/main" id="{F8FC92E0-1343-4CA3-8F01-27046F979883}"/>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57" name="Text Box 192">
          <a:extLst>
            <a:ext uri="{FF2B5EF4-FFF2-40B4-BE49-F238E27FC236}">
              <a16:creationId xmlns:a16="http://schemas.microsoft.com/office/drawing/2014/main" id="{9B7BD634-1845-4713-BC57-05ED59364F95}"/>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58" name="Text Box 192">
          <a:extLst>
            <a:ext uri="{FF2B5EF4-FFF2-40B4-BE49-F238E27FC236}">
              <a16:creationId xmlns:a16="http://schemas.microsoft.com/office/drawing/2014/main" id="{AE441727-2C9E-4AE6-9BAF-D4FEF09F74B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59" name="Text Box 192">
          <a:extLst>
            <a:ext uri="{FF2B5EF4-FFF2-40B4-BE49-F238E27FC236}">
              <a16:creationId xmlns:a16="http://schemas.microsoft.com/office/drawing/2014/main" id="{3EAEC694-632D-47E4-97DF-F9894A5F442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60" name="Text Box 192">
          <a:extLst>
            <a:ext uri="{FF2B5EF4-FFF2-40B4-BE49-F238E27FC236}">
              <a16:creationId xmlns:a16="http://schemas.microsoft.com/office/drawing/2014/main" id="{54BA3055-241B-4D19-85DC-3E234641AA6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61" name="Text Box 192">
          <a:extLst>
            <a:ext uri="{FF2B5EF4-FFF2-40B4-BE49-F238E27FC236}">
              <a16:creationId xmlns:a16="http://schemas.microsoft.com/office/drawing/2014/main" id="{10ED408B-1D8E-4181-A7FA-2A03C8778E4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62" name="Text Box 192">
          <a:extLst>
            <a:ext uri="{FF2B5EF4-FFF2-40B4-BE49-F238E27FC236}">
              <a16:creationId xmlns:a16="http://schemas.microsoft.com/office/drawing/2014/main" id="{7269BED3-B29C-4F75-9CAA-05D281ABA34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63" name="Text Box 192">
          <a:extLst>
            <a:ext uri="{FF2B5EF4-FFF2-40B4-BE49-F238E27FC236}">
              <a16:creationId xmlns:a16="http://schemas.microsoft.com/office/drawing/2014/main" id="{62DA720F-91FB-497B-AA79-2871201D161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64" name="Text Box 192">
          <a:extLst>
            <a:ext uri="{FF2B5EF4-FFF2-40B4-BE49-F238E27FC236}">
              <a16:creationId xmlns:a16="http://schemas.microsoft.com/office/drawing/2014/main" id="{9D56B42D-1AF9-406F-AD68-51CE5BA3AEB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65" name="Text Box 192">
          <a:extLst>
            <a:ext uri="{FF2B5EF4-FFF2-40B4-BE49-F238E27FC236}">
              <a16:creationId xmlns:a16="http://schemas.microsoft.com/office/drawing/2014/main" id="{7E7970BB-8643-4E9C-8B01-65495AE8DB1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66" name="Text Box 192">
          <a:extLst>
            <a:ext uri="{FF2B5EF4-FFF2-40B4-BE49-F238E27FC236}">
              <a16:creationId xmlns:a16="http://schemas.microsoft.com/office/drawing/2014/main" id="{AC25CE47-7036-42C0-88EA-229DA687788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67" name="Text Box 192">
          <a:extLst>
            <a:ext uri="{FF2B5EF4-FFF2-40B4-BE49-F238E27FC236}">
              <a16:creationId xmlns:a16="http://schemas.microsoft.com/office/drawing/2014/main" id="{3D9F69CC-D489-4277-AA7E-376AF5C0209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68" name="Text Box 192">
          <a:extLst>
            <a:ext uri="{FF2B5EF4-FFF2-40B4-BE49-F238E27FC236}">
              <a16:creationId xmlns:a16="http://schemas.microsoft.com/office/drawing/2014/main" id="{907C9167-BC70-433D-9977-D8A0A32C709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69" name="Text Box 192">
          <a:extLst>
            <a:ext uri="{FF2B5EF4-FFF2-40B4-BE49-F238E27FC236}">
              <a16:creationId xmlns:a16="http://schemas.microsoft.com/office/drawing/2014/main" id="{86A7966A-687E-469C-9091-AB61395C512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70" name="Text Box 192">
          <a:extLst>
            <a:ext uri="{FF2B5EF4-FFF2-40B4-BE49-F238E27FC236}">
              <a16:creationId xmlns:a16="http://schemas.microsoft.com/office/drawing/2014/main" id="{D3A4406E-8E46-49F1-B26A-4032BE00E92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71" name="Text Box 192">
          <a:extLst>
            <a:ext uri="{FF2B5EF4-FFF2-40B4-BE49-F238E27FC236}">
              <a16:creationId xmlns:a16="http://schemas.microsoft.com/office/drawing/2014/main" id="{3E11FCD2-D9CA-4AF4-A6B7-0CF945B3E83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72" name="Text Box 192">
          <a:extLst>
            <a:ext uri="{FF2B5EF4-FFF2-40B4-BE49-F238E27FC236}">
              <a16:creationId xmlns:a16="http://schemas.microsoft.com/office/drawing/2014/main" id="{F586FBD7-80EA-4DA5-AF9B-3E06022FC94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301</xdr:row>
      <xdr:rowOff>0</xdr:rowOff>
    </xdr:from>
    <xdr:ext cx="10372" cy="228955"/>
    <xdr:sp macro="" textlink="">
      <xdr:nvSpPr>
        <xdr:cNvPr id="4873" name="Text Box 192">
          <a:extLst>
            <a:ext uri="{FF2B5EF4-FFF2-40B4-BE49-F238E27FC236}">
              <a16:creationId xmlns:a16="http://schemas.microsoft.com/office/drawing/2014/main" id="{8A09D216-2770-4DE0-97DC-D1731D0BE123}"/>
            </a:ext>
          </a:extLst>
        </xdr:cNvPr>
        <xdr:cNvSpPr txBox="1">
          <a:spLocks noChangeArrowheads="1"/>
        </xdr:cNvSpPr>
      </xdr:nvSpPr>
      <xdr:spPr bwMode="auto">
        <a:xfrm>
          <a:off x="25200209" y="978515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74" name="Text Box 192">
          <a:extLst>
            <a:ext uri="{FF2B5EF4-FFF2-40B4-BE49-F238E27FC236}">
              <a16:creationId xmlns:a16="http://schemas.microsoft.com/office/drawing/2014/main" id="{1675F560-FFEC-45E7-946E-97E83790EC1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75" name="Text Box 192">
          <a:extLst>
            <a:ext uri="{FF2B5EF4-FFF2-40B4-BE49-F238E27FC236}">
              <a16:creationId xmlns:a16="http://schemas.microsoft.com/office/drawing/2014/main" id="{110BA622-3C83-4F9A-A89F-A8AD333A856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76" name="Text Box 192">
          <a:extLst>
            <a:ext uri="{FF2B5EF4-FFF2-40B4-BE49-F238E27FC236}">
              <a16:creationId xmlns:a16="http://schemas.microsoft.com/office/drawing/2014/main" id="{65DF37FF-4F40-4B3B-B07A-F6D40211D5B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77" name="Text Box 192">
          <a:extLst>
            <a:ext uri="{FF2B5EF4-FFF2-40B4-BE49-F238E27FC236}">
              <a16:creationId xmlns:a16="http://schemas.microsoft.com/office/drawing/2014/main" id="{D41EE7CD-AF56-40B1-8885-487FD42DADE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78" name="Text Box 192">
          <a:extLst>
            <a:ext uri="{FF2B5EF4-FFF2-40B4-BE49-F238E27FC236}">
              <a16:creationId xmlns:a16="http://schemas.microsoft.com/office/drawing/2014/main" id="{39279846-F788-4D7C-868B-6002E0DCAB0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79" name="Text Box 192">
          <a:extLst>
            <a:ext uri="{FF2B5EF4-FFF2-40B4-BE49-F238E27FC236}">
              <a16:creationId xmlns:a16="http://schemas.microsoft.com/office/drawing/2014/main" id="{A428F605-2F68-4E11-B3BE-A81F3236FA81}"/>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80" name="Text Box 192">
          <a:extLst>
            <a:ext uri="{FF2B5EF4-FFF2-40B4-BE49-F238E27FC236}">
              <a16:creationId xmlns:a16="http://schemas.microsoft.com/office/drawing/2014/main" id="{5F964CAB-3407-4062-86AE-68A59CDA4C1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81" name="Text Box 192">
          <a:extLst>
            <a:ext uri="{FF2B5EF4-FFF2-40B4-BE49-F238E27FC236}">
              <a16:creationId xmlns:a16="http://schemas.microsoft.com/office/drawing/2014/main" id="{3F499B9B-4326-48A1-BC41-BFD76098AC3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82" name="Text Box 192">
          <a:extLst>
            <a:ext uri="{FF2B5EF4-FFF2-40B4-BE49-F238E27FC236}">
              <a16:creationId xmlns:a16="http://schemas.microsoft.com/office/drawing/2014/main" id="{A377E107-0317-47B4-A71C-5502EA31133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83" name="Text Box 192">
          <a:extLst>
            <a:ext uri="{FF2B5EF4-FFF2-40B4-BE49-F238E27FC236}">
              <a16:creationId xmlns:a16="http://schemas.microsoft.com/office/drawing/2014/main" id="{15D14178-0AD9-4243-BB0F-E042367E5BE3}"/>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84" name="Text Box 192">
          <a:extLst>
            <a:ext uri="{FF2B5EF4-FFF2-40B4-BE49-F238E27FC236}">
              <a16:creationId xmlns:a16="http://schemas.microsoft.com/office/drawing/2014/main" id="{411066BF-91E5-464D-A5DA-640A7C7FDAA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85" name="Text Box 192">
          <a:extLst>
            <a:ext uri="{FF2B5EF4-FFF2-40B4-BE49-F238E27FC236}">
              <a16:creationId xmlns:a16="http://schemas.microsoft.com/office/drawing/2014/main" id="{4A6BC07D-26C4-4B79-B6CC-C685012E4FE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86" name="Text Box 192">
          <a:extLst>
            <a:ext uri="{FF2B5EF4-FFF2-40B4-BE49-F238E27FC236}">
              <a16:creationId xmlns:a16="http://schemas.microsoft.com/office/drawing/2014/main" id="{2A7F61D3-DDEF-4F2F-A9DB-A15448D6E36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87" name="Text Box 192">
          <a:extLst>
            <a:ext uri="{FF2B5EF4-FFF2-40B4-BE49-F238E27FC236}">
              <a16:creationId xmlns:a16="http://schemas.microsoft.com/office/drawing/2014/main" id="{DFA95CF7-FA19-4697-BBB2-6BF20274BFC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88" name="Text Box 192">
          <a:extLst>
            <a:ext uri="{FF2B5EF4-FFF2-40B4-BE49-F238E27FC236}">
              <a16:creationId xmlns:a16="http://schemas.microsoft.com/office/drawing/2014/main" id="{CBB89D0A-3B8C-448B-8BDC-D85A1B07815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89" name="Text Box 192">
          <a:extLst>
            <a:ext uri="{FF2B5EF4-FFF2-40B4-BE49-F238E27FC236}">
              <a16:creationId xmlns:a16="http://schemas.microsoft.com/office/drawing/2014/main" id="{AFC4C7BC-B668-4AE3-9501-073C7F005AA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90" name="Text Box 192">
          <a:extLst>
            <a:ext uri="{FF2B5EF4-FFF2-40B4-BE49-F238E27FC236}">
              <a16:creationId xmlns:a16="http://schemas.microsoft.com/office/drawing/2014/main" id="{28C1C252-5657-4B5C-AEE7-734054FA4EC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91" name="Text Box 192">
          <a:extLst>
            <a:ext uri="{FF2B5EF4-FFF2-40B4-BE49-F238E27FC236}">
              <a16:creationId xmlns:a16="http://schemas.microsoft.com/office/drawing/2014/main" id="{DA05FB2F-75E6-4669-BBCE-BBB7F5085FC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92" name="Text Box 192">
          <a:extLst>
            <a:ext uri="{FF2B5EF4-FFF2-40B4-BE49-F238E27FC236}">
              <a16:creationId xmlns:a16="http://schemas.microsoft.com/office/drawing/2014/main" id="{7FFA00DD-4F69-431A-BA0D-63C42A29F4B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93" name="Text Box 192">
          <a:extLst>
            <a:ext uri="{FF2B5EF4-FFF2-40B4-BE49-F238E27FC236}">
              <a16:creationId xmlns:a16="http://schemas.microsoft.com/office/drawing/2014/main" id="{1A8E04B4-B62A-4404-9D1E-E2330EEDC72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94" name="Text Box 192">
          <a:extLst>
            <a:ext uri="{FF2B5EF4-FFF2-40B4-BE49-F238E27FC236}">
              <a16:creationId xmlns:a16="http://schemas.microsoft.com/office/drawing/2014/main" id="{BFA2735C-B033-497E-A1B4-DB70AB31081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95" name="Text Box 192">
          <a:extLst>
            <a:ext uri="{FF2B5EF4-FFF2-40B4-BE49-F238E27FC236}">
              <a16:creationId xmlns:a16="http://schemas.microsoft.com/office/drawing/2014/main" id="{793F3D36-9763-4F13-9D47-42E2FEB7A7A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96" name="Text Box 192">
          <a:extLst>
            <a:ext uri="{FF2B5EF4-FFF2-40B4-BE49-F238E27FC236}">
              <a16:creationId xmlns:a16="http://schemas.microsoft.com/office/drawing/2014/main" id="{FCA92CB6-9AC0-4754-B95E-F20AFC4276A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97" name="Text Box 192">
          <a:extLst>
            <a:ext uri="{FF2B5EF4-FFF2-40B4-BE49-F238E27FC236}">
              <a16:creationId xmlns:a16="http://schemas.microsoft.com/office/drawing/2014/main" id="{33E1C998-DF27-4687-B825-2947A77E528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98" name="Text Box 192">
          <a:extLst>
            <a:ext uri="{FF2B5EF4-FFF2-40B4-BE49-F238E27FC236}">
              <a16:creationId xmlns:a16="http://schemas.microsoft.com/office/drawing/2014/main" id="{583E5EAF-C8CE-4F40-93B5-0E7E69779B88}"/>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899" name="Text Box 192">
          <a:extLst>
            <a:ext uri="{FF2B5EF4-FFF2-40B4-BE49-F238E27FC236}">
              <a16:creationId xmlns:a16="http://schemas.microsoft.com/office/drawing/2014/main" id="{B00E096A-4153-4ED0-85A2-1E86CCEE735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900" name="Text Box 192">
          <a:extLst>
            <a:ext uri="{FF2B5EF4-FFF2-40B4-BE49-F238E27FC236}">
              <a16:creationId xmlns:a16="http://schemas.microsoft.com/office/drawing/2014/main" id="{EDE0F749-A267-4965-B752-A5DB909A5B1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901" name="Text Box 192">
          <a:extLst>
            <a:ext uri="{FF2B5EF4-FFF2-40B4-BE49-F238E27FC236}">
              <a16:creationId xmlns:a16="http://schemas.microsoft.com/office/drawing/2014/main" id="{7BA73050-8BDD-47D3-82F3-133C819C11F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902" name="Text Box 192">
          <a:extLst>
            <a:ext uri="{FF2B5EF4-FFF2-40B4-BE49-F238E27FC236}">
              <a16:creationId xmlns:a16="http://schemas.microsoft.com/office/drawing/2014/main" id="{19970BC8-7AC3-48D8-AFD7-96AF88C3E33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903" name="Text Box 192">
          <a:extLst>
            <a:ext uri="{FF2B5EF4-FFF2-40B4-BE49-F238E27FC236}">
              <a16:creationId xmlns:a16="http://schemas.microsoft.com/office/drawing/2014/main" id="{8C1C7B64-F297-4217-AA67-6534D9D579C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04" name="Text Box 192">
          <a:extLst>
            <a:ext uri="{FF2B5EF4-FFF2-40B4-BE49-F238E27FC236}">
              <a16:creationId xmlns:a16="http://schemas.microsoft.com/office/drawing/2014/main" id="{BF3B6691-D152-4C94-85A4-7849664CFF7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302</xdr:row>
      <xdr:rowOff>0</xdr:rowOff>
    </xdr:from>
    <xdr:ext cx="10372" cy="228955"/>
    <xdr:sp macro="" textlink="">
      <xdr:nvSpPr>
        <xdr:cNvPr id="4905" name="Text Box 192">
          <a:extLst>
            <a:ext uri="{FF2B5EF4-FFF2-40B4-BE49-F238E27FC236}">
              <a16:creationId xmlns:a16="http://schemas.microsoft.com/office/drawing/2014/main" id="{22C19D17-64E6-4DBE-9869-31F4A8AE4222}"/>
            </a:ext>
          </a:extLst>
        </xdr:cNvPr>
        <xdr:cNvSpPr txBox="1">
          <a:spLocks noChangeArrowheads="1"/>
        </xdr:cNvSpPr>
      </xdr:nvSpPr>
      <xdr:spPr bwMode="auto">
        <a:xfrm>
          <a:off x="25200209" y="978515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06" name="Text Box 192">
          <a:extLst>
            <a:ext uri="{FF2B5EF4-FFF2-40B4-BE49-F238E27FC236}">
              <a16:creationId xmlns:a16="http://schemas.microsoft.com/office/drawing/2014/main" id="{7FC472CE-FF79-4792-91FA-170E18FAA724}"/>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07" name="Text Box 192">
          <a:extLst>
            <a:ext uri="{FF2B5EF4-FFF2-40B4-BE49-F238E27FC236}">
              <a16:creationId xmlns:a16="http://schemas.microsoft.com/office/drawing/2014/main" id="{6CB9A699-B9DE-417D-A50C-8C10A862036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08" name="Text Box 192">
          <a:extLst>
            <a:ext uri="{FF2B5EF4-FFF2-40B4-BE49-F238E27FC236}">
              <a16:creationId xmlns:a16="http://schemas.microsoft.com/office/drawing/2014/main" id="{66572D74-4AA2-4BEB-B880-D91094F4A87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09" name="Text Box 192">
          <a:extLst>
            <a:ext uri="{FF2B5EF4-FFF2-40B4-BE49-F238E27FC236}">
              <a16:creationId xmlns:a16="http://schemas.microsoft.com/office/drawing/2014/main" id="{18F01364-72CA-41D1-B021-E2751AAB853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10" name="Text Box 192">
          <a:extLst>
            <a:ext uri="{FF2B5EF4-FFF2-40B4-BE49-F238E27FC236}">
              <a16:creationId xmlns:a16="http://schemas.microsoft.com/office/drawing/2014/main" id="{EE84174B-0767-410B-B88D-9EDAB2A78AB3}"/>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11" name="Text Box 192">
          <a:extLst>
            <a:ext uri="{FF2B5EF4-FFF2-40B4-BE49-F238E27FC236}">
              <a16:creationId xmlns:a16="http://schemas.microsoft.com/office/drawing/2014/main" id="{0BDD49CF-C974-4713-B544-E6F0D8BDE34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12" name="Text Box 192">
          <a:extLst>
            <a:ext uri="{FF2B5EF4-FFF2-40B4-BE49-F238E27FC236}">
              <a16:creationId xmlns:a16="http://schemas.microsoft.com/office/drawing/2014/main" id="{F2B5DF64-B68C-4D40-BED7-72F5DEDE3A11}"/>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13" name="Text Box 192">
          <a:extLst>
            <a:ext uri="{FF2B5EF4-FFF2-40B4-BE49-F238E27FC236}">
              <a16:creationId xmlns:a16="http://schemas.microsoft.com/office/drawing/2014/main" id="{6B0A4B6C-524D-4DD5-98C4-20517F75946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14" name="Text Box 192">
          <a:extLst>
            <a:ext uri="{FF2B5EF4-FFF2-40B4-BE49-F238E27FC236}">
              <a16:creationId xmlns:a16="http://schemas.microsoft.com/office/drawing/2014/main" id="{84FA6308-6F3D-4D1D-B40D-8F94EDA25DE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15" name="Text Box 192">
          <a:extLst>
            <a:ext uri="{FF2B5EF4-FFF2-40B4-BE49-F238E27FC236}">
              <a16:creationId xmlns:a16="http://schemas.microsoft.com/office/drawing/2014/main" id="{80A4BD1C-F6D4-4BB0-9D13-A1EA4821592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16" name="Text Box 192">
          <a:extLst>
            <a:ext uri="{FF2B5EF4-FFF2-40B4-BE49-F238E27FC236}">
              <a16:creationId xmlns:a16="http://schemas.microsoft.com/office/drawing/2014/main" id="{A53ABFFB-46E1-4548-9AD1-A5294BA50E3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17" name="Text Box 192">
          <a:extLst>
            <a:ext uri="{FF2B5EF4-FFF2-40B4-BE49-F238E27FC236}">
              <a16:creationId xmlns:a16="http://schemas.microsoft.com/office/drawing/2014/main" id="{3E6267CC-B1C2-4296-B14F-20849D5E4C1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18" name="Text Box 192">
          <a:extLst>
            <a:ext uri="{FF2B5EF4-FFF2-40B4-BE49-F238E27FC236}">
              <a16:creationId xmlns:a16="http://schemas.microsoft.com/office/drawing/2014/main" id="{474CAF5B-D156-4208-9FA4-EC79059E02C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19" name="Text Box 192">
          <a:extLst>
            <a:ext uri="{FF2B5EF4-FFF2-40B4-BE49-F238E27FC236}">
              <a16:creationId xmlns:a16="http://schemas.microsoft.com/office/drawing/2014/main" id="{D75DFFF5-79D8-4062-BAA5-7AF3E2246AF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20" name="Text Box 192">
          <a:extLst>
            <a:ext uri="{FF2B5EF4-FFF2-40B4-BE49-F238E27FC236}">
              <a16:creationId xmlns:a16="http://schemas.microsoft.com/office/drawing/2014/main" id="{0706B43D-BEE8-43EA-86BB-5800CC32225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21" name="Text Box 192">
          <a:extLst>
            <a:ext uri="{FF2B5EF4-FFF2-40B4-BE49-F238E27FC236}">
              <a16:creationId xmlns:a16="http://schemas.microsoft.com/office/drawing/2014/main" id="{7E159B45-0130-4943-BC67-E93B11D5F15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22" name="Text Box 192">
          <a:extLst>
            <a:ext uri="{FF2B5EF4-FFF2-40B4-BE49-F238E27FC236}">
              <a16:creationId xmlns:a16="http://schemas.microsoft.com/office/drawing/2014/main" id="{2867723C-56B0-4747-9AF4-568946C35ED5}"/>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23" name="Text Box 192">
          <a:extLst>
            <a:ext uri="{FF2B5EF4-FFF2-40B4-BE49-F238E27FC236}">
              <a16:creationId xmlns:a16="http://schemas.microsoft.com/office/drawing/2014/main" id="{4325BE8B-1778-4972-8D8A-1DAC0354700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24" name="Text Box 192">
          <a:extLst>
            <a:ext uri="{FF2B5EF4-FFF2-40B4-BE49-F238E27FC236}">
              <a16:creationId xmlns:a16="http://schemas.microsoft.com/office/drawing/2014/main" id="{19DFB46F-E9DA-4266-AB37-0FF663B96E6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25" name="Text Box 192">
          <a:extLst>
            <a:ext uri="{FF2B5EF4-FFF2-40B4-BE49-F238E27FC236}">
              <a16:creationId xmlns:a16="http://schemas.microsoft.com/office/drawing/2014/main" id="{46BB17D6-BB63-48FB-8CAC-17B3FC78904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26" name="Text Box 192">
          <a:extLst>
            <a:ext uri="{FF2B5EF4-FFF2-40B4-BE49-F238E27FC236}">
              <a16:creationId xmlns:a16="http://schemas.microsoft.com/office/drawing/2014/main" id="{AE750057-867E-48AA-AE59-A971BBD75BD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27" name="Text Box 192">
          <a:extLst>
            <a:ext uri="{FF2B5EF4-FFF2-40B4-BE49-F238E27FC236}">
              <a16:creationId xmlns:a16="http://schemas.microsoft.com/office/drawing/2014/main" id="{25F9585D-A91A-471E-8065-6D4DF79A28F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28" name="Text Box 192">
          <a:extLst>
            <a:ext uri="{FF2B5EF4-FFF2-40B4-BE49-F238E27FC236}">
              <a16:creationId xmlns:a16="http://schemas.microsoft.com/office/drawing/2014/main" id="{33AE6D5E-2ADC-46A6-A523-A021BCA41CF4}"/>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29" name="Text Box 192">
          <a:extLst>
            <a:ext uri="{FF2B5EF4-FFF2-40B4-BE49-F238E27FC236}">
              <a16:creationId xmlns:a16="http://schemas.microsoft.com/office/drawing/2014/main" id="{4BB2D22C-9D9C-4548-A87F-DCECE122D53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30" name="Text Box 192">
          <a:extLst>
            <a:ext uri="{FF2B5EF4-FFF2-40B4-BE49-F238E27FC236}">
              <a16:creationId xmlns:a16="http://schemas.microsoft.com/office/drawing/2014/main" id="{E2720A4F-1EFC-4845-80B3-99F6DD2B40B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31" name="Text Box 192">
          <a:extLst>
            <a:ext uri="{FF2B5EF4-FFF2-40B4-BE49-F238E27FC236}">
              <a16:creationId xmlns:a16="http://schemas.microsoft.com/office/drawing/2014/main" id="{ECEE363D-5F2D-49AB-AA47-18D5F787505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32" name="Text Box 192">
          <a:extLst>
            <a:ext uri="{FF2B5EF4-FFF2-40B4-BE49-F238E27FC236}">
              <a16:creationId xmlns:a16="http://schemas.microsoft.com/office/drawing/2014/main" id="{BBC4FEF6-F432-4491-A6E7-D9995365B28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33" name="Text Box 192">
          <a:extLst>
            <a:ext uri="{FF2B5EF4-FFF2-40B4-BE49-F238E27FC236}">
              <a16:creationId xmlns:a16="http://schemas.microsoft.com/office/drawing/2014/main" id="{B5D02975-27AE-4C04-AF97-CF9B194A296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34" name="Text Box 192">
          <a:extLst>
            <a:ext uri="{FF2B5EF4-FFF2-40B4-BE49-F238E27FC236}">
              <a16:creationId xmlns:a16="http://schemas.microsoft.com/office/drawing/2014/main" id="{5D4DE4A6-D68E-4927-8CAA-67D4EAC92C9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35" name="Text Box 192">
          <a:extLst>
            <a:ext uri="{FF2B5EF4-FFF2-40B4-BE49-F238E27FC236}">
              <a16:creationId xmlns:a16="http://schemas.microsoft.com/office/drawing/2014/main" id="{3524DB26-F459-461C-A59F-68B258BD7EE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36" name="Text Box 192">
          <a:extLst>
            <a:ext uri="{FF2B5EF4-FFF2-40B4-BE49-F238E27FC236}">
              <a16:creationId xmlns:a16="http://schemas.microsoft.com/office/drawing/2014/main" id="{FEC38E92-881F-4E89-9819-2AF267588FF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303</xdr:row>
      <xdr:rowOff>0</xdr:rowOff>
    </xdr:from>
    <xdr:ext cx="10372" cy="228955"/>
    <xdr:sp macro="" textlink="">
      <xdr:nvSpPr>
        <xdr:cNvPr id="4937" name="Text Box 192">
          <a:extLst>
            <a:ext uri="{FF2B5EF4-FFF2-40B4-BE49-F238E27FC236}">
              <a16:creationId xmlns:a16="http://schemas.microsoft.com/office/drawing/2014/main" id="{9DD2A228-ACFE-4AEC-8E93-8EEC70F02667}"/>
            </a:ext>
          </a:extLst>
        </xdr:cNvPr>
        <xdr:cNvSpPr txBox="1">
          <a:spLocks noChangeArrowheads="1"/>
        </xdr:cNvSpPr>
      </xdr:nvSpPr>
      <xdr:spPr bwMode="auto">
        <a:xfrm>
          <a:off x="25200209" y="978515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38" name="Text Box 192">
          <a:extLst>
            <a:ext uri="{FF2B5EF4-FFF2-40B4-BE49-F238E27FC236}">
              <a16:creationId xmlns:a16="http://schemas.microsoft.com/office/drawing/2014/main" id="{3A56B5F7-E46F-4BAD-9FFB-29797A81AF0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39" name="Text Box 192">
          <a:extLst>
            <a:ext uri="{FF2B5EF4-FFF2-40B4-BE49-F238E27FC236}">
              <a16:creationId xmlns:a16="http://schemas.microsoft.com/office/drawing/2014/main" id="{EAFB165F-6AB7-435D-9E20-8152E5D18E8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40" name="Text Box 192">
          <a:extLst>
            <a:ext uri="{FF2B5EF4-FFF2-40B4-BE49-F238E27FC236}">
              <a16:creationId xmlns:a16="http://schemas.microsoft.com/office/drawing/2014/main" id="{53185E96-BAF1-4882-9AE8-A11A02398FE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41" name="Text Box 192">
          <a:extLst>
            <a:ext uri="{FF2B5EF4-FFF2-40B4-BE49-F238E27FC236}">
              <a16:creationId xmlns:a16="http://schemas.microsoft.com/office/drawing/2014/main" id="{AA63FC8D-F6CD-4506-A8A1-5148D900744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42" name="Text Box 192">
          <a:extLst>
            <a:ext uri="{FF2B5EF4-FFF2-40B4-BE49-F238E27FC236}">
              <a16:creationId xmlns:a16="http://schemas.microsoft.com/office/drawing/2014/main" id="{0BA47034-1EA0-42FD-BF9E-939DC2494DC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43" name="Text Box 192">
          <a:extLst>
            <a:ext uri="{FF2B5EF4-FFF2-40B4-BE49-F238E27FC236}">
              <a16:creationId xmlns:a16="http://schemas.microsoft.com/office/drawing/2014/main" id="{3694DEE4-80F1-4E8B-AF30-892F89D376C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44" name="Text Box 192">
          <a:extLst>
            <a:ext uri="{FF2B5EF4-FFF2-40B4-BE49-F238E27FC236}">
              <a16:creationId xmlns:a16="http://schemas.microsoft.com/office/drawing/2014/main" id="{6A1B09CC-FD57-49AF-8F37-1B4A56A7E7D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45" name="Text Box 192">
          <a:extLst>
            <a:ext uri="{FF2B5EF4-FFF2-40B4-BE49-F238E27FC236}">
              <a16:creationId xmlns:a16="http://schemas.microsoft.com/office/drawing/2014/main" id="{249AF33B-A21F-4CD2-81DC-CFC7091ED9E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46" name="Text Box 192">
          <a:extLst>
            <a:ext uri="{FF2B5EF4-FFF2-40B4-BE49-F238E27FC236}">
              <a16:creationId xmlns:a16="http://schemas.microsoft.com/office/drawing/2014/main" id="{5F2FA27D-35DC-4DF0-BA3F-3B27A47B597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47" name="Text Box 192">
          <a:extLst>
            <a:ext uri="{FF2B5EF4-FFF2-40B4-BE49-F238E27FC236}">
              <a16:creationId xmlns:a16="http://schemas.microsoft.com/office/drawing/2014/main" id="{EA440BE2-7D70-49C0-B703-5A4C06957231}"/>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48" name="Text Box 192">
          <a:extLst>
            <a:ext uri="{FF2B5EF4-FFF2-40B4-BE49-F238E27FC236}">
              <a16:creationId xmlns:a16="http://schemas.microsoft.com/office/drawing/2014/main" id="{9C95E911-13C9-4EFD-82FD-353549C136D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49" name="Text Box 192">
          <a:extLst>
            <a:ext uri="{FF2B5EF4-FFF2-40B4-BE49-F238E27FC236}">
              <a16:creationId xmlns:a16="http://schemas.microsoft.com/office/drawing/2014/main" id="{39B8E8A4-5644-402E-A70C-42E92822EAC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50" name="Text Box 192">
          <a:extLst>
            <a:ext uri="{FF2B5EF4-FFF2-40B4-BE49-F238E27FC236}">
              <a16:creationId xmlns:a16="http://schemas.microsoft.com/office/drawing/2014/main" id="{90E321A6-C933-4420-A2C2-1153318EF09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51" name="Text Box 192">
          <a:extLst>
            <a:ext uri="{FF2B5EF4-FFF2-40B4-BE49-F238E27FC236}">
              <a16:creationId xmlns:a16="http://schemas.microsoft.com/office/drawing/2014/main" id="{1CB50264-F622-4457-8442-EBF93EA1F37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52" name="Text Box 192">
          <a:extLst>
            <a:ext uri="{FF2B5EF4-FFF2-40B4-BE49-F238E27FC236}">
              <a16:creationId xmlns:a16="http://schemas.microsoft.com/office/drawing/2014/main" id="{F790060C-0F5D-4359-B323-C3137BF5CD11}"/>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53" name="Text Box 192">
          <a:extLst>
            <a:ext uri="{FF2B5EF4-FFF2-40B4-BE49-F238E27FC236}">
              <a16:creationId xmlns:a16="http://schemas.microsoft.com/office/drawing/2014/main" id="{1654AC81-8AE9-419F-BEFB-66AC9E00B8B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54" name="Text Box 192">
          <a:extLst>
            <a:ext uri="{FF2B5EF4-FFF2-40B4-BE49-F238E27FC236}">
              <a16:creationId xmlns:a16="http://schemas.microsoft.com/office/drawing/2014/main" id="{F3A0AE87-2B1B-4790-AEE5-FEBF126C48F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55" name="Text Box 192">
          <a:extLst>
            <a:ext uri="{FF2B5EF4-FFF2-40B4-BE49-F238E27FC236}">
              <a16:creationId xmlns:a16="http://schemas.microsoft.com/office/drawing/2014/main" id="{6919EEDD-0F5D-4B30-8E24-E438DF3EA243}"/>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56" name="Text Box 192">
          <a:extLst>
            <a:ext uri="{FF2B5EF4-FFF2-40B4-BE49-F238E27FC236}">
              <a16:creationId xmlns:a16="http://schemas.microsoft.com/office/drawing/2014/main" id="{EC435231-1DAF-41A7-A68F-A70A0638AE9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57" name="Text Box 192">
          <a:extLst>
            <a:ext uri="{FF2B5EF4-FFF2-40B4-BE49-F238E27FC236}">
              <a16:creationId xmlns:a16="http://schemas.microsoft.com/office/drawing/2014/main" id="{7F69BFAF-793A-46DB-A30D-C0523520C6D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58" name="Text Box 192">
          <a:extLst>
            <a:ext uri="{FF2B5EF4-FFF2-40B4-BE49-F238E27FC236}">
              <a16:creationId xmlns:a16="http://schemas.microsoft.com/office/drawing/2014/main" id="{39C2172C-577A-4E07-91A1-DB03D3B4EB55}"/>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59" name="Text Box 192">
          <a:extLst>
            <a:ext uri="{FF2B5EF4-FFF2-40B4-BE49-F238E27FC236}">
              <a16:creationId xmlns:a16="http://schemas.microsoft.com/office/drawing/2014/main" id="{F14070E5-6258-4887-8382-9E86EFCBC14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60" name="Text Box 192">
          <a:extLst>
            <a:ext uri="{FF2B5EF4-FFF2-40B4-BE49-F238E27FC236}">
              <a16:creationId xmlns:a16="http://schemas.microsoft.com/office/drawing/2014/main" id="{F585252F-59AC-4506-AEDA-F2C74FCF6FC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61" name="Text Box 192">
          <a:extLst>
            <a:ext uri="{FF2B5EF4-FFF2-40B4-BE49-F238E27FC236}">
              <a16:creationId xmlns:a16="http://schemas.microsoft.com/office/drawing/2014/main" id="{EA12ECB2-FD8D-4E70-9412-674A22047FD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62" name="Text Box 192">
          <a:extLst>
            <a:ext uri="{FF2B5EF4-FFF2-40B4-BE49-F238E27FC236}">
              <a16:creationId xmlns:a16="http://schemas.microsoft.com/office/drawing/2014/main" id="{8E40BB2A-68AC-41E6-BB80-F4A5C6DEF9E3}"/>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63" name="Text Box 192">
          <a:extLst>
            <a:ext uri="{FF2B5EF4-FFF2-40B4-BE49-F238E27FC236}">
              <a16:creationId xmlns:a16="http://schemas.microsoft.com/office/drawing/2014/main" id="{20FF60EB-DED6-48B8-873F-FE620813C313}"/>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64" name="Text Box 192">
          <a:extLst>
            <a:ext uri="{FF2B5EF4-FFF2-40B4-BE49-F238E27FC236}">
              <a16:creationId xmlns:a16="http://schemas.microsoft.com/office/drawing/2014/main" id="{E9C94ED0-C830-4E85-913F-55B38A8E983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65" name="Text Box 192">
          <a:extLst>
            <a:ext uri="{FF2B5EF4-FFF2-40B4-BE49-F238E27FC236}">
              <a16:creationId xmlns:a16="http://schemas.microsoft.com/office/drawing/2014/main" id="{359BB3C1-97C3-416F-854C-A3C763C54AD5}"/>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66" name="Text Box 192">
          <a:extLst>
            <a:ext uri="{FF2B5EF4-FFF2-40B4-BE49-F238E27FC236}">
              <a16:creationId xmlns:a16="http://schemas.microsoft.com/office/drawing/2014/main" id="{99950570-056B-4250-8790-DACBDA339C65}"/>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67" name="Text Box 192">
          <a:extLst>
            <a:ext uri="{FF2B5EF4-FFF2-40B4-BE49-F238E27FC236}">
              <a16:creationId xmlns:a16="http://schemas.microsoft.com/office/drawing/2014/main" id="{44CFD648-48EA-4AD7-801A-7229093E7B8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68" name="Text Box 192">
          <a:extLst>
            <a:ext uri="{FF2B5EF4-FFF2-40B4-BE49-F238E27FC236}">
              <a16:creationId xmlns:a16="http://schemas.microsoft.com/office/drawing/2014/main" id="{6B89A477-14F0-458A-9EAB-E3CDC271CFE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304</xdr:row>
      <xdr:rowOff>0</xdr:rowOff>
    </xdr:from>
    <xdr:ext cx="10372" cy="228955"/>
    <xdr:sp macro="" textlink="">
      <xdr:nvSpPr>
        <xdr:cNvPr id="4969" name="Text Box 192">
          <a:extLst>
            <a:ext uri="{FF2B5EF4-FFF2-40B4-BE49-F238E27FC236}">
              <a16:creationId xmlns:a16="http://schemas.microsoft.com/office/drawing/2014/main" id="{A62C4E44-8ABB-4964-BE8E-C07E105E2264}"/>
            </a:ext>
          </a:extLst>
        </xdr:cNvPr>
        <xdr:cNvSpPr txBox="1">
          <a:spLocks noChangeArrowheads="1"/>
        </xdr:cNvSpPr>
      </xdr:nvSpPr>
      <xdr:spPr bwMode="auto">
        <a:xfrm>
          <a:off x="25200209" y="978515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70" name="Text Box 192">
          <a:extLst>
            <a:ext uri="{FF2B5EF4-FFF2-40B4-BE49-F238E27FC236}">
              <a16:creationId xmlns:a16="http://schemas.microsoft.com/office/drawing/2014/main" id="{40E8C9AE-F5F4-43A8-9DEF-2C04A29E2EE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71" name="Text Box 192">
          <a:extLst>
            <a:ext uri="{FF2B5EF4-FFF2-40B4-BE49-F238E27FC236}">
              <a16:creationId xmlns:a16="http://schemas.microsoft.com/office/drawing/2014/main" id="{3DA3B0B0-3B5A-418C-8EAC-F9E34DDBD46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72" name="Text Box 192">
          <a:extLst>
            <a:ext uri="{FF2B5EF4-FFF2-40B4-BE49-F238E27FC236}">
              <a16:creationId xmlns:a16="http://schemas.microsoft.com/office/drawing/2014/main" id="{16886085-7FFA-462F-9962-9EA621C28B48}"/>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73" name="Text Box 192">
          <a:extLst>
            <a:ext uri="{FF2B5EF4-FFF2-40B4-BE49-F238E27FC236}">
              <a16:creationId xmlns:a16="http://schemas.microsoft.com/office/drawing/2014/main" id="{BF1CE3B0-15F0-4FA0-A166-7A8EA33795D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74" name="Text Box 192">
          <a:extLst>
            <a:ext uri="{FF2B5EF4-FFF2-40B4-BE49-F238E27FC236}">
              <a16:creationId xmlns:a16="http://schemas.microsoft.com/office/drawing/2014/main" id="{BF6F42AC-DDEE-4AF7-8574-06EAC6DDBEF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75" name="Text Box 192">
          <a:extLst>
            <a:ext uri="{FF2B5EF4-FFF2-40B4-BE49-F238E27FC236}">
              <a16:creationId xmlns:a16="http://schemas.microsoft.com/office/drawing/2014/main" id="{353A3297-EC03-4793-B1D9-35AC130B710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76" name="Text Box 192">
          <a:extLst>
            <a:ext uri="{FF2B5EF4-FFF2-40B4-BE49-F238E27FC236}">
              <a16:creationId xmlns:a16="http://schemas.microsoft.com/office/drawing/2014/main" id="{9BCB0C62-89A9-428F-AF1A-383E77C627A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77" name="Text Box 192">
          <a:extLst>
            <a:ext uri="{FF2B5EF4-FFF2-40B4-BE49-F238E27FC236}">
              <a16:creationId xmlns:a16="http://schemas.microsoft.com/office/drawing/2014/main" id="{C6E8C206-3315-4626-82B8-D97FD78E5795}"/>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78" name="Text Box 192">
          <a:extLst>
            <a:ext uri="{FF2B5EF4-FFF2-40B4-BE49-F238E27FC236}">
              <a16:creationId xmlns:a16="http://schemas.microsoft.com/office/drawing/2014/main" id="{114165B7-7007-49FE-9405-E47542944951}"/>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79" name="Text Box 192">
          <a:extLst>
            <a:ext uri="{FF2B5EF4-FFF2-40B4-BE49-F238E27FC236}">
              <a16:creationId xmlns:a16="http://schemas.microsoft.com/office/drawing/2014/main" id="{A7E55646-B635-4C1E-B040-73C891CFDDA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80" name="Text Box 192">
          <a:extLst>
            <a:ext uri="{FF2B5EF4-FFF2-40B4-BE49-F238E27FC236}">
              <a16:creationId xmlns:a16="http://schemas.microsoft.com/office/drawing/2014/main" id="{7B1D77B7-8257-479F-A8EB-502EB2489EE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81" name="Text Box 192">
          <a:extLst>
            <a:ext uri="{FF2B5EF4-FFF2-40B4-BE49-F238E27FC236}">
              <a16:creationId xmlns:a16="http://schemas.microsoft.com/office/drawing/2014/main" id="{30E6F5FD-7A0C-4706-B393-A5DEF6DC37B8}"/>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82" name="Text Box 192">
          <a:extLst>
            <a:ext uri="{FF2B5EF4-FFF2-40B4-BE49-F238E27FC236}">
              <a16:creationId xmlns:a16="http://schemas.microsoft.com/office/drawing/2014/main" id="{E2B9A1E4-E850-4870-AF44-39A06118024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83" name="Text Box 192">
          <a:extLst>
            <a:ext uri="{FF2B5EF4-FFF2-40B4-BE49-F238E27FC236}">
              <a16:creationId xmlns:a16="http://schemas.microsoft.com/office/drawing/2014/main" id="{A4211A01-C187-4028-84AB-D449C0387DB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84" name="Text Box 192">
          <a:extLst>
            <a:ext uri="{FF2B5EF4-FFF2-40B4-BE49-F238E27FC236}">
              <a16:creationId xmlns:a16="http://schemas.microsoft.com/office/drawing/2014/main" id="{34F707AD-0A67-4676-838D-2AF94FB6ED6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85" name="Text Box 192">
          <a:extLst>
            <a:ext uri="{FF2B5EF4-FFF2-40B4-BE49-F238E27FC236}">
              <a16:creationId xmlns:a16="http://schemas.microsoft.com/office/drawing/2014/main" id="{B8C586BD-3A32-4948-BEB4-FA4C17C68AD1}"/>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86" name="Text Box 192">
          <a:extLst>
            <a:ext uri="{FF2B5EF4-FFF2-40B4-BE49-F238E27FC236}">
              <a16:creationId xmlns:a16="http://schemas.microsoft.com/office/drawing/2014/main" id="{6C235427-7BDB-417F-B244-746AACE7FC64}"/>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87" name="Text Box 192">
          <a:extLst>
            <a:ext uri="{FF2B5EF4-FFF2-40B4-BE49-F238E27FC236}">
              <a16:creationId xmlns:a16="http://schemas.microsoft.com/office/drawing/2014/main" id="{0517F9A3-0899-430C-83F3-F6BD3328E85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88" name="Text Box 192">
          <a:extLst>
            <a:ext uri="{FF2B5EF4-FFF2-40B4-BE49-F238E27FC236}">
              <a16:creationId xmlns:a16="http://schemas.microsoft.com/office/drawing/2014/main" id="{05FDFDCE-3C6E-4930-BE29-C552AC449A9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89" name="Text Box 192">
          <a:extLst>
            <a:ext uri="{FF2B5EF4-FFF2-40B4-BE49-F238E27FC236}">
              <a16:creationId xmlns:a16="http://schemas.microsoft.com/office/drawing/2014/main" id="{C3B3D56C-AF40-4622-9C54-05F0FF9EB311}"/>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90" name="Text Box 192">
          <a:extLst>
            <a:ext uri="{FF2B5EF4-FFF2-40B4-BE49-F238E27FC236}">
              <a16:creationId xmlns:a16="http://schemas.microsoft.com/office/drawing/2014/main" id="{0CD95A64-B276-4848-A632-F3BDED3F08C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91" name="Text Box 192">
          <a:extLst>
            <a:ext uri="{FF2B5EF4-FFF2-40B4-BE49-F238E27FC236}">
              <a16:creationId xmlns:a16="http://schemas.microsoft.com/office/drawing/2014/main" id="{AA50753B-BD58-4347-9508-DCAFDBB6E49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92" name="Text Box 192">
          <a:extLst>
            <a:ext uri="{FF2B5EF4-FFF2-40B4-BE49-F238E27FC236}">
              <a16:creationId xmlns:a16="http://schemas.microsoft.com/office/drawing/2014/main" id="{1D9F1036-1DE0-4A67-A817-C53A62A19AE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93" name="Text Box 192">
          <a:extLst>
            <a:ext uri="{FF2B5EF4-FFF2-40B4-BE49-F238E27FC236}">
              <a16:creationId xmlns:a16="http://schemas.microsoft.com/office/drawing/2014/main" id="{49EAB9AA-756B-4F27-81F6-166F6423E88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94" name="Text Box 192">
          <a:extLst>
            <a:ext uri="{FF2B5EF4-FFF2-40B4-BE49-F238E27FC236}">
              <a16:creationId xmlns:a16="http://schemas.microsoft.com/office/drawing/2014/main" id="{3B4194E6-AE92-4B83-B900-321429CC67E4}"/>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95" name="Text Box 192">
          <a:extLst>
            <a:ext uri="{FF2B5EF4-FFF2-40B4-BE49-F238E27FC236}">
              <a16:creationId xmlns:a16="http://schemas.microsoft.com/office/drawing/2014/main" id="{E9688D7B-1471-44F2-A271-5B6B05BE717C}"/>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96" name="Text Box 192">
          <a:extLst>
            <a:ext uri="{FF2B5EF4-FFF2-40B4-BE49-F238E27FC236}">
              <a16:creationId xmlns:a16="http://schemas.microsoft.com/office/drawing/2014/main" id="{4DB1F8DE-C8F6-42BE-AED7-1D0D3B7DE8A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97" name="Text Box 192">
          <a:extLst>
            <a:ext uri="{FF2B5EF4-FFF2-40B4-BE49-F238E27FC236}">
              <a16:creationId xmlns:a16="http://schemas.microsoft.com/office/drawing/2014/main" id="{8F3313D8-0DCF-4BED-B005-E582830C5C8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98" name="Text Box 192">
          <a:extLst>
            <a:ext uri="{FF2B5EF4-FFF2-40B4-BE49-F238E27FC236}">
              <a16:creationId xmlns:a16="http://schemas.microsoft.com/office/drawing/2014/main" id="{960DEBC7-FDB0-4CF5-90E8-BB1A462EF38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4999" name="Text Box 192">
          <a:extLst>
            <a:ext uri="{FF2B5EF4-FFF2-40B4-BE49-F238E27FC236}">
              <a16:creationId xmlns:a16="http://schemas.microsoft.com/office/drawing/2014/main" id="{02831970-77CD-4CDD-9C9F-E9665682CEB8}"/>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00" name="Text Box 192">
          <a:extLst>
            <a:ext uri="{FF2B5EF4-FFF2-40B4-BE49-F238E27FC236}">
              <a16:creationId xmlns:a16="http://schemas.microsoft.com/office/drawing/2014/main" id="{53266EB6-162C-4F61-9531-C4859759970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305</xdr:row>
      <xdr:rowOff>0</xdr:rowOff>
    </xdr:from>
    <xdr:ext cx="10372" cy="228955"/>
    <xdr:sp macro="" textlink="">
      <xdr:nvSpPr>
        <xdr:cNvPr id="5001" name="Text Box 192">
          <a:extLst>
            <a:ext uri="{FF2B5EF4-FFF2-40B4-BE49-F238E27FC236}">
              <a16:creationId xmlns:a16="http://schemas.microsoft.com/office/drawing/2014/main" id="{67FE5B66-19B5-4AB1-AE6C-6FA1593463AC}"/>
            </a:ext>
          </a:extLst>
        </xdr:cNvPr>
        <xdr:cNvSpPr txBox="1">
          <a:spLocks noChangeArrowheads="1"/>
        </xdr:cNvSpPr>
      </xdr:nvSpPr>
      <xdr:spPr bwMode="auto">
        <a:xfrm>
          <a:off x="25200209" y="97851516"/>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02" name="Text Box 192">
          <a:extLst>
            <a:ext uri="{FF2B5EF4-FFF2-40B4-BE49-F238E27FC236}">
              <a16:creationId xmlns:a16="http://schemas.microsoft.com/office/drawing/2014/main" id="{A7518091-30B6-471E-8AF9-CE2F4CEF7C2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03" name="Text Box 192">
          <a:extLst>
            <a:ext uri="{FF2B5EF4-FFF2-40B4-BE49-F238E27FC236}">
              <a16:creationId xmlns:a16="http://schemas.microsoft.com/office/drawing/2014/main" id="{B57EA1D2-959D-4C22-9474-CFB0BBA7D441}"/>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04" name="Text Box 192">
          <a:extLst>
            <a:ext uri="{FF2B5EF4-FFF2-40B4-BE49-F238E27FC236}">
              <a16:creationId xmlns:a16="http://schemas.microsoft.com/office/drawing/2014/main" id="{B05B104D-FC73-49C0-8F7E-D512EE5C538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05" name="Text Box 192">
          <a:extLst>
            <a:ext uri="{FF2B5EF4-FFF2-40B4-BE49-F238E27FC236}">
              <a16:creationId xmlns:a16="http://schemas.microsoft.com/office/drawing/2014/main" id="{C8E6CE9F-ED14-49C0-9C20-5FEC4E09BC45}"/>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06" name="Text Box 192">
          <a:extLst>
            <a:ext uri="{FF2B5EF4-FFF2-40B4-BE49-F238E27FC236}">
              <a16:creationId xmlns:a16="http://schemas.microsoft.com/office/drawing/2014/main" id="{6E3735B9-8039-4619-B9B5-5DC676BD1C4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07" name="Text Box 192">
          <a:extLst>
            <a:ext uri="{FF2B5EF4-FFF2-40B4-BE49-F238E27FC236}">
              <a16:creationId xmlns:a16="http://schemas.microsoft.com/office/drawing/2014/main" id="{AE183BED-0993-4DB1-8050-6D989A344C3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08" name="Text Box 192">
          <a:extLst>
            <a:ext uri="{FF2B5EF4-FFF2-40B4-BE49-F238E27FC236}">
              <a16:creationId xmlns:a16="http://schemas.microsoft.com/office/drawing/2014/main" id="{8C4CD8B9-52C8-45A7-873B-566ED0D0F4D0}"/>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09" name="Text Box 192">
          <a:extLst>
            <a:ext uri="{FF2B5EF4-FFF2-40B4-BE49-F238E27FC236}">
              <a16:creationId xmlns:a16="http://schemas.microsoft.com/office/drawing/2014/main" id="{8EB6355C-E943-484B-90DF-E9679E9A366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10" name="Text Box 192">
          <a:extLst>
            <a:ext uri="{FF2B5EF4-FFF2-40B4-BE49-F238E27FC236}">
              <a16:creationId xmlns:a16="http://schemas.microsoft.com/office/drawing/2014/main" id="{9EA8BA99-92F3-44F4-A595-39A0EF672A6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11" name="Text Box 192">
          <a:extLst>
            <a:ext uri="{FF2B5EF4-FFF2-40B4-BE49-F238E27FC236}">
              <a16:creationId xmlns:a16="http://schemas.microsoft.com/office/drawing/2014/main" id="{1C13BCF1-7EFD-4D6F-AF44-26F11B056CD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12" name="Text Box 192">
          <a:extLst>
            <a:ext uri="{FF2B5EF4-FFF2-40B4-BE49-F238E27FC236}">
              <a16:creationId xmlns:a16="http://schemas.microsoft.com/office/drawing/2014/main" id="{DCB9BA2B-59FE-4473-AC5E-1D1F036A5EA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13" name="Text Box 192">
          <a:extLst>
            <a:ext uri="{FF2B5EF4-FFF2-40B4-BE49-F238E27FC236}">
              <a16:creationId xmlns:a16="http://schemas.microsoft.com/office/drawing/2014/main" id="{C115C5CE-510C-422E-A734-BD4ECA8358D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14" name="Text Box 192">
          <a:extLst>
            <a:ext uri="{FF2B5EF4-FFF2-40B4-BE49-F238E27FC236}">
              <a16:creationId xmlns:a16="http://schemas.microsoft.com/office/drawing/2014/main" id="{E143CC2B-4B68-4994-8942-5461736C460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15" name="Text Box 192">
          <a:extLst>
            <a:ext uri="{FF2B5EF4-FFF2-40B4-BE49-F238E27FC236}">
              <a16:creationId xmlns:a16="http://schemas.microsoft.com/office/drawing/2014/main" id="{5D2B2D0A-FF13-4CEC-9A14-BC6DECAA8679}"/>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16" name="Text Box 192">
          <a:extLst>
            <a:ext uri="{FF2B5EF4-FFF2-40B4-BE49-F238E27FC236}">
              <a16:creationId xmlns:a16="http://schemas.microsoft.com/office/drawing/2014/main" id="{C0F7BFAA-EE15-4F03-9CD7-E3DA84E28A8E}"/>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17" name="Text Box 192">
          <a:extLst>
            <a:ext uri="{FF2B5EF4-FFF2-40B4-BE49-F238E27FC236}">
              <a16:creationId xmlns:a16="http://schemas.microsoft.com/office/drawing/2014/main" id="{19A5D6A1-124C-47E4-A938-B27594E1396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18" name="Text Box 192">
          <a:extLst>
            <a:ext uri="{FF2B5EF4-FFF2-40B4-BE49-F238E27FC236}">
              <a16:creationId xmlns:a16="http://schemas.microsoft.com/office/drawing/2014/main" id="{F3240924-E879-43A2-87E1-9D7F4BA1D6C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19" name="Text Box 192">
          <a:extLst>
            <a:ext uri="{FF2B5EF4-FFF2-40B4-BE49-F238E27FC236}">
              <a16:creationId xmlns:a16="http://schemas.microsoft.com/office/drawing/2014/main" id="{F94A1CBB-0D19-43A7-A868-6CC80906D76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20" name="Text Box 192">
          <a:extLst>
            <a:ext uri="{FF2B5EF4-FFF2-40B4-BE49-F238E27FC236}">
              <a16:creationId xmlns:a16="http://schemas.microsoft.com/office/drawing/2014/main" id="{8E0A00F7-499B-412C-84E3-BF1EE6AA7D7F}"/>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21" name="Text Box 192">
          <a:extLst>
            <a:ext uri="{FF2B5EF4-FFF2-40B4-BE49-F238E27FC236}">
              <a16:creationId xmlns:a16="http://schemas.microsoft.com/office/drawing/2014/main" id="{F99C7D34-3F64-41D3-A0EF-7008BB819B3B}"/>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22" name="Text Box 192">
          <a:extLst>
            <a:ext uri="{FF2B5EF4-FFF2-40B4-BE49-F238E27FC236}">
              <a16:creationId xmlns:a16="http://schemas.microsoft.com/office/drawing/2014/main" id="{D632FD39-589B-4B94-B9FA-F7FEF5CCCD6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23" name="Text Box 192">
          <a:extLst>
            <a:ext uri="{FF2B5EF4-FFF2-40B4-BE49-F238E27FC236}">
              <a16:creationId xmlns:a16="http://schemas.microsoft.com/office/drawing/2014/main" id="{AA7B6FF5-5768-4219-A4DA-B9C77713A28D}"/>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24" name="Text Box 192">
          <a:extLst>
            <a:ext uri="{FF2B5EF4-FFF2-40B4-BE49-F238E27FC236}">
              <a16:creationId xmlns:a16="http://schemas.microsoft.com/office/drawing/2014/main" id="{1F9A150C-A285-4DC9-8E7A-A8240D400472}"/>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25" name="Text Box 192">
          <a:extLst>
            <a:ext uri="{FF2B5EF4-FFF2-40B4-BE49-F238E27FC236}">
              <a16:creationId xmlns:a16="http://schemas.microsoft.com/office/drawing/2014/main" id="{0DEA28E8-6D1F-48B8-B7C1-7AB4761020F8}"/>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26" name="Text Box 192">
          <a:extLst>
            <a:ext uri="{FF2B5EF4-FFF2-40B4-BE49-F238E27FC236}">
              <a16:creationId xmlns:a16="http://schemas.microsoft.com/office/drawing/2014/main" id="{85164DE7-EB25-4B41-9CC5-C04FF5E7A6D4}"/>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27" name="Text Box 192">
          <a:extLst>
            <a:ext uri="{FF2B5EF4-FFF2-40B4-BE49-F238E27FC236}">
              <a16:creationId xmlns:a16="http://schemas.microsoft.com/office/drawing/2014/main" id="{B256D5B3-C7FF-4928-93B2-0D8104C56B06}"/>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28" name="Text Box 192">
          <a:extLst>
            <a:ext uri="{FF2B5EF4-FFF2-40B4-BE49-F238E27FC236}">
              <a16:creationId xmlns:a16="http://schemas.microsoft.com/office/drawing/2014/main" id="{B61BB826-D903-4417-94D1-E3AF68F91CB3}"/>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29" name="Text Box 192">
          <a:extLst>
            <a:ext uri="{FF2B5EF4-FFF2-40B4-BE49-F238E27FC236}">
              <a16:creationId xmlns:a16="http://schemas.microsoft.com/office/drawing/2014/main" id="{8D4FF33B-88BC-4CFD-9D23-7D9172D8F125}"/>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30" name="Text Box 192">
          <a:extLst>
            <a:ext uri="{FF2B5EF4-FFF2-40B4-BE49-F238E27FC236}">
              <a16:creationId xmlns:a16="http://schemas.microsoft.com/office/drawing/2014/main" id="{ACE3962F-61B8-4138-9212-0184193AE9EA}"/>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17</xdr:col>
      <xdr:colOff>351865</xdr:colOff>
      <xdr:row>306</xdr:row>
      <xdr:rowOff>0</xdr:rowOff>
    </xdr:from>
    <xdr:ext cx="10372" cy="228955"/>
    <xdr:sp macro="" textlink="">
      <xdr:nvSpPr>
        <xdr:cNvPr id="5031" name="Text Box 192">
          <a:extLst>
            <a:ext uri="{FF2B5EF4-FFF2-40B4-BE49-F238E27FC236}">
              <a16:creationId xmlns:a16="http://schemas.microsoft.com/office/drawing/2014/main" id="{48ABB479-1C93-44F4-8D9F-F677DBBCED77}"/>
            </a:ext>
          </a:extLst>
        </xdr:cNvPr>
        <xdr:cNvSpPr txBox="1">
          <a:spLocks noChangeArrowheads="1"/>
        </xdr:cNvSpPr>
      </xdr:nvSpPr>
      <xdr:spPr bwMode="auto">
        <a:xfrm>
          <a:off x="25200209" y="98018204"/>
          <a:ext cx="10372" cy="228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141\datos\Users\Kelly\Desktop\c59a492c-a2f4-4898-af0f-b311d88b6b7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CU 2026 MOSQUERA"/>
      <sheetName val="PRESUPUESTO"/>
      <sheetName val="APU - CAP XX"/>
      <sheetName val="APU - CAP 3"/>
      <sheetName val="APU - CAP 10"/>
      <sheetName val="APU - CAP 12"/>
      <sheetName val="APU - CAP 13"/>
      <sheetName val="APU - CAP 15"/>
      <sheetName val="APU - CAP 16"/>
      <sheetName val="APU - CAP 17"/>
      <sheetName val="APU - CAP 18"/>
      <sheetName val="APU - CAP 20"/>
      <sheetName val="APU - CAP 21"/>
      <sheetName val="EQUIPOS"/>
      <sheetName val="MATERIALES"/>
      <sheetName val="MANO DE OBRA"/>
      <sheetName val="TRANSPORTE"/>
      <sheetName val="ICCU 2025 MOSQUERA"/>
    </sheetNames>
    <sheetDataSet>
      <sheetData sheetId="0"/>
      <sheetData sheetId="1">
        <row r="9">
          <cell r="K9">
            <v>819.88</v>
          </cell>
        </row>
        <row r="10">
          <cell r="K10">
            <v>1474.92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B8E8B-21C3-4AAA-90D3-08BDEE585C64}">
  <sheetPr>
    <tabColor rgb="FF92D050"/>
    <pageSetUpPr fitToPage="1"/>
  </sheetPr>
  <dimension ref="A1:T337"/>
  <sheetViews>
    <sheetView tabSelected="1" view="pageBreakPreview" topLeftCell="A4" zoomScale="80" zoomScaleNormal="115" zoomScaleSheetLayoutView="80" workbookViewId="0">
      <selection activeCell="R321" sqref="R321"/>
    </sheetView>
  </sheetViews>
  <sheetFormatPr baseColWidth="10" defaultColWidth="11.3984375" defaultRowHeight="12.75" x14ac:dyDescent="0.45"/>
  <cols>
    <col min="1" max="1" width="4.73046875" style="164" customWidth="1"/>
    <col min="2" max="2" width="2.73046875" style="164" customWidth="1"/>
    <col min="3" max="3" width="7.86328125" style="146" customWidth="1"/>
    <col min="4" max="4" width="27.9296875" style="144" customWidth="1"/>
    <col min="5" max="5" width="14" style="144" customWidth="1"/>
    <col min="6" max="6" width="14.6640625" style="144" customWidth="1"/>
    <col min="7" max="7" width="64.06640625" style="164" customWidth="1"/>
    <col min="8" max="8" width="12.73046875" style="164" customWidth="1"/>
    <col min="9" max="9" width="24.9296875" style="165" customWidth="1"/>
    <col min="10" max="11" width="20.73046875" style="46" customWidth="1"/>
    <col min="12" max="12" width="26.86328125" style="47" bestFit="1" customWidth="1"/>
    <col min="13" max="13" width="3" style="164" customWidth="1"/>
    <col min="14" max="14" width="6.73046875" style="164" customWidth="1"/>
    <col min="15" max="15" width="23.33203125" style="164" customWidth="1"/>
    <col min="16" max="16" width="32.9296875" style="164" customWidth="1"/>
    <col min="17" max="17" width="33.06640625" style="164" bestFit="1" customWidth="1"/>
    <col min="18" max="18" width="32.33203125" style="164" customWidth="1"/>
    <col min="19" max="19" width="16.6640625" style="164" customWidth="1"/>
    <col min="20" max="20" width="5.6640625" style="164" customWidth="1"/>
    <col min="21" max="16384" width="11.3984375" style="164"/>
  </cols>
  <sheetData>
    <row r="1" spans="2:20" hidden="1" x14ac:dyDescent="0.45"/>
    <row r="2" spans="2:20" hidden="1" x14ac:dyDescent="0.45"/>
    <row r="3" spans="2:20" hidden="1" x14ac:dyDescent="0.45"/>
    <row r="4" spans="2:20" ht="13.15" thickBot="1" x14ac:dyDescent="0.5"/>
    <row r="5" spans="2:20" s="166" customFormat="1" ht="14.65" customHeight="1" thickTop="1" x14ac:dyDescent="0.35">
      <c r="B5" s="271" t="e" vm="1">
        <v>#VALUE!</v>
      </c>
      <c r="C5" s="272"/>
      <c r="D5" s="272"/>
      <c r="E5" s="272"/>
      <c r="F5" s="272"/>
      <c r="G5" s="274" t="s">
        <v>0</v>
      </c>
      <c r="H5" s="274"/>
      <c r="I5" s="277" t="e" vm="2">
        <v>#VALUE!</v>
      </c>
      <c r="J5" s="277"/>
      <c r="K5" s="277"/>
      <c r="L5" s="277"/>
      <c r="M5" s="278"/>
    </row>
    <row r="6" spans="2:20" s="166" customFormat="1" x14ac:dyDescent="0.35">
      <c r="B6" s="273"/>
      <c r="C6" s="236"/>
      <c r="D6" s="236"/>
      <c r="E6" s="236"/>
      <c r="F6" s="236"/>
      <c r="G6" s="275"/>
      <c r="H6" s="275"/>
      <c r="I6" s="279"/>
      <c r="J6" s="279"/>
      <c r="K6" s="279"/>
      <c r="L6" s="279"/>
      <c r="M6" s="280"/>
    </row>
    <row r="7" spans="2:20" s="166" customFormat="1" x14ac:dyDescent="0.35">
      <c r="B7" s="273"/>
      <c r="C7" s="236"/>
      <c r="D7" s="236"/>
      <c r="E7" s="236"/>
      <c r="F7" s="236"/>
      <c r="G7" s="275"/>
      <c r="H7" s="275"/>
      <c r="I7" s="279"/>
      <c r="J7" s="279"/>
      <c r="K7" s="279"/>
      <c r="L7" s="279"/>
      <c r="M7" s="280"/>
    </row>
    <row r="8" spans="2:20" s="166" customFormat="1" x14ac:dyDescent="0.35">
      <c r="B8" s="273"/>
      <c r="C8" s="236"/>
      <c r="D8" s="236"/>
      <c r="E8" s="236"/>
      <c r="F8" s="236"/>
      <c r="G8" s="275"/>
      <c r="H8" s="275"/>
      <c r="I8" s="279"/>
      <c r="J8" s="279"/>
      <c r="K8" s="279"/>
      <c r="L8" s="279"/>
      <c r="M8" s="280"/>
    </row>
    <row r="9" spans="2:20" s="166" customFormat="1" x14ac:dyDescent="0.35">
      <c r="B9" s="273"/>
      <c r="C9" s="236"/>
      <c r="D9" s="236"/>
      <c r="E9" s="236"/>
      <c r="F9" s="236"/>
      <c r="G9" s="275"/>
      <c r="H9" s="275"/>
      <c r="I9" s="279"/>
      <c r="J9" s="279"/>
      <c r="K9" s="279"/>
      <c r="L9" s="279"/>
      <c r="M9" s="280"/>
    </row>
    <row r="10" spans="2:20" s="166" customFormat="1" x14ac:dyDescent="0.35">
      <c r="B10" s="273"/>
      <c r="C10" s="236"/>
      <c r="D10" s="236"/>
      <c r="E10" s="236"/>
      <c r="F10" s="236"/>
      <c r="G10" s="275"/>
      <c r="H10" s="275"/>
      <c r="I10" s="279"/>
      <c r="J10" s="279"/>
      <c r="K10" s="279"/>
      <c r="L10" s="279"/>
      <c r="M10" s="280"/>
    </row>
    <row r="11" spans="2:20" s="166" customFormat="1" x14ac:dyDescent="0.35">
      <c r="B11" s="273"/>
      <c r="C11" s="236"/>
      <c r="D11" s="236"/>
      <c r="E11" s="236"/>
      <c r="F11" s="236"/>
      <c r="G11" s="275"/>
      <c r="H11" s="275"/>
      <c r="I11" s="279"/>
      <c r="J11" s="279"/>
      <c r="K11" s="279"/>
      <c r="L11" s="279"/>
      <c r="M11" s="280"/>
    </row>
    <row r="12" spans="2:20" s="166" customFormat="1" ht="13.15" thickBot="1" x14ac:dyDescent="0.4">
      <c r="B12" s="273"/>
      <c r="C12" s="236"/>
      <c r="D12" s="236"/>
      <c r="E12" s="236"/>
      <c r="F12" s="236"/>
      <c r="G12" s="276"/>
      <c r="H12" s="276"/>
      <c r="I12" s="279"/>
      <c r="J12" s="279"/>
      <c r="K12" s="279"/>
      <c r="L12" s="279"/>
      <c r="M12" s="280"/>
    </row>
    <row r="13" spans="2:20" s="166" customFormat="1" ht="13.15" x14ac:dyDescent="0.4">
      <c r="B13" s="168"/>
      <c r="C13" s="281" t="s">
        <v>614</v>
      </c>
      <c r="D13" s="282"/>
      <c r="E13" s="282"/>
      <c r="F13" s="282"/>
      <c r="G13" s="282"/>
      <c r="H13" s="282"/>
      <c r="I13" s="282"/>
      <c r="J13" s="282"/>
      <c r="K13" s="283"/>
      <c r="L13" s="284"/>
      <c r="M13" s="169"/>
    </row>
    <row r="14" spans="2:20" s="171" customFormat="1" x14ac:dyDescent="0.35">
      <c r="B14" s="170"/>
      <c r="C14" s="285" t="s">
        <v>1</v>
      </c>
      <c r="D14" s="286"/>
      <c r="E14" s="286"/>
      <c r="F14" s="286"/>
      <c r="G14" s="286"/>
      <c r="H14" s="286"/>
      <c r="I14" s="286"/>
      <c r="J14" s="286"/>
      <c r="K14" s="287"/>
      <c r="L14" s="288"/>
      <c r="M14" s="166"/>
      <c r="N14" s="168"/>
      <c r="O14" s="166"/>
      <c r="P14" s="166"/>
      <c r="Q14" s="166"/>
      <c r="R14" s="166"/>
      <c r="S14" s="166"/>
      <c r="T14" s="166"/>
    </row>
    <row r="15" spans="2:20" s="166" customFormat="1" ht="25.9" customHeight="1" x14ac:dyDescent="0.35">
      <c r="B15" s="168"/>
      <c r="C15" s="285"/>
      <c r="D15" s="286"/>
      <c r="E15" s="286"/>
      <c r="F15" s="286"/>
      <c r="G15" s="286"/>
      <c r="H15" s="286"/>
      <c r="I15" s="286"/>
      <c r="J15" s="286"/>
      <c r="K15" s="287"/>
      <c r="L15" s="288"/>
      <c r="N15" s="168"/>
    </row>
    <row r="16" spans="2:20" s="166" customFormat="1" ht="46.9" customHeight="1" thickBot="1" x14ac:dyDescent="0.4">
      <c r="B16" s="168"/>
      <c r="C16" s="289" t="s">
        <v>2</v>
      </c>
      <c r="D16" s="290"/>
      <c r="E16" s="290"/>
      <c r="F16" s="290"/>
      <c r="G16" s="290"/>
      <c r="H16" s="290"/>
      <c r="I16" s="290"/>
      <c r="J16" s="290"/>
      <c r="K16" s="291"/>
      <c r="L16" s="292"/>
      <c r="N16" s="168"/>
    </row>
    <row r="17" spans="1:20" s="166" customFormat="1" ht="15" x14ac:dyDescent="0.4">
      <c r="B17" s="168"/>
      <c r="C17" s="293"/>
      <c r="D17" s="294"/>
      <c r="E17" s="294"/>
      <c r="F17" s="294"/>
      <c r="G17" s="294"/>
      <c r="H17" s="294"/>
      <c r="I17" s="294"/>
      <c r="J17" s="294"/>
      <c r="K17" s="295"/>
      <c r="L17" s="296"/>
      <c r="N17" s="168"/>
      <c r="O17" s="202" t="s">
        <v>607</v>
      </c>
      <c r="P17" s="203"/>
      <c r="Q17" s="203"/>
      <c r="R17" s="203"/>
      <c r="S17" s="204"/>
    </row>
    <row r="18" spans="1:20" s="166" customFormat="1" ht="13.15" customHeight="1" x14ac:dyDescent="0.35">
      <c r="B18" s="168"/>
      <c r="C18" s="297" t="s">
        <v>3</v>
      </c>
      <c r="D18" s="298" t="s">
        <v>4</v>
      </c>
      <c r="E18" s="299" t="s">
        <v>5</v>
      </c>
      <c r="F18" s="299"/>
      <c r="G18" s="298" t="s">
        <v>6</v>
      </c>
      <c r="H18" s="298" t="s">
        <v>7</v>
      </c>
      <c r="I18" s="300" t="s">
        <v>8</v>
      </c>
      <c r="J18" s="200" t="s">
        <v>608</v>
      </c>
      <c r="K18" s="200" t="s">
        <v>609</v>
      </c>
      <c r="L18" s="268" t="s">
        <v>9</v>
      </c>
      <c r="N18" s="168"/>
      <c r="O18" s="207" t="s">
        <v>600</v>
      </c>
      <c r="P18" s="200" t="s">
        <v>601</v>
      </c>
      <c r="Q18" s="200" t="s">
        <v>602</v>
      </c>
      <c r="R18" s="200" t="s">
        <v>603</v>
      </c>
      <c r="S18" s="201" t="s">
        <v>599</v>
      </c>
      <c r="T18" s="48"/>
    </row>
    <row r="19" spans="1:20" s="166" customFormat="1" ht="13.15" x14ac:dyDescent="0.35">
      <c r="B19" s="168"/>
      <c r="C19" s="297"/>
      <c r="D19" s="298"/>
      <c r="E19" s="89" t="s">
        <v>10</v>
      </c>
      <c r="F19" s="89" t="s">
        <v>11</v>
      </c>
      <c r="G19" s="298"/>
      <c r="H19" s="298"/>
      <c r="I19" s="300"/>
      <c r="J19" s="200"/>
      <c r="K19" s="200"/>
      <c r="L19" s="268"/>
      <c r="N19" s="168"/>
      <c r="O19" s="207"/>
      <c r="P19" s="200"/>
      <c r="Q19" s="200"/>
      <c r="R19" s="200"/>
      <c r="S19" s="201"/>
      <c r="T19" s="49"/>
    </row>
    <row r="20" spans="1:20" ht="13.15" x14ac:dyDescent="0.35">
      <c r="A20" s="169"/>
      <c r="C20" s="90">
        <v>1</v>
      </c>
      <c r="D20" s="263" t="s">
        <v>12</v>
      </c>
      <c r="E20" s="263"/>
      <c r="F20" s="263"/>
      <c r="G20" s="263"/>
      <c r="H20" s="91"/>
      <c r="I20" s="92"/>
      <c r="J20" s="1"/>
      <c r="K20" s="2"/>
      <c r="L20" s="3"/>
      <c r="M20" s="166"/>
      <c r="N20" s="168"/>
      <c r="O20" s="50"/>
      <c r="P20" s="1"/>
      <c r="Q20" s="1"/>
      <c r="R20" s="1"/>
      <c r="S20" s="51"/>
      <c r="T20" s="52"/>
    </row>
    <row r="21" spans="1:20" ht="25.5" x14ac:dyDescent="0.35">
      <c r="A21" s="169"/>
      <c r="C21" s="93" t="s">
        <v>13</v>
      </c>
      <c r="D21" s="94" t="s">
        <v>14</v>
      </c>
      <c r="E21" s="94"/>
      <c r="F21" s="94"/>
      <c r="G21" s="95" t="s">
        <v>15</v>
      </c>
      <c r="H21" s="96" t="s">
        <v>16</v>
      </c>
      <c r="I21" s="94">
        <v>1</v>
      </c>
      <c r="J21" s="4">
        <v>3221690</v>
      </c>
      <c r="K21" s="5">
        <f>ROUND(J21+(J21*$L$319),0)</f>
        <v>4188197</v>
      </c>
      <c r="L21" s="6">
        <f>ROUND(I21*K21,0)</f>
        <v>4188197</v>
      </c>
      <c r="M21" s="166"/>
      <c r="N21" s="168"/>
      <c r="O21" s="82"/>
      <c r="P21" s="4">
        <f>ROUND(O21,0)</f>
        <v>0</v>
      </c>
      <c r="Q21" s="4">
        <f>ROUND(P21+(P21*$R$319),0)</f>
        <v>0</v>
      </c>
      <c r="R21" s="53">
        <f t="shared" ref="R21:R28" si="0">ROUND(Q21*I21,0)</f>
        <v>0</v>
      </c>
      <c r="S21" s="161" t="str">
        <f>IF(OR(P21&lt;=0,P21&gt;J21,Q21&lt;=0,Q21&gt;K21,R21&lt;=0,R21&gt;L21,$R$325="NO CUMPLE"),"NO CUMPLE","CUMPLE")</f>
        <v>NO CUMPLE</v>
      </c>
      <c r="T21" s="52"/>
    </row>
    <row r="22" spans="1:20" ht="13.15" x14ac:dyDescent="0.35">
      <c r="A22" s="169"/>
      <c r="C22" s="93" t="s">
        <v>17</v>
      </c>
      <c r="D22" s="94" t="s">
        <v>18</v>
      </c>
      <c r="E22" s="94"/>
      <c r="F22" s="94"/>
      <c r="G22" s="95" t="s">
        <v>19</v>
      </c>
      <c r="H22" s="96" t="s">
        <v>20</v>
      </c>
      <c r="I22" s="94">
        <v>47.25</v>
      </c>
      <c r="J22" s="4">
        <v>34513</v>
      </c>
      <c r="K22" s="5">
        <f t="shared" ref="K22:K27" si="1">ROUND(J22+(J22*$L$319),0)</f>
        <v>44867</v>
      </c>
      <c r="L22" s="6">
        <f t="shared" ref="L22:L28" si="2">ROUND(I22*K22,0)</f>
        <v>2119966</v>
      </c>
      <c r="M22" s="166"/>
      <c r="N22" s="168"/>
      <c r="O22" s="82"/>
      <c r="P22" s="4">
        <f t="shared" ref="P22:P28" si="3">ROUND(O22,0)</f>
        <v>0</v>
      </c>
      <c r="Q22" s="4">
        <f t="shared" ref="Q22:Q27" si="4">ROUND(P22+(P22*$R$319),0)</f>
        <v>0</v>
      </c>
      <c r="R22" s="53">
        <f t="shared" si="0"/>
        <v>0</v>
      </c>
      <c r="S22" s="161" t="str">
        <f t="shared" ref="S22:S28" si="5">IF(OR(P22&lt;=0,P22&gt;J22,Q22&lt;=0,Q22&gt;K22,R22&lt;=0,R22&gt;L22,$R$325="NO CUMPLE"),"NO CUMPLE","CUMPLE")</f>
        <v>NO CUMPLE</v>
      </c>
      <c r="T22" s="52"/>
    </row>
    <row r="23" spans="1:20" ht="13.15" x14ac:dyDescent="0.35">
      <c r="A23" s="169"/>
      <c r="C23" s="93" t="s">
        <v>21</v>
      </c>
      <c r="D23" s="94" t="s">
        <v>22</v>
      </c>
      <c r="E23" s="94"/>
      <c r="F23" s="94"/>
      <c r="G23" s="95" t="s">
        <v>23</v>
      </c>
      <c r="H23" s="96" t="s">
        <v>24</v>
      </c>
      <c r="I23" s="94">
        <v>2</v>
      </c>
      <c r="J23" s="4">
        <v>466301</v>
      </c>
      <c r="K23" s="5">
        <f t="shared" si="1"/>
        <v>606191</v>
      </c>
      <c r="L23" s="6">
        <f t="shared" si="2"/>
        <v>1212382</v>
      </c>
      <c r="M23" s="166"/>
      <c r="N23" s="168"/>
      <c r="O23" s="82"/>
      <c r="P23" s="4">
        <f t="shared" si="3"/>
        <v>0</v>
      </c>
      <c r="Q23" s="4">
        <f t="shared" si="4"/>
        <v>0</v>
      </c>
      <c r="R23" s="53">
        <f t="shared" si="0"/>
        <v>0</v>
      </c>
      <c r="S23" s="161" t="str">
        <f t="shared" si="5"/>
        <v>NO CUMPLE</v>
      </c>
      <c r="T23" s="52"/>
    </row>
    <row r="24" spans="1:20" ht="13.15" x14ac:dyDescent="0.35">
      <c r="A24" s="169"/>
      <c r="C24" s="93" t="s">
        <v>25</v>
      </c>
      <c r="D24" s="94" t="s">
        <v>22</v>
      </c>
      <c r="E24" s="94"/>
      <c r="F24" s="94"/>
      <c r="G24" s="95" t="s">
        <v>26</v>
      </c>
      <c r="H24" s="96" t="s">
        <v>20</v>
      </c>
      <c r="I24" s="94">
        <v>7.2</v>
      </c>
      <c r="J24" s="4">
        <v>532128</v>
      </c>
      <c r="K24" s="5">
        <f t="shared" si="1"/>
        <v>691766</v>
      </c>
      <c r="L24" s="6">
        <f t="shared" si="2"/>
        <v>4980715</v>
      </c>
      <c r="M24" s="166"/>
      <c r="N24" s="168"/>
      <c r="O24" s="82"/>
      <c r="P24" s="4">
        <f t="shared" si="3"/>
        <v>0</v>
      </c>
      <c r="Q24" s="4">
        <f t="shared" si="4"/>
        <v>0</v>
      </c>
      <c r="R24" s="53">
        <f t="shared" si="0"/>
        <v>0</v>
      </c>
      <c r="S24" s="161" t="str">
        <f t="shared" si="5"/>
        <v>NO CUMPLE</v>
      </c>
      <c r="T24" s="52"/>
    </row>
    <row r="25" spans="1:20" ht="13.15" x14ac:dyDescent="0.35">
      <c r="A25" s="169"/>
      <c r="C25" s="93" t="s">
        <v>27</v>
      </c>
      <c r="D25" s="94" t="s">
        <v>28</v>
      </c>
      <c r="E25" s="94"/>
      <c r="F25" s="94"/>
      <c r="G25" s="95" t="s">
        <v>29</v>
      </c>
      <c r="H25" s="96" t="s">
        <v>30</v>
      </c>
      <c r="I25" s="94">
        <v>288</v>
      </c>
      <c r="J25" s="4">
        <v>2142</v>
      </c>
      <c r="K25" s="5">
        <f t="shared" si="1"/>
        <v>2785</v>
      </c>
      <c r="L25" s="6">
        <f t="shared" si="2"/>
        <v>802080</v>
      </c>
      <c r="M25" s="166"/>
      <c r="N25" s="168"/>
      <c r="O25" s="82"/>
      <c r="P25" s="4">
        <f t="shared" si="3"/>
        <v>0</v>
      </c>
      <c r="Q25" s="4">
        <f t="shared" si="4"/>
        <v>0</v>
      </c>
      <c r="R25" s="53">
        <f t="shared" si="0"/>
        <v>0</v>
      </c>
      <c r="S25" s="161" t="str">
        <f t="shared" si="5"/>
        <v>NO CUMPLE</v>
      </c>
      <c r="T25" s="52"/>
    </row>
    <row r="26" spans="1:20" ht="25.5" x14ac:dyDescent="0.35">
      <c r="A26" s="169"/>
      <c r="C26" s="93" t="s">
        <v>31</v>
      </c>
      <c r="D26" s="94" t="s">
        <v>32</v>
      </c>
      <c r="E26" s="94"/>
      <c r="F26" s="94"/>
      <c r="G26" s="95" t="s">
        <v>33</v>
      </c>
      <c r="H26" s="96" t="s">
        <v>30</v>
      </c>
      <c r="I26" s="94">
        <v>288</v>
      </c>
      <c r="J26" s="4">
        <v>6661</v>
      </c>
      <c r="K26" s="5">
        <f>ROUNDUP(J26+(J26*$L$319),0)</f>
        <v>8660</v>
      </c>
      <c r="L26" s="6">
        <f t="shared" si="2"/>
        <v>2494080</v>
      </c>
      <c r="M26" s="166"/>
      <c r="N26" s="168"/>
      <c r="O26" s="82"/>
      <c r="P26" s="4">
        <f t="shared" si="3"/>
        <v>0</v>
      </c>
      <c r="Q26" s="4">
        <f>ROUNDUP(P26+(P26*$R$319),0)</f>
        <v>0</v>
      </c>
      <c r="R26" s="53">
        <f t="shared" si="0"/>
        <v>0</v>
      </c>
      <c r="S26" s="161" t="str">
        <f t="shared" si="5"/>
        <v>NO CUMPLE</v>
      </c>
      <c r="T26" s="52"/>
    </row>
    <row r="27" spans="1:20" ht="13.15" x14ac:dyDescent="0.35">
      <c r="A27" s="169"/>
      <c r="C27" s="93" t="s">
        <v>34</v>
      </c>
      <c r="D27" s="94" t="s">
        <v>35</v>
      </c>
      <c r="E27" s="94"/>
      <c r="F27" s="94"/>
      <c r="G27" s="95" t="s">
        <v>36</v>
      </c>
      <c r="H27" s="96" t="s">
        <v>16</v>
      </c>
      <c r="I27" s="94">
        <v>1</v>
      </c>
      <c r="J27" s="4">
        <v>4273110</v>
      </c>
      <c r="K27" s="5">
        <f t="shared" si="1"/>
        <v>5555043</v>
      </c>
      <c r="L27" s="6">
        <f t="shared" si="2"/>
        <v>5555043</v>
      </c>
      <c r="M27" s="166"/>
      <c r="N27" s="168"/>
      <c r="O27" s="82"/>
      <c r="P27" s="4">
        <f t="shared" si="3"/>
        <v>0</v>
      </c>
      <c r="Q27" s="4">
        <f t="shared" si="4"/>
        <v>0</v>
      </c>
      <c r="R27" s="53">
        <f t="shared" si="0"/>
        <v>0</v>
      </c>
      <c r="S27" s="161" t="str">
        <f t="shared" si="5"/>
        <v>NO CUMPLE</v>
      </c>
      <c r="T27" s="52"/>
    </row>
    <row r="28" spans="1:20" ht="13.15" x14ac:dyDescent="0.35">
      <c r="A28" s="169"/>
      <c r="C28" s="93" t="s">
        <v>37</v>
      </c>
      <c r="D28" s="94" t="s">
        <v>38</v>
      </c>
      <c r="E28" s="94"/>
      <c r="F28" s="94"/>
      <c r="G28" s="95" t="s">
        <v>39</v>
      </c>
      <c r="H28" s="96" t="s">
        <v>16</v>
      </c>
      <c r="I28" s="94">
        <v>1</v>
      </c>
      <c r="J28" s="4">
        <v>349178</v>
      </c>
      <c r="K28" s="5">
        <f>ROUNDUP(J28+(J28*$L$319),0)</f>
        <v>453932</v>
      </c>
      <c r="L28" s="6">
        <f t="shared" si="2"/>
        <v>453932</v>
      </c>
      <c r="M28" s="166"/>
      <c r="N28" s="168"/>
      <c r="O28" s="82"/>
      <c r="P28" s="4">
        <f t="shared" si="3"/>
        <v>0</v>
      </c>
      <c r="Q28" s="4">
        <f>ROUNDUP(P28+(P28*$R$319),0)</f>
        <v>0</v>
      </c>
      <c r="R28" s="53">
        <f t="shared" si="0"/>
        <v>0</v>
      </c>
      <c r="S28" s="161" t="str">
        <f t="shared" si="5"/>
        <v>NO CUMPLE</v>
      </c>
      <c r="T28" s="52"/>
    </row>
    <row r="29" spans="1:20" ht="16.5" x14ac:dyDescent="0.35">
      <c r="A29" s="169"/>
      <c r="C29" s="93"/>
      <c r="D29" s="94"/>
      <c r="E29" s="94"/>
      <c r="F29" s="94"/>
      <c r="G29" s="97" t="s">
        <v>40</v>
      </c>
      <c r="H29" s="96"/>
      <c r="I29" s="94"/>
      <c r="J29" s="4"/>
      <c r="K29" s="5"/>
      <c r="L29" s="7">
        <f>SUBTOTAL(9,L21:L28)</f>
        <v>21806395</v>
      </c>
      <c r="M29" s="166"/>
      <c r="N29" s="168"/>
      <c r="O29" s="82"/>
      <c r="P29" s="4"/>
      <c r="Q29" s="4"/>
      <c r="R29" s="54">
        <f>SUBTOTAL(9,R21:R28)</f>
        <v>0</v>
      </c>
      <c r="S29" s="55"/>
      <c r="T29" s="52"/>
    </row>
    <row r="30" spans="1:20" ht="13.15" x14ac:dyDescent="0.35">
      <c r="A30" s="169"/>
      <c r="C30" s="90">
        <v>2</v>
      </c>
      <c r="D30" s="263" t="s">
        <v>41</v>
      </c>
      <c r="E30" s="263"/>
      <c r="F30" s="263"/>
      <c r="G30" s="263"/>
      <c r="H30" s="91"/>
      <c r="I30" s="92"/>
      <c r="J30" s="1"/>
      <c r="K30" s="2"/>
      <c r="L30" s="3"/>
      <c r="M30" s="166"/>
      <c r="N30" s="168"/>
      <c r="O30" s="81"/>
      <c r="P30" s="1"/>
      <c r="Q30" s="1"/>
      <c r="R30" s="56"/>
      <c r="S30" s="51"/>
      <c r="T30" s="52"/>
    </row>
    <row r="31" spans="1:20" ht="25.5" x14ac:dyDescent="0.35">
      <c r="A31" s="169"/>
      <c r="C31" s="98" t="s">
        <v>42</v>
      </c>
      <c r="D31" s="94" t="s">
        <v>43</v>
      </c>
      <c r="E31" s="94"/>
      <c r="F31" s="94"/>
      <c r="G31" s="95" t="s">
        <v>44</v>
      </c>
      <c r="H31" s="96" t="s">
        <v>45</v>
      </c>
      <c r="I31" s="94">
        <v>81.040000000000006</v>
      </c>
      <c r="J31" s="4">
        <v>21896</v>
      </c>
      <c r="K31" s="5">
        <f t="shared" ref="K31:K34" si="6">ROUND(J31+(J31*$L$319),0)</f>
        <v>28465</v>
      </c>
      <c r="L31" s="6">
        <f t="shared" ref="L31:L34" si="7">ROUND(I31*K31,0)</f>
        <v>2306804</v>
      </c>
      <c r="M31" s="166"/>
      <c r="N31" s="168"/>
      <c r="O31" s="82"/>
      <c r="P31" s="4">
        <f t="shared" ref="P31:P34" si="8">ROUND(O31,0)</f>
        <v>0</v>
      </c>
      <c r="Q31" s="4">
        <f t="shared" ref="Q31:Q34" si="9">ROUND(P31+(P31*$R$319),0)</f>
        <v>0</v>
      </c>
      <c r="R31" s="53">
        <f>ROUND(Q31*I31,0)</f>
        <v>0</v>
      </c>
      <c r="S31" s="161" t="str">
        <f t="shared" ref="S31:S34" si="10">IF(OR(P31&lt;=0,P31&gt;J31,Q31&lt;=0,Q31&gt;K31,R31&lt;=0,R31&gt;L31,$R$325="NO CUMPLE"),"NO CUMPLE","CUMPLE")</f>
        <v>NO CUMPLE</v>
      </c>
      <c r="T31" s="52"/>
    </row>
    <row r="32" spans="1:20" ht="25.5" x14ac:dyDescent="0.35">
      <c r="A32" s="169"/>
      <c r="C32" s="98" t="s">
        <v>46</v>
      </c>
      <c r="D32" s="94" t="s">
        <v>47</v>
      </c>
      <c r="E32" s="94"/>
      <c r="F32" s="94"/>
      <c r="G32" s="95" t="s">
        <v>48</v>
      </c>
      <c r="H32" s="96" t="s">
        <v>45</v>
      </c>
      <c r="I32" s="94">
        <v>30.42</v>
      </c>
      <c r="J32" s="4">
        <v>81448</v>
      </c>
      <c r="K32" s="5">
        <f t="shared" si="6"/>
        <v>105882</v>
      </c>
      <c r="L32" s="6">
        <f t="shared" si="7"/>
        <v>3220930</v>
      </c>
      <c r="M32" s="166"/>
      <c r="N32" s="168"/>
      <c r="O32" s="82"/>
      <c r="P32" s="4">
        <f t="shared" si="8"/>
        <v>0</v>
      </c>
      <c r="Q32" s="4">
        <f t="shared" si="9"/>
        <v>0</v>
      </c>
      <c r="R32" s="53">
        <f>ROUND(Q32*I32,0)</f>
        <v>0</v>
      </c>
      <c r="S32" s="161" t="str">
        <f t="shared" si="10"/>
        <v>NO CUMPLE</v>
      </c>
      <c r="T32" s="52"/>
    </row>
    <row r="33" spans="1:20" ht="13.15" x14ac:dyDescent="0.35">
      <c r="A33" s="169"/>
      <c r="C33" s="98" t="s">
        <v>49</v>
      </c>
      <c r="D33" s="94" t="s">
        <v>50</v>
      </c>
      <c r="E33" s="94"/>
      <c r="F33" s="94"/>
      <c r="G33" s="95" t="s">
        <v>51</v>
      </c>
      <c r="H33" s="96" t="s">
        <v>45</v>
      </c>
      <c r="I33" s="94">
        <v>39.299999999999997</v>
      </c>
      <c r="J33" s="4">
        <v>95264</v>
      </c>
      <c r="K33" s="5">
        <f>ROUNDUP(J33+(J33*$L$319),0)</f>
        <v>123844</v>
      </c>
      <c r="L33" s="6">
        <f t="shared" si="7"/>
        <v>4867069</v>
      </c>
      <c r="M33" s="166"/>
      <c r="N33" s="168"/>
      <c r="O33" s="82"/>
      <c r="P33" s="4">
        <f t="shared" si="8"/>
        <v>0</v>
      </c>
      <c r="Q33" s="4">
        <f>ROUNDUP(P33+(P33*$R$319),0)</f>
        <v>0</v>
      </c>
      <c r="R33" s="53">
        <f>ROUND(Q33*I33,0)</f>
        <v>0</v>
      </c>
      <c r="S33" s="161" t="str">
        <f t="shared" si="10"/>
        <v>NO CUMPLE</v>
      </c>
      <c r="T33" s="52"/>
    </row>
    <row r="34" spans="1:20" ht="25.5" x14ac:dyDescent="0.35">
      <c r="A34" s="169"/>
      <c r="C34" s="98" t="s">
        <v>52</v>
      </c>
      <c r="D34" s="94" t="s">
        <v>53</v>
      </c>
      <c r="E34" s="94"/>
      <c r="F34" s="94"/>
      <c r="G34" s="95" t="s">
        <v>54</v>
      </c>
      <c r="H34" s="96" t="s">
        <v>55</v>
      </c>
      <c r="I34" s="94">
        <v>1504.58</v>
      </c>
      <c r="J34" s="4">
        <v>1823</v>
      </c>
      <c r="K34" s="5">
        <f t="shared" si="6"/>
        <v>2370</v>
      </c>
      <c r="L34" s="6">
        <f t="shared" si="7"/>
        <v>3565855</v>
      </c>
      <c r="M34" s="166"/>
      <c r="N34" s="168"/>
      <c r="O34" s="82"/>
      <c r="P34" s="4">
        <f t="shared" si="8"/>
        <v>0</v>
      </c>
      <c r="Q34" s="4">
        <f t="shared" si="9"/>
        <v>0</v>
      </c>
      <c r="R34" s="53">
        <f>ROUND(Q34*I34,0)</f>
        <v>0</v>
      </c>
      <c r="S34" s="161" t="str">
        <f t="shared" si="10"/>
        <v>NO CUMPLE</v>
      </c>
      <c r="T34" s="52"/>
    </row>
    <row r="35" spans="1:20" ht="16.5" x14ac:dyDescent="0.35">
      <c r="A35" s="169"/>
      <c r="C35" s="93"/>
      <c r="D35" s="99"/>
      <c r="E35" s="99"/>
      <c r="F35" s="99"/>
      <c r="G35" s="100" t="s">
        <v>40</v>
      </c>
      <c r="H35" s="101"/>
      <c r="I35" s="102"/>
      <c r="J35" s="4"/>
      <c r="K35" s="5"/>
      <c r="L35" s="7">
        <f>SUBTOTAL(9,L31:L34)</f>
        <v>13960658</v>
      </c>
      <c r="M35" s="166"/>
      <c r="N35" s="168"/>
      <c r="O35" s="82"/>
      <c r="P35" s="4"/>
      <c r="Q35" s="4"/>
      <c r="R35" s="54">
        <f>SUBTOTAL(9,R31:R34)</f>
        <v>0</v>
      </c>
      <c r="S35" s="55"/>
      <c r="T35" s="52"/>
    </row>
    <row r="36" spans="1:20" ht="13.15" x14ac:dyDescent="0.35">
      <c r="A36" s="169"/>
      <c r="C36" s="90">
        <v>3</v>
      </c>
      <c r="D36" s="263" t="s">
        <v>56</v>
      </c>
      <c r="E36" s="263"/>
      <c r="F36" s="263"/>
      <c r="G36" s="263"/>
      <c r="H36" s="91"/>
      <c r="I36" s="92"/>
      <c r="J36" s="1"/>
      <c r="K36" s="2"/>
      <c r="L36" s="3"/>
      <c r="M36" s="166"/>
      <c r="N36" s="168"/>
      <c r="O36" s="81"/>
      <c r="P36" s="1"/>
      <c r="Q36" s="1"/>
      <c r="R36" s="56"/>
      <c r="S36" s="51"/>
      <c r="T36" s="52"/>
    </row>
    <row r="37" spans="1:20" ht="13.15" x14ac:dyDescent="0.35">
      <c r="A37" s="169"/>
      <c r="C37" s="103" t="s">
        <v>57</v>
      </c>
      <c r="D37" s="266" t="s">
        <v>58</v>
      </c>
      <c r="E37" s="266"/>
      <c r="F37" s="266"/>
      <c r="G37" s="266"/>
      <c r="H37" s="104"/>
      <c r="I37" s="105"/>
      <c r="J37" s="8"/>
      <c r="K37" s="9"/>
      <c r="L37" s="10"/>
      <c r="M37" s="166"/>
      <c r="N37" s="168"/>
      <c r="O37" s="83"/>
      <c r="P37" s="8"/>
      <c r="Q37" s="8"/>
      <c r="R37" s="57"/>
      <c r="S37" s="58"/>
      <c r="T37" s="52"/>
    </row>
    <row r="38" spans="1:20" ht="13.15" x14ac:dyDescent="0.35">
      <c r="A38" s="169"/>
      <c r="C38" s="98" t="s">
        <v>59</v>
      </c>
      <c r="D38" s="94" t="s">
        <v>60</v>
      </c>
      <c r="E38" s="94"/>
      <c r="F38" s="94"/>
      <c r="G38" s="95" t="s">
        <v>61</v>
      </c>
      <c r="H38" s="96" t="s">
        <v>45</v>
      </c>
      <c r="I38" s="94">
        <v>3.45</v>
      </c>
      <c r="J38" s="4">
        <v>516879</v>
      </c>
      <c r="K38" s="5">
        <f t="shared" ref="K38:K43" si="11">ROUND(J38+(J38*$L$319),0)</f>
        <v>671943</v>
      </c>
      <c r="L38" s="6">
        <f t="shared" ref="L38:L43" si="12">ROUND(I38*K38,0)</f>
        <v>2318203</v>
      </c>
      <c r="M38" s="166"/>
      <c r="N38" s="168"/>
      <c r="O38" s="82"/>
      <c r="P38" s="4">
        <f t="shared" ref="P38:P43" si="13">ROUND(O38,0)</f>
        <v>0</v>
      </c>
      <c r="Q38" s="4">
        <f t="shared" ref="Q38:Q43" si="14">ROUND(P38+(P38*$R$319),0)</f>
        <v>0</v>
      </c>
      <c r="R38" s="53">
        <f t="shared" ref="R38:R43" si="15">ROUND(Q38*I38,0)</f>
        <v>0</v>
      </c>
      <c r="S38" s="161" t="str">
        <f t="shared" ref="S38:S43" si="16">IF(OR(P38&lt;=0,P38&gt;J38,Q38&lt;=0,Q38&gt;K38,R38&lt;=0,R38&gt;L38,$R$325="NO CUMPLE"),"NO CUMPLE","CUMPLE")</f>
        <v>NO CUMPLE</v>
      </c>
      <c r="T38" s="52"/>
    </row>
    <row r="39" spans="1:20" ht="13.15" x14ac:dyDescent="0.35">
      <c r="A39" s="169"/>
      <c r="C39" s="98" t="s">
        <v>62</v>
      </c>
      <c r="D39" s="94" t="s">
        <v>63</v>
      </c>
      <c r="E39" s="94"/>
      <c r="F39" s="94"/>
      <c r="G39" s="95" t="s">
        <v>64</v>
      </c>
      <c r="H39" s="96" t="s">
        <v>45</v>
      </c>
      <c r="I39" s="94">
        <v>6.43</v>
      </c>
      <c r="J39" s="4">
        <v>1042683</v>
      </c>
      <c r="K39" s="5">
        <f t="shared" si="11"/>
        <v>1355488</v>
      </c>
      <c r="L39" s="6">
        <f t="shared" si="12"/>
        <v>8715788</v>
      </c>
      <c r="M39" s="166"/>
      <c r="N39" s="168"/>
      <c r="O39" s="82"/>
      <c r="P39" s="4">
        <f t="shared" si="13"/>
        <v>0</v>
      </c>
      <c r="Q39" s="4">
        <f t="shared" si="14"/>
        <v>0</v>
      </c>
      <c r="R39" s="53">
        <f t="shared" si="15"/>
        <v>0</v>
      </c>
      <c r="S39" s="161" t="str">
        <f t="shared" si="16"/>
        <v>NO CUMPLE</v>
      </c>
      <c r="T39" s="52"/>
    </row>
    <row r="40" spans="1:20" s="166" customFormat="1" ht="13.15" x14ac:dyDescent="0.35">
      <c r="B40" s="168"/>
      <c r="C40" s="98" t="s">
        <v>65</v>
      </c>
      <c r="D40" s="94" t="s">
        <v>66</v>
      </c>
      <c r="E40" s="106"/>
      <c r="F40" s="106"/>
      <c r="G40" s="107" t="s">
        <v>67</v>
      </c>
      <c r="H40" s="96" t="s">
        <v>45</v>
      </c>
      <c r="I40" s="94">
        <v>12.19</v>
      </c>
      <c r="J40" s="4">
        <v>949754</v>
      </c>
      <c r="K40" s="5">
        <f>ROUNDUP(J40+(J40*$L$319),0)</f>
        <v>1234681</v>
      </c>
      <c r="L40" s="6">
        <f t="shared" si="12"/>
        <v>15050761</v>
      </c>
      <c r="M40" s="169"/>
      <c r="O40" s="82"/>
      <c r="P40" s="4">
        <f t="shared" si="13"/>
        <v>0</v>
      </c>
      <c r="Q40" s="4">
        <f>ROUNDUP(P40+(P40*$R$319),0)</f>
        <v>0</v>
      </c>
      <c r="R40" s="53">
        <f t="shared" si="15"/>
        <v>0</v>
      </c>
      <c r="S40" s="161" t="str">
        <f t="shared" si="16"/>
        <v>NO CUMPLE</v>
      </c>
      <c r="T40" s="52"/>
    </row>
    <row r="41" spans="1:20" ht="13.15" x14ac:dyDescent="0.35">
      <c r="A41" s="169"/>
      <c r="C41" s="98" t="s">
        <v>68</v>
      </c>
      <c r="D41" s="94" t="s">
        <v>69</v>
      </c>
      <c r="E41" s="94"/>
      <c r="F41" s="108"/>
      <c r="G41" s="95" t="s">
        <v>70</v>
      </c>
      <c r="H41" s="96" t="s">
        <v>45</v>
      </c>
      <c r="I41" s="94">
        <v>0.89</v>
      </c>
      <c r="J41" s="4">
        <v>949754</v>
      </c>
      <c r="K41" s="5">
        <f>ROUNDUP(J41+(J41*$L$319),0)</f>
        <v>1234681</v>
      </c>
      <c r="L41" s="6">
        <f t="shared" si="12"/>
        <v>1098866</v>
      </c>
      <c r="M41" s="166"/>
      <c r="N41" s="168"/>
      <c r="O41" s="82"/>
      <c r="P41" s="4">
        <f t="shared" si="13"/>
        <v>0</v>
      </c>
      <c r="Q41" s="4">
        <f>ROUNDUP(P41+(P41*$R$319),0)</f>
        <v>0</v>
      </c>
      <c r="R41" s="53">
        <f t="shared" si="15"/>
        <v>0</v>
      </c>
      <c r="S41" s="161" t="str">
        <f t="shared" si="16"/>
        <v>NO CUMPLE</v>
      </c>
      <c r="T41" s="52"/>
    </row>
    <row r="42" spans="1:20" ht="13.15" x14ac:dyDescent="0.35">
      <c r="A42" s="169"/>
      <c r="C42" s="98" t="s">
        <v>71</v>
      </c>
      <c r="D42" s="94" t="s">
        <v>72</v>
      </c>
      <c r="E42" s="94"/>
      <c r="F42" s="108"/>
      <c r="G42" s="95" t="s">
        <v>73</v>
      </c>
      <c r="H42" s="96" t="s">
        <v>74</v>
      </c>
      <c r="I42" s="94">
        <v>1698.22</v>
      </c>
      <c r="J42" s="4">
        <v>8453</v>
      </c>
      <c r="K42" s="5">
        <f t="shared" si="11"/>
        <v>10989</v>
      </c>
      <c r="L42" s="6">
        <f t="shared" si="12"/>
        <v>18661740</v>
      </c>
      <c r="M42" s="166"/>
      <c r="N42" s="168"/>
      <c r="O42" s="82"/>
      <c r="P42" s="4">
        <f t="shared" si="13"/>
        <v>0</v>
      </c>
      <c r="Q42" s="4">
        <f t="shared" si="14"/>
        <v>0</v>
      </c>
      <c r="R42" s="53">
        <f t="shared" si="15"/>
        <v>0</v>
      </c>
      <c r="S42" s="161" t="str">
        <f t="shared" si="16"/>
        <v>NO CUMPLE</v>
      </c>
      <c r="T42" s="52"/>
    </row>
    <row r="43" spans="1:20" ht="13.15" x14ac:dyDescent="0.35">
      <c r="A43" s="169"/>
      <c r="C43" s="98" t="s">
        <v>75</v>
      </c>
      <c r="D43" s="94" t="s">
        <v>76</v>
      </c>
      <c r="E43" s="94"/>
      <c r="F43" s="109"/>
      <c r="G43" s="95" t="s">
        <v>77</v>
      </c>
      <c r="H43" s="96" t="s">
        <v>45</v>
      </c>
      <c r="I43" s="94">
        <v>6.32</v>
      </c>
      <c r="J43" s="4">
        <v>402878</v>
      </c>
      <c r="K43" s="5">
        <f t="shared" si="11"/>
        <v>523741</v>
      </c>
      <c r="L43" s="6">
        <f t="shared" si="12"/>
        <v>3310043</v>
      </c>
      <c r="M43" s="166"/>
      <c r="N43" s="168"/>
      <c r="O43" s="82"/>
      <c r="P43" s="4">
        <f t="shared" si="13"/>
        <v>0</v>
      </c>
      <c r="Q43" s="4">
        <f t="shared" si="14"/>
        <v>0</v>
      </c>
      <c r="R43" s="53">
        <f t="shared" si="15"/>
        <v>0</v>
      </c>
      <c r="S43" s="161" t="str">
        <f t="shared" si="16"/>
        <v>NO CUMPLE</v>
      </c>
      <c r="T43" s="52"/>
    </row>
    <row r="44" spans="1:20" ht="16.5" x14ac:dyDescent="0.35">
      <c r="A44" s="169"/>
      <c r="C44" s="93"/>
      <c r="D44" s="99"/>
      <c r="E44" s="99"/>
      <c r="F44" s="99"/>
      <c r="G44" s="100" t="s">
        <v>40</v>
      </c>
      <c r="H44" s="101"/>
      <c r="I44" s="102"/>
      <c r="J44" s="4"/>
      <c r="K44" s="5"/>
      <c r="L44" s="7">
        <f>SUBTOTAL(9,L38:L43)</f>
        <v>49155401</v>
      </c>
      <c r="M44" s="166"/>
      <c r="N44" s="168"/>
      <c r="O44" s="82"/>
      <c r="P44" s="4"/>
      <c r="Q44" s="4"/>
      <c r="R44" s="54">
        <f>SUBTOTAL(9,R38:R43)</f>
        <v>0</v>
      </c>
      <c r="S44" s="55"/>
      <c r="T44" s="52"/>
    </row>
    <row r="45" spans="1:20" ht="13.15" x14ac:dyDescent="0.35">
      <c r="A45" s="169"/>
      <c r="C45" s="103" t="s">
        <v>78</v>
      </c>
      <c r="D45" s="266" t="s">
        <v>79</v>
      </c>
      <c r="E45" s="266"/>
      <c r="F45" s="266"/>
      <c r="G45" s="266"/>
      <c r="H45" s="104"/>
      <c r="I45" s="105"/>
      <c r="J45" s="8"/>
      <c r="K45" s="9"/>
      <c r="L45" s="10"/>
      <c r="M45" s="166"/>
      <c r="N45" s="168"/>
      <c r="O45" s="83"/>
      <c r="P45" s="8"/>
      <c r="Q45" s="8"/>
      <c r="R45" s="57"/>
      <c r="S45" s="58"/>
      <c r="T45" s="52"/>
    </row>
    <row r="46" spans="1:20" ht="13.15" x14ac:dyDescent="0.35">
      <c r="A46" s="169"/>
      <c r="C46" s="110" t="s">
        <v>80</v>
      </c>
      <c r="D46" s="94" t="s">
        <v>72</v>
      </c>
      <c r="E46" s="94"/>
      <c r="F46" s="94"/>
      <c r="G46" s="95" t="s">
        <v>73</v>
      </c>
      <c r="H46" s="96" t="s">
        <v>74</v>
      </c>
      <c r="I46" s="94">
        <v>2000.32</v>
      </c>
      <c r="J46" s="4">
        <v>8453</v>
      </c>
      <c r="K46" s="5">
        <f t="shared" ref="K46:K54" si="17">ROUND(J46+(J46*$L$319),0)</f>
        <v>10989</v>
      </c>
      <c r="L46" s="6">
        <f t="shared" ref="L46:L54" si="18">ROUND(I46*K46,0)</f>
        <v>21981516</v>
      </c>
      <c r="M46" s="166"/>
      <c r="N46" s="168"/>
      <c r="O46" s="82"/>
      <c r="P46" s="4">
        <f t="shared" ref="P46:P54" si="19">ROUND(O46,0)</f>
        <v>0</v>
      </c>
      <c r="Q46" s="4">
        <f t="shared" ref="Q46:Q54" si="20">ROUND(P46+(P46*$R$319),0)</f>
        <v>0</v>
      </c>
      <c r="R46" s="53">
        <f t="shared" ref="R46:R54" si="21">ROUND(Q46*I46,0)</f>
        <v>0</v>
      </c>
      <c r="S46" s="161" t="str">
        <f t="shared" ref="S46:S54" si="22">IF(OR(P46&lt;=0,P46&gt;J46,Q46&lt;=0,Q46&gt;K46,R46&lt;=0,R46&gt;L46,$R$325="NO CUMPLE"),"NO CUMPLE","CUMPLE")</f>
        <v>NO CUMPLE</v>
      </c>
      <c r="T46" s="52"/>
    </row>
    <row r="47" spans="1:20" s="166" customFormat="1" ht="13.15" x14ac:dyDescent="0.35">
      <c r="B47" s="168"/>
      <c r="C47" s="111" t="s">
        <v>81</v>
      </c>
      <c r="D47" s="94" t="s">
        <v>82</v>
      </c>
      <c r="E47" s="106"/>
      <c r="F47" s="106"/>
      <c r="G47" s="112" t="s">
        <v>83</v>
      </c>
      <c r="H47" s="96" t="s">
        <v>45</v>
      </c>
      <c r="I47" s="94">
        <v>7.4</v>
      </c>
      <c r="J47" s="4">
        <v>1279454</v>
      </c>
      <c r="K47" s="5">
        <f>ROUNDUP(J47+(J47*$L$319),0)</f>
        <v>1663291</v>
      </c>
      <c r="L47" s="6">
        <f t="shared" si="18"/>
        <v>12308353</v>
      </c>
      <c r="M47" s="169"/>
      <c r="O47" s="82"/>
      <c r="P47" s="4">
        <f t="shared" si="19"/>
        <v>0</v>
      </c>
      <c r="Q47" s="4">
        <f>ROUNDUP(P47+(P47*$R$319),0)</f>
        <v>0</v>
      </c>
      <c r="R47" s="53">
        <f t="shared" si="21"/>
        <v>0</v>
      </c>
      <c r="S47" s="161" t="str">
        <f t="shared" si="22"/>
        <v>NO CUMPLE</v>
      </c>
      <c r="T47" s="52"/>
    </row>
    <row r="48" spans="1:20" s="166" customFormat="1" ht="13.15" x14ac:dyDescent="0.35">
      <c r="B48" s="168"/>
      <c r="C48" s="110" t="s">
        <v>84</v>
      </c>
      <c r="D48" s="94" t="s">
        <v>85</v>
      </c>
      <c r="E48" s="106"/>
      <c r="F48" s="106"/>
      <c r="G48" s="112" t="s">
        <v>86</v>
      </c>
      <c r="H48" s="96" t="s">
        <v>45</v>
      </c>
      <c r="I48" s="94">
        <v>0.89</v>
      </c>
      <c r="J48" s="4">
        <v>1459183</v>
      </c>
      <c r="K48" s="5">
        <f t="shared" si="17"/>
        <v>1896938</v>
      </c>
      <c r="L48" s="6">
        <f t="shared" si="18"/>
        <v>1688275</v>
      </c>
      <c r="M48" s="169"/>
      <c r="O48" s="82"/>
      <c r="P48" s="4">
        <f t="shared" si="19"/>
        <v>0</v>
      </c>
      <c r="Q48" s="4">
        <f t="shared" si="20"/>
        <v>0</v>
      </c>
      <c r="R48" s="53">
        <f t="shared" si="21"/>
        <v>0</v>
      </c>
      <c r="S48" s="161" t="str">
        <f t="shared" si="22"/>
        <v>NO CUMPLE</v>
      </c>
      <c r="T48" s="52"/>
    </row>
    <row r="49" spans="1:20" s="166" customFormat="1" ht="13.15" x14ac:dyDescent="0.35">
      <c r="B49" s="168"/>
      <c r="C49" s="111" t="s">
        <v>87</v>
      </c>
      <c r="D49" s="94" t="s">
        <v>88</v>
      </c>
      <c r="E49" s="106"/>
      <c r="F49" s="113"/>
      <c r="G49" s="112" t="s">
        <v>89</v>
      </c>
      <c r="H49" s="96" t="s">
        <v>45</v>
      </c>
      <c r="I49" s="94">
        <v>3.65</v>
      </c>
      <c r="J49" s="4">
        <v>1269735</v>
      </c>
      <c r="K49" s="5">
        <f t="shared" si="17"/>
        <v>1650656</v>
      </c>
      <c r="L49" s="6">
        <f t="shared" si="18"/>
        <v>6024894</v>
      </c>
      <c r="M49" s="169"/>
      <c r="O49" s="82"/>
      <c r="P49" s="4">
        <f t="shared" si="19"/>
        <v>0</v>
      </c>
      <c r="Q49" s="4">
        <f t="shared" si="20"/>
        <v>0</v>
      </c>
      <c r="R49" s="53">
        <f t="shared" si="21"/>
        <v>0</v>
      </c>
      <c r="S49" s="161" t="str">
        <f t="shared" si="22"/>
        <v>NO CUMPLE</v>
      </c>
      <c r="T49" s="52"/>
    </row>
    <row r="50" spans="1:20" ht="13.15" x14ac:dyDescent="0.35">
      <c r="A50" s="169"/>
      <c r="C50" s="110" t="s">
        <v>90</v>
      </c>
      <c r="D50" s="94" t="s">
        <v>91</v>
      </c>
      <c r="E50" s="94"/>
      <c r="F50" s="94"/>
      <c r="G50" s="95" t="s">
        <v>92</v>
      </c>
      <c r="H50" s="96" t="s">
        <v>30</v>
      </c>
      <c r="I50" s="94">
        <v>33.340000000000003</v>
      </c>
      <c r="J50" s="4">
        <v>154602</v>
      </c>
      <c r="K50" s="5">
        <f t="shared" si="17"/>
        <v>200983</v>
      </c>
      <c r="L50" s="6">
        <f t="shared" si="18"/>
        <v>6700773</v>
      </c>
      <c r="M50" s="166"/>
      <c r="N50" s="168"/>
      <c r="O50" s="82"/>
      <c r="P50" s="4">
        <f t="shared" si="19"/>
        <v>0</v>
      </c>
      <c r="Q50" s="4">
        <f t="shared" si="20"/>
        <v>0</v>
      </c>
      <c r="R50" s="53">
        <f t="shared" si="21"/>
        <v>0</v>
      </c>
      <c r="S50" s="161" t="str">
        <f t="shared" si="22"/>
        <v>NO CUMPLE</v>
      </c>
      <c r="T50" s="52"/>
    </row>
    <row r="51" spans="1:20" ht="13.15" x14ac:dyDescent="0.35">
      <c r="A51" s="169"/>
      <c r="C51" s="111" t="s">
        <v>93</v>
      </c>
      <c r="D51" s="94" t="s">
        <v>94</v>
      </c>
      <c r="E51" s="94"/>
      <c r="F51" s="94"/>
      <c r="G51" s="95" t="s">
        <v>95</v>
      </c>
      <c r="H51" s="96" t="s">
        <v>30</v>
      </c>
      <c r="I51" s="94">
        <v>33.840000000000003</v>
      </c>
      <c r="J51" s="4">
        <v>134271</v>
      </c>
      <c r="K51" s="5">
        <f>ROUNDUP(J51+(J51*$L$319),0)</f>
        <v>174553</v>
      </c>
      <c r="L51" s="6">
        <f t="shared" si="18"/>
        <v>5906874</v>
      </c>
      <c r="M51" s="166"/>
      <c r="N51" s="168"/>
      <c r="O51" s="82"/>
      <c r="P51" s="4">
        <f t="shared" si="19"/>
        <v>0</v>
      </c>
      <c r="Q51" s="4">
        <f>ROUNDUP(P51+(P51*$R$319),0)</f>
        <v>0</v>
      </c>
      <c r="R51" s="53">
        <f t="shared" si="21"/>
        <v>0</v>
      </c>
      <c r="S51" s="161" t="str">
        <f t="shared" si="22"/>
        <v>NO CUMPLE</v>
      </c>
      <c r="T51" s="52"/>
    </row>
    <row r="52" spans="1:20" ht="13.15" x14ac:dyDescent="0.35">
      <c r="A52" s="169"/>
      <c r="C52" s="110" t="s">
        <v>96</v>
      </c>
      <c r="D52" s="94" t="s">
        <v>97</v>
      </c>
      <c r="E52" s="94"/>
      <c r="F52" s="94"/>
      <c r="G52" s="95" t="s">
        <v>98</v>
      </c>
      <c r="H52" s="96" t="s">
        <v>74</v>
      </c>
      <c r="I52" s="94">
        <v>619.46</v>
      </c>
      <c r="J52" s="4">
        <v>11086</v>
      </c>
      <c r="K52" s="5">
        <f t="shared" si="17"/>
        <v>14412</v>
      </c>
      <c r="L52" s="6">
        <f t="shared" si="18"/>
        <v>8927658</v>
      </c>
      <c r="M52" s="166"/>
      <c r="N52" s="168"/>
      <c r="O52" s="82"/>
      <c r="P52" s="4">
        <f t="shared" si="19"/>
        <v>0</v>
      </c>
      <c r="Q52" s="4">
        <f t="shared" si="20"/>
        <v>0</v>
      </c>
      <c r="R52" s="53">
        <f t="shared" si="21"/>
        <v>0</v>
      </c>
      <c r="S52" s="161" t="str">
        <f t="shared" si="22"/>
        <v>NO CUMPLE</v>
      </c>
      <c r="T52" s="52"/>
    </row>
    <row r="53" spans="1:20" ht="13.15" x14ac:dyDescent="0.35">
      <c r="A53" s="169"/>
      <c r="C53" s="111" t="s">
        <v>99</v>
      </c>
      <c r="D53" s="94" t="s">
        <v>100</v>
      </c>
      <c r="E53" s="94"/>
      <c r="F53" s="109"/>
      <c r="G53" s="95" t="s">
        <v>101</v>
      </c>
      <c r="H53" s="96" t="s">
        <v>30</v>
      </c>
      <c r="I53" s="94">
        <v>14.22</v>
      </c>
      <c r="J53" s="4">
        <v>80422</v>
      </c>
      <c r="K53" s="5">
        <f t="shared" si="17"/>
        <v>104549</v>
      </c>
      <c r="L53" s="6">
        <f t="shared" si="18"/>
        <v>1486687</v>
      </c>
      <c r="M53" s="166"/>
      <c r="N53" s="168"/>
      <c r="O53" s="82"/>
      <c r="P53" s="4">
        <f t="shared" si="19"/>
        <v>0</v>
      </c>
      <c r="Q53" s="4">
        <f t="shared" si="20"/>
        <v>0</v>
      </c>
      <c r="R53" s="53">
        <f t="shared" si="21"/>
        <v>0</v>
      </c>
      <c r="S53" s="161" t="str">
        <f t="shared" si="22"/>
        <v>NO CUMPLE</v>
      </c>
      <c r="T53" s="52"/>
    </row>
    <row r="54" spans="1:20" ht="13.15" x14ac:dyDescent="0.35">
      <c r="A54" s="169"/>
      <c r="C54" s="110" t="s">
        <v>102</v>
      </c>
      <c r="D54" s="94" t="s">
        <v>103</v>
      </c>
      <c r="E54" s="94"/>
      <c r="F54" s="109"/>
      <c r="G54" s="95" t="s">
        <v>104</v>
      </c>
      <c r="H54" s="96" t="s">
        <v>30</v>
      </c>
      <c r="I54" s="94">
        <v>132.87</v>
      </c>
      <c r="J54" s="4">
        <v>114932</v>
      </c>
      <c r="K54" s="5">
        <f t="shared" si="17"/>
        <v>149412</v>
      </c>
      <c r="L54" s="6">
        <f t="shared" si="18"/>
        <v>19852372</v>
      </c>
      <c r="M54" s="166"/>
      <c r="N54" s="168"/>
      <c r="O54" s="82"/>
      <c r="P54" s="4">
        <f t="shared" si="19"/>
        <v>0</v>
      </c>
      <c r="Q54" s="4">
        <f t="shared" si="20"/>
        <v>0</v>
      </c>
      <c r="R54" s="53">
        <f t="shared" si="21"/>
        <v>0</v>
      </c>
      <c r="S54" s="161" t="str">
        <f t="shared" si="22"/>
        <v>NO CUMPLE</v>
      </c>
      <c r="T54" s="52"/>
    </row>
    <row r="55" spans="1:20" ht="16.5" x14ac:dyDescent="0.35">
      <c r="A55" s="169"/>
      <c r="C55" s="93"/>
      <c r="D55" s="99"/>
      <c r="E55" s="99"/>
      <c r="F55" s="99"/>
      <c r="G55" s="100" t="s">
        <v>40</v>
      </c>
      <c r="H55" s="101"/>
      <c r="I55" s="102"/>
      <c r="J55" s="4"/>
      <c r="K55" s="5"/>
      <c r="L55" s="7">
        <f>SUBTOTAL(9,L46:L54)</f>
        <v>84877402</v>
      </c>
      <c r="M55" s="166"/>
      <c r="N55" s="168"/>
      <c r="O55" s="82"/>
      <c r="P55" s="4"/>
      <c r="Q55" s="4"/>
      <c r="R55" s="54">
        <f>SUBTOTAL(9,R46:R54)</f>
        <v>0</v>
      </c>
      <c r="S55" s="55"/>
      <c r="T55" s="52"/>
    </row>
    <row r="56" spans="1:20" ht="13.15" x14ac:dyDescent="0.35">
      <c r="A56" s="169"/>
      <c r="C56" s="90">
        <v>4</v>
      </c>
      <c r="D56" s="263" t="s">
        <v>105</v>
      </c>
      <c r="E56" s="263"/>
      <c r="F56" s="263"/>
      <c r="G56" s="263"/>
      <c r="H56" s="114"/>
      <c r="I56" s="92"/>
      <c r="J56" s="11"/>
      <c r="K56" s="12"/>
      <c r="L56" s="13"/>
      <c r="M56" s="166"/>
      <c r="N56" s="168"/>
      <c r="O56" s="84"/>
      <c r="P56" s="11"/>
      <c r="Q56" s="11"/>
      <c r="R56" s="59"/>
      <c r="S56" s="60"/>
      <c r="T56" s="61"/>
    </row>
    <row r="57" spans="1:20" ht="63.75" x14ac:dyDescent="0.35">
      <c r="A57" s="169"/>
      <c r="C57" s="98" t="s">
        <v>106</v>
      </c>
      <c r="D57" s="94" t="s">
        <v>107</v>
      </c>
      <c r="E57" s="94"/>
      <c r="F57" s="109"/>
      <c r="G57" s="95" t="s">
        <v>108</v>
      </c>
      <c r="H57" s="96" t="s">
        <v>74</v>
      </c>
      <c r="I57" s="94">
        <v>5073.12</v>
      </c>
      <c r="J57" s="4">
        <v>21578</v>
      </c>
      <c r="K57" s="5">
        <f>ROUND(J57+(J57*$L$319),0)</f>
        <v>28051</v>
      </c>
      <c r="L57" s="6">
        <f>ROUND(I57*K57,0)</f>
        <v>142306089</v>
      </c>
      <c r="M57" s="166"/>
      <c r="N57" s="168"/>
      <c r="O57" s="82"/>
      <c r="P57" s="4">
        <f>ROUND(O57,0)</f>
        <v>0</v>
      </c>
      <c r="Q57" s="4">
        <f>ROUND(P57+(P57*$R$319),0)</f>
        <v>0</v>
      </c>
      <c r="R57" s="53">
        <f>ROUND(Q57*I57,0)</f>
        <v>0</v>
      </c>
      <c r="S57" s="161" t="str">
        <f t="shared" ref="S57" si="23">IF(OR(P57&lt;=0,P57&gt;J57,Q57&lt;=0,Q57&gt;K57,R57&lt;=0,R57&gt;L57,$R$325="NO CUMPLE"),"NO CUMPLE","CUMPLE")</f>
        <v>NO CUMPLE</v>
      </c>
      <c r="T57" s="52"/>
    </row>
    <row r="58" spans="1:20" ht="16.5" x14ac:dyDescent="0.35">
      <c r="A58" s="169"/>
      <c r="C58" s="93"/>
      <c r="D58" s="99"/>
      <c r="E58" s="99"/>
      <c r="F58" s="99"/>
      <c r="G58" s="100" t="s">
        <v>40</v>
      </c>
      <c r="H58" s="101"/>
      <c r="I58" s="102"/>
      <c r="J58" s="4"/>
      <c r="K58" s="5"/>
      <c r="L58" s="7">
        <f>SUBTOTAL(9,L57)</f>
        <v>142306089</v>
      </c>
      <c r="M58" s="166"/>
      <c r="N58" s="168"/>
      <c r="O58" s="82"/>
      <c r="P58" s="4"/>
      <c r="Q58" s="4"/>
      <c r="R58" s="54">
        <f>SUBTOTAL(9,R57)</f>
        <v>0</v>
      </c>
      <c r="S58" s="55"/>
      <c r="T58" s="52"/>
    </row>
    <row r="59" spans="1:20" ht="13.15" x14ac:dyDescent="0.35">
      <c r="A59" s="169"/>
      <c r="C59" s="90">
        <v>5</v>
      </c>
      <c r="D59" s="263" t="s">
        <v>109</v>
      </c>
      <c r="E59" s="263"/>
      <c r="F59" s="263"/>
      <c r="G59" s="263"/>
      <c r="H59" s="114"/>
      <c r="I59" s="92"/>
      <c r="J59" s="11"/>
      <c r="K59" s="12"/>
      <c r="L59" s="13"/>
      <c r="M59" s="166"/>
      <c r="N59" s="168"/>
      <c r="O59" s="84"/>
      <c r="P59" s="11"/>
      <c r="Q59" s="11"/>
      <c r="R59" s="59"/>
      <c r="S59" s="60"/>
      <c r="T59" s="61"/>
    </row>
    <row r="60" spans="1:20" ht="13.15" x14ac:dyDescent="0.35">
      <c r="A60" s="169"/>
      <c r="C60" s="103" t="s">
        <v>110</v>
      </c>
      <c r="D60" s="267" t="s">
        <v>111</v>
      </c>
      <c r="E60" s="267"/>
      <c r="F60" s="267"/>
      <c r="G60" s="267"/>
      <c r="H60" s="115"/>
      <c r="I60" s="116"/>
      <c r="J60" s="14"/>
      <c r="K60" s="15"/>
      <c r="L60" s="16"/>
      <c r="M60" s="166"/>
      <c r="N60" s="168"/>
      <c r="O60" s="85"/>
      <c r="P60" s="14"/>
      <c r="Q60" s="14"/>
      <c r="R60" s="62"/>
      <c r="S60" s="63"/>
      <c r="T60" s="52"/>
    </row>
    <row r="61" spans="1:20" ht="13.15" x14ac:dyDescent="0.35">
      <c r="A61" s="169"/>
      <c r="C61" s="117" t="s">
        <v>112</v>
      </c>
      <c r="D61" s="118" t="s">
        <v>113</v>
      </c>
      <c r="E61" s="118"/>
      <c r="F61" s="118"/>
      <c r="G61" s="119" t="s">
        <v>114</v>
      </c>
      <c r="H61" s="120" t="s">
        <v>20</v>
      </c>
      <c r="I61" s="94">
        <v>270</v>
      </c>
      <c r="J61" s="17">
        <v>3956</v>
      </c>
      <c r="K61" s="5">
        <f t="shared" ref="K61:K65" si="24">ROUND(J61+(J61*$L$319),0)</f>
        <v>5143</v>
      </c>
      <c r="L61" s="6">
        <f t="shared" ref="L61:L65" si="25">ROUND(I61*K61,0)</f>
        <v>1388610</v>
      </c>
      <c r="M61" s="166"/>
      <c r="N61" s="168"/>
      <c r="O61" s="82"/>
      <c r="P61" s="4">
        <f t="shared" ref="P61:P65" si="26">ROUND(O61,0)</f>
        <v>0</v>
      </c>
      <c r="Q61" s="4">
        <f t="shared" ref="Q61:Q65" si="27">ROUND(P61+(P61*$R$319),0)</f>
        <v>0</v>
      </c>
      <c r="R61" s="53">
        <f>ROUND(Q61*I61,0)</f>
        <v>0</v>
      </c>
      <c r="S61" s="161" t="str">
        <f t="shared" ref="S61:S65" si="28">IF(OR(P61&lt;=0,P61&gt;J61,Q61&lt;=0,Q61&gt;K61,R61&lt;=0,R61&gt;L61,$R$325="NO CUMPLE"),"NO CUMPLE","CUMPLE")</f>
        <v>NO CUMPLE</v>
      </c>
      <c r="T61" s="52"/>
    </row>
    <row r="62" spans="1:20" ht="13.15" x14ac:dyDescent="0.35">
      <c r="A62" s="169"/>
      <c r="C62" s="117" t="s">
        <v>115</v>
      </c>
      <c r="D62" s="96" t="s">
        <v>116</v>
      </c>
      <c r="E62" s="118"/>
      <c r="F62" s="118"/>
      <c r="G62" s="119" t="s">
        <v>117</v>
      </c>
      <c r="H62" s="120" t="s">
        <v>20</v>
      </c>
      <c r="I62" s="94">
        <v>180</v>
      </c>
      <c r="J62" s="17">
        <v>19138</v>
      </c>
      <c r="K62" s="5">
        <f t="shared" si="24"/>
        <v>24879</v>
      </c>
      <c r="L62" s="6">
        <f t="shared" si="25"/>
        <v>4478220</v>
      </c>
      <c r="M62" s="166"/>
      <c r="N62" s="168"/>
      <c r="O62" s="82"/>
      <c r="P62" s="4">
        <f t="shared" si="26"/>
        <v>0</v>
      </c>
      <c r="Q62" s="4">
        <f t="shared" si="27"/>
        <v>0</v>
      </c>
      <c r="R62" s="53">
        <f>ROUND(Q62*I62,0)</f>
        <v>0</v>
      </c>
      <c r="S62" s="161" t="str">
        <f t="shared" si="28"/>
        <v>NO CUMPLE</v>
      </c>
      <c r="T62" s="52"/>
    </row>
    <row r="63" spans="1:20" ht="13.15" x14ac:dyDescent="0.35">
      <c r="A63" s="169"/>
      <c r="C63" s="117" t="s">
        <v>118</v>
      </c>
      <c r="D63" s="96" t="s">
        <v>22</v>
      </c>
      <c r="E63" s="118"/>
      <c r="F63" s="118"/>
      <c r="G63" s="119" t="s">
        <v>119</v>
      </c>
      <c r="H63" s="120" t="s">
        <v>20</v>
      </c>
      <c r="I63" s="94">
        <v>55</v>
      </c>
      <c r="J63" s="18">
        <v>105851</v>
      </c>
      <c r="K63" s="5">
        <f t="shared" si="24"/>
        <v>137606</v>
      </c>
      <c r="L63" s="6">
        <f t="shared" si="25"/>
        <v>7568330</v>
      </c>
      <c r="M63" s="166"/>
      <c r="N63" s="168"/>
      <c r="O63" s="82"/>
      <c r="P63" s="4">
        <f t="shared" si="26"/>
        <v>0</v>
      </c>
      <c r="Q63" s="4">
        <f t="shared" si="27"/>
        <v>0</v>
      </c>
      <c r="R63" s="53">
        <f>ROUND(Q63*I63,0)</f>
        <v>0</v>
      </c>
      <c r="S63" s="161" t="str">
        <f t="shared" si="28"/>
        <v>NO CUMPLE</v>
      </c>
      <c r="T63" s="52"/>
    </row>
    <row r="64" spans="1:20" ht="25.5" x14ac:dyDescent="0.35">
      <c r="A64" s="169"/>
      <c r="C64" s="117" t="s">
        <v>120</v>
      </c>
      <c r="D64" s="96" t="s">
        <v>22</v>
      </c>
      <c r="E64" s="118"/>
      <c r="F64" s="118"/>
      <c r="G64" s="119" t="s">
        <v>121</v>
      </c>
      <c r="H64" s="120" t="s">
        <v>24</v>
      </c>
      <c r="I64" s="94">
        <v>2</v>
      </c>
      <c r="J64" s="18">
        <v>86901</v>
      </c>
      <c r="K64" s="5">
        <f t="shared" si="24"/>
        <v>112971</v>
      </c>
      <c r="L64" s="6">
        <f t="shared" si="25"/>
        <v>225942</v>
      </c>
      <c r="M64" s="166"/>
      <c r="N64" s="168"/>
      <c r="O64" s="82"/>
      <c r="P64" s="4">
        <f t="shared" si="26"/>
        <v>0</v>
      </c>
      <c r="Q64" s="4">
        <f t="shared" si="27"/>
        <v>0</v>
      </c>
      <c r="R64" s="53">
        <f>ROUND(Q64*I64,0)</f>
        <v>0</v>
      </c>
      <c r="S64" s="161" t="str">
        <f t="shared" si="28"/>
        <v>NO CUMPLE</v>
      </c>
      <c r="T64" s="52"/>
    </row>
    <row r="65" spans="1:20" ht="25.5" x14ac:dyDescent="0.35">
      <c r="A65" s="169"/>
      <c r="C65" s="117" t="s">
        <v>122</v>
      </c>
      <c r="D65" s="96" t="s">
        <v>22</v>
      </c>
      <c r="E65" s="118"/>
      <c r="F65" s="118"/>
      <c r="G65" s="119" t="s">
        <v>123</v>
      </c>
      <c r="H65" s="120" t="s">
        <v>24</v>
      </c>
      <c r="I65" s="94">
        <v>2</v>
      </c>
      <c r="J65" s="18">
        <v>117501</v>
      </c>
      <c r="K65" s="5">
        <f t="shared" si="24"/>
        <v>152751</v>
      </c>
      <c r="L65" s="6">
        <f t="shared" si="25"/>
        <v>305502</v>
      </c>
      <c r="M65" s="166"/>
      <c r="N65" s="168"/>
      <c r="O65" s="82"/>
      <c r="P65" s="4">
        <f t="shared" si="26"/>
        <v>0</v>
      </c>
      <c r="Q65" s="4">
        <f t="shared" si="27"/>
        <v>0</v>
      </c>
      <c r="R65" s="53">
        <f>ROUND(Q65*I65,0)</f>
        <v>0</v>
      </c>
      <c r="S65" s="161" t="str">
        <f t="shared" si="28"/>
        <v>NO CUMPLE</v>
      </c>
      <c r="T65" s="52"/>
    </row>
    <row r="66" spans="1:20" ht="16.5" x14ac:dyDescent="0.35">
      <c r="A66" s="169"/>
      <c r="C66" s="93"/>
      <c r="D66" s="99"/>
      <c r="E66" s="99"/>
      <c r="F66" s="99"/>
      <c r="G66" s="121" t="s">
        <v>40</v>
      </c>
      <c r="H66" s="101"/>
      <c r="I66" s="102"/>
      <c r="J66" s="4"/>
      <c r="K66" s="5"/>
      <c r="L66" s="7">
        <f>SUBTOTAL(9,L61:L65)</f>
        <v>13966604</v>
      </c>
      <c r="M66" s="166"/>
      <c r="N66" s="168"/>
      <c r="O66" s="82"/>
      <c r="P66" s="4"/>
      <c r="Q66" s="4"/>
      <c r="R66" s="54">
        <f>SUBTOTAL(9,R61:R65)</f>
        <v>0</v>
      </c>
      <c r="S66" s="55"/>
      <c r="T66" s="52"/>
    </row>
    <row r="67" spans="1:20" ht="13.15" x14ac:dyDescent="0.35">
      <c r="A67" s="169"/>
      <c r="C67" s="122" t="s">
        <v>124</v>
      </c>
      <c r="D67" s="263" t="s">
        <v>125</v>
      </c>
      <c r="E67" s="263"/>
      <c r="F67" s="263"/>
      <c r="G67" s="263"/>
      <c r="H67" s="91"/>
      <c r="I67" s="92"/>
      <c r="J67" s="1"/>
      <c r="K67" s="2"/>
      <c r="L67" s="3"/>
      <c r="M67" s="166"/>
      <c r="N67" s="168"/>
      <c r="O67" s="81"/>
      <c r="P67" s="1"/>
      <c r="Q67" s="1"/>
      <c r="R67" s="56"/>
      <c r="S67" s="51"/>
      <c r="T67" s="52"/>
    </row>
    <row r="68" spans="1:20" ht="13.15" x14ac:dyDescent="0.35">
      <c r="A68" s="169"/>
      <c r="C68" s="123" t="s">
        <v>126</v>
      </c>
      <c r="D68" s="266" t="s">
        <v>127</v>
      </c>
      <c r="E68" s="266"/>
      <c r="F68" s="266"/>
      <c r="G68" s="266"/>
      <c r="H68" s="115"/>
      <c r="I68" s="116"/>
      <c r="J68" s="14"/>
      <c r="K68" s="15"/>
      <c r="L68" s="16"/>
      <c r="M68" s="166"/>
      <c r="N68" s="168"/>
      <c r="O68" s="85"/>
      <c r="P68" s="14"/>
      <c r="Q68" s="14"/>
      <c r="R68" s="62"/>
      <c r="S68" s="63"/>
      <c r="T68" s="52"/>
    </row>
    <row r="69" spans="1:20" ht="51" x14ac:dyDescent="0.35">
      <c r="A69" s="169"/>
      <c r="C69" s="117" t="s">
        <v>128</v>
      </c>
      <c r="D69" s="96" t="s">
        <v>129</v>
      </c>
      <c r="E69" s="118"/>
      <c r="F69" s="118"/>
      <c r="G69" s="119" t="s">
        <v>130</v>
      </c>
      <c r="H69" s="120" t="s">
        <v>24</v>
      </c>
      <c r="I69" s="94">
        <v>1</v>
      </c>
      <c r="J69" s="19">
        <v>758733</v>
      </c>
      <c r="K69" s="5">
        <f t="shared" ref="K69:K72" si="29">ROUND(J69+(J69*$L$319),0)</f>
        <v>986353</v>
      </c>
      <c r="L69" s="6">
        <f t="shared" ref="L69:L72" si="30">ROUND(I69*K69,0)</f>
        <v>986353</v>
      </c>
      <c r="M69" s="166"/>
      <c r="N69" s="168"/>
      <c r="O69" s="82"/>
      <c r="P69" s="4">
        <f t="shared" ref="P69:P72" si="31">ROUND(O69,0)</f>
        <v>0</v>
      </c>
      <c r="Q69" s="4">
        <f t="shared" ref="Q69:Q72" si="32">ROUND(P69+(P69*$R$319),0)</f>
        <v>0</v>
      </c>
      <c r="R69" s="53">
        <f>ROUND(Q69*I69,0)</f>
        <v>0</v>
      </c>
      <c r="S69" s="161" t="str">
        <f t="shared" ref="S69:S72" si="33">IF(OR(P69&lt;=0,P69&gt;J69,Q69&lt;=0,Q69&gt;K69,R69&lt;=0,R69&gt;L69,$R$325="NO CUMPLE"),"NO CUMPLE","CUMPLE")</f>
        <v>NO CUMPLE</v>
      </c>
      <c r="T69" s="52"/>
    </row>
    <row r="70" spans="1:20" ht="38.25" x14ac:dyDescent="0.35">
      <c r="A70" s="169"/>
      <c r="C70" s="117" t="s">
        <v>131</v>
      </c>
      <c r="D70" s="96" t="s">
        <v>22</v>
      </c>
      <c r="E70" s="118"/>
      <c r="F70" s="118"/>
      <c r="G70" s="119" t="s">
        <v>132</v>
      </c>
      <c r="H70" s="120" t="s">
        <v>24</v>
      </c>
      <c r="I70" s="94">
        <v>1</v>
      </c>
      <c r="J70" s="19">
        <v>4223346</v>
      </c>
      <c r="K70" s="5">
        <f t="shared" si="29"/>
        <v>5490350</v>
      </c>
      <c r="L70" s="6">
        <f t="shared" si="30"/>
        <v>5490350</v>
      </c>
      <c r="M70" s="166"/>
      <c r="N70" s="168"/>
      <c r="O70" s="82"/>
      <c r="P70" s="4">
        <f t="shared" si="31"/>
        <v>0</v>
      </c>
      <c r="Q70" s="4">
        <f t="shared" si="32"/>
        <v>0</v>
      </c>
      <c r="R70" s="53">
        <f>ROUND(Q70*I70,0)</f>
        <v>0</v>
      </c>
      <c r="S70" s="161" t="str">
        <f t="shared" si="33"/>
        <v>NO CUMPLE</v>
      </c>
      <c r="T70" s="52"/>
    </row>
    <row r="71" spans="1:20" ht="13.15" x14ac:dyDescent="0.35">
      <c r="A71" s="169"/>
      <c r="C71" s="117" t="s">
        <v>133</v>
      </c>
      <c r="D71" s="96" t="s">
        <v>22</v>
      </c>
      <c r="E71" s="118"/>
      <c r="F71" s="118"/>
      <c r="G71" s="119" t="s">
        <v>134</v>
      </c>
      <c r="H71" s="120" t="s">
        <v>16</v>
      </c>
      <c r="I71" s="94">
        <v>1</v>
      </c>
      <c r="J71" s="19">
        <v>379577</v>
      </c>
      <c r="K71" s="5">
        <f t="shared" si="29"/>
        <v>493450</v>
      </c>
      <c r="L71" s="6">
        <f t="shared" si="30"/>
        <v>493450</v>
      </c>
      <c r="M71" s="166"/>
      <c r="N71" s="168"/>
      <c r="O71" s="82"/>
      <c r="P71" s="4">
        <f t="shared" si="31"/>
        <v>0</v>
      </c>
      <c r="Q71" s="4">
        <f t="shared" si="32"/>
        <v>0</v>
      </c>
      <c r="R71" s="53">
        <f>ROUND(Q71*I71,0)</f>
        <v>0</v>
      </c>
      <c r="S71" s="161" t="str">
        <f t="shared" si="33"/>
        <v>NO CUMPLE</v>
      </c>
      <c r="T71" s="52"/>
    </row>
    <row r="72" spans="1:20" ht="13.15" x14ac:dyDescent="0.35">
      <c r="A72" s="169"/>
      <c r="C72" s="117" t="s">
        <v>135</v>
      </c>
      <c r="D72" s="96" t="s">
        <v>136</v>
      </c>
      <c r="E72" s="118"/>
      <c r="F72" s="118"/>
      <c r="G72" s="124" t="s">
        <v>137</v>
      </c>
      <c r="H72" s="120" t="s">
        <v>16</v>
      </c>
      <c r="I72" s="94">
        <v>1</v>
      </c>
      <c r="J72" s="18">
        <v>352998</v>
      </c>
      <c r="K72" s="5">
        <f t="shared" si="29"/>
        <v>458897</v>
      </c>
      <c r="L72" s="6">
        <f t="shared" si="30"/>
        <v>458897</v>
      </c>
      <c r="M72" s="166"/>
      <c r="N72" s="168"/>
      <c r="O72" s="82"/>
      <c r="P72" s="4">
        <f t="shared" si="31"/>
        <v>0</v>
      </c>
      <c r="Q72" s="4">
        <f t="shared" si="32"/>
        <v>0</v>
      </c>
      <c r="R72" s="53">
        <f>ROUND(Q72*I72,0)</f>
        <v>0</v>
      </c>
      <c r="S72" s="161" t="str">
        <f t="shared" si="33"/>
        <v>NO CUMPLE</v>
      </c>
      <c r="T72" s="52"/>
    </row>
    <row r="73" spans="1:20" ht="16.5" x14ac:dyDescent="0.35">
      <c r="A73" s="169"/>
      <c r="C73" s="93"/>
      <c r="D73" s="99"/>
      <c r="E73" s="99"/>
      <c r="F73" s="99"/>
      <c r="G73" s="121" t="s">
        <v>40</v>
      </c>
      <c r="H73" s="101"/>
      <c r="I73" s="102"/>
      <c r="J73" s="4"/>
      <c r="K73" s="5"/>
      <c r="L73" s="7">
        <f>SUBTOTAL(9,L69:L72)</f>
        <v>7429050</v>
      </c>
      <c r="M73" s="166"/>
      <c r="N73" s="168"/>
      <c r="O73" s="82"/>
      <c r="P73" s="4"/>
      <c r="Q73" s="4"/>
      <c r="R73" s="54">
        <f>SUBTOTAL(9,R69:R72)</f>
        <v>0</v>
      </c>
      <c r="S73" s="55"/>
      <c r="T73" s="52"/>
    </row>
    <row r="74" spans="1:20" ht="13.15" x14ac:dyDescent="0.35">
      <c r="A74" s="169"/>
      <c r="C74" s="123" t="s">
        <v>138</v>
      </c>
      <c r="D74" s="266" t="s">
        <v>139</v>
      </c>
      <c r="E74" s="266"/>
      <c r="F74" s="266"/>
      <c r="G74" s="266"/>
      <c r="H74" s="115"/>
      <c r="I74" s="116"/>
      <c r="J74" s="14"/>
      <c r="K74" s="15"/>
      <c r="L74" s="16"/>
      <c r="M74" s="166"/>
      <c r="N74" s="168"/>
      <c r="O74" s="85"/>
      <c r="P74" s="14"/>
      <c r="Q74" s="14"/>
      <c r="R74" s="62"/>
      <c r="S74" s="63"/>
      <c r="T74" s="52"/>
    </row>
    <row r="75" spans="1:20" ht="25.5" x14ac:dyDescent="0.35">
      <c r="A75" s="169"/>
      <c r="C75" s="117" t="s">
        <v>140</v>
      </c>
      <c r="D75" s="96" t="s">
        <v>22</v>
      </c>
      <c r="E75" s="118"/>
      <c r="F75" s="118"/>
      <c r="G75" s="124" t="s">
        <v>141</v>
      </c>
      <c r="H75" s="120" t="s">
        <v>24</v>
      </c>
      <c r="I75" s="94">
        <v>1</v>
      </c>
      <c r="J75" s="18">
        <v>4415876</v>
      </c>
      <c r="K75" s="5">
        <f>ROUND(J75+(J75*$L$319),0)</f>
        <v>5740639</v>
      </c>
      <c r="L75" s="6">
        <f>ROUND(I75*K75,0)</f>
        <v>5740639</v>
      </c>
      <c r="M75" s="166"/>
      <c r="N75" s="168"/>
      <c r="O75" s="82"/>
      <c r="P75" s="4">
        <f>ROUND(O75,0)</f>
        <v>0</v>
      </c>
      <c r="Q75" s="4">
        <f>ROUND(P75+(P75*$R$319),0)</f>
        <v>0</v>
      </c>
      <c r="R75" s="53">
        <f>ROUND(Q75*I75,0)</f>
        <v>0</v>
      </c>
      <c r="S75" s="161" t="str">
        <f t="shared" ref="S75" si="34">IF(OR(P75&lt;=0,P75&gt;J75,Q75&lt;=0,Q75&gt;K75,R75&lt;=0,R75&gt;L75,$R$325="NO CUMPLE"),"NO CUMPLE","CUMPLE")</f>
        <v>NO CUMPLE</v>
      </c>
      <c r="T75" s="52"/>
    </row>
    <row r="76" spans="1:20" ht="16.5" x14ac:dyDescent="0.35">
      <c r="A76" s="169"/>
      <c r="C76" s="93"/>
      <c r="D76" s="99"/>
      <c r="E76" s="99"/>
      <c r="F76" s="99"/>
      <c r="G76" s="121" t="s">
        <v>40</v>
      </c>
      <c r="H76" s="101"/>
      <c r="I76" s="102"/>
      <c r="J76" s="4"/>
      <c r="K76" s="5"/>
      <c r="L76" s="7">
        <f>SUBTOTAL(9,L75)</f>
        <v>5740639</v>
      </c>
      <c r="M76" s="166"/>
      <c r="N76" s="168"/>
      <c r="O76" s="82"/>
      <c r="P76" s="4"/>
      <c r="Q76" s="4"/>
      <c r="R76" s="54">
        <f>SUBTOTAL(9,R75)</f>
        <v>0</v>
      </c>
      <c r="S76" s="55"/>
      <c r="T76" s="52"/>
    </row>
    <row r="77" spans="1:20" ht="13.15" x14ac:dyDescent="0.35">
      <c r="A77" s="169"/>
      <c r="C77" s="123" t="s">
        <v>142</v>
      </c>
      <c r="D77" s="266" t="s">
        <v>143</v>
      </c>
      <c r="E77" s="266"/>
      <c r="F77" s="266"/>
      <c r="G77" s="266"/>
      <c r="H77" s="115"/>
      <c r="I77" s="116"/>
      <c r="J77" s="14"/>
      <c r="K77" s="15"/>
      <c r="L77" s="16"/>
      <c r="M77" s="166"/>
      <c r="N77" s="168"/>
      <c r="O77" s="85"/>
      <c r="P77" s="14"/>
      <c r="Q77" s="14"/>
      <c r="R77" s="62"/>
      <c r="S77" s="63"/>
      <c r="T77" s="52"/>
    </row>
    <row r="78" spans="1:20" ht="38.25" x14ac:dyDescent="0.35">
      <c r="A78" s="169"/>
      <c r="C78" s="117" t="s">
        <v>144</v>
      </c>
      <c r="D78" s="96" t="s">
        <v>22</v>
      </c>
      <c r="E78" s="118"/>
      <c r="F78" s="118"/>
      <c r="G78" s="125" t="s">
        <v>610</v>
      </c>
      <c r="H78" s="120" t="s">
        <v>20</v>
      </c>
      <c r="I78" s="94">
        <v>55</v>
      </c>
      <c r="J78" s="18">
        <v>144517</v>
      </c>
      <c r="K78" s="5">
        <f t="shared" ref="K78:K79" si="35">ROUND(J78+(J78*$L$319),0)</f>
        <v>187872</v>
      </c>
      <c r="L78" s="6">
        <f t="shared" ref="L78:L79" si="36">ROUND(I78*K78,0)</f>
        <v>10332960</v>
      </c>
      <c r="M78" s="166"/>
      <c r="N78" s="168"/>
      <c r="O78" s="82"/>
      <c r="P78" s="4">
        <f t="shared" ref="P78:P79" si="37">ROUND(O78,0)</f>
        <v>0</v>
      </c>
      <c r="Q78" s="4">
        <f t="shared" ref="Q78:Q79" si="38">ROUND(P78+(P78*$R$319),0)</f>
        <v>0</v>
      </c>
      <c r="R78" s="53">
        <f>ROUND(Q78*I78,0)</f>
        <v>0</v>
      </c>
      <c r="S78" s="161" t="str">
        <f t="shared" ref="S78:S79" si="39">IF(OR(P78&lt;=0,P78&gt;J78,Q78&lt;=0,Q78&gt;K78,R78&lt;=0,R78&gt;L78,$R$325="NO CUMPLE"),"NO CUMPLE","CUMPLE")</f>
        <v>NO CUMPLE</v>
      </c>
      <c r="T78" s="52"/>
    </row>
    <row r="79" spans="1:20" ht="25.5" x14ac:dyDescent="0.35">
      <c r="A79" s="169"/>
      <c r="C79" s="117" t="s">
        <v>146</v>
      </c>
      <c r="D79" s="96" t="s">
        <v>22</v>
      </c>
      <c r="E79" s="118"/>
      <c r="F79" s="118"/>
      <c r="G79" s="125" t="s">
        <v>611</v>
      </c>
      <c r="H79" s="120" t="s">
        <v>20</v>
      </c>
      <c r="I79" s="94">
        <v>415</v>
      </c>
      <c r="J79" s="18">
        <v>51559</v>
      </c>
      <c r="K79" s="5">
        <f t="shared" si="35"/>
        <v>67027</v>
      </c>
      <c r="L79" s="6">
        <f t="shared" si="36"/>
        <v>27816205</v>
      </c>
      <c r="M79" s="166"/>
      <c r="N79" s="168"/>
      <c r="O79" s="82"/>
      <c r="P79" s="4">
        <f t="shared" si="37"/>
        <v>0</v>
      </c>
      <c r="Q79" s="4">
        <f t="shared" si="38"/>
        <v>0</v>
      </c>
      <c r="R79" s="53">
        <f>ROUND(Q79*I79,0)</f>
        <v>0</v>
      </c>
      <c r="S79" s="161" t="str">
        <f t="shared" si="39"/>
        <v>NO CUMPLE</v>
      </c>
      <c r="T79" s="52"/>
    </row>
    <row r="80" spans="1:20" ht="16.5" x14ac:dyDescent="0.35">
      <c r="A80" s="169"/>
      <c r="C80" s="93"/>
      <c r="D80" s="99"/>
      <c r="E80" s="99"/>
      <c r="F80" s="99"/>
      <c r="G80" s="121" t="s">
        <v>40</v>
      </c>
      <c r="H80" s="101"/>
      <c r="I80" s="102"/>
      <c r="J80" s="4"/>
      <c r="K80" s="5"/>
      <c r="L80" s="7">
        <f>SUBTOTAL(9,L78:L79)</f>
        <v>38149165</v>
      </c>
      <c r="M80" s="166"/>
      <c r="N80" s="168"/>
      <c r="O80" s="82"/>
      <c r="P80" s="4"/>
      <c r="Q80" s="4"/>
      <c r="R80" s="54">
        <f>SUBTOTAL(9,R78:R79)</f>
        <v>0</v>
      </c>
      <c r="S80" s="55"/>
      <c r="T80" s="52"/>
    </row>
    <row r="81" spans="1:20" ht="13.15" x14ac:dyDescent="0.35">
      <c r="A81" s="169"/>
      <c r="C81" s="123" t="s">
        <v>148</v>
      </c>
      <c r="D81" s="266" t="s">
        <v>149</v>
      </c>
      <c r="E81" s="266"/>
      <c r="F81" s="266"/>
      <c r="G81" s="266"/>
      <c r="H81" s="115"/>
      <c r="I81" s="116"/>
      <c r="J81" s="14"/>
      <c r="K81" s="15"/>
      <c r="L81" s="16"/>
      <c r="M81" s="166"/>
      <c r="N81" s="168"/>
      <c r="O81" s="85"/>
      <c r="P81" s="14"/>
      <c r="Q81" s="14"/>
      <c r="R81" s="62"/>
      <c r="S81" s="63"/>
      <c r="T81" s="52"/>
    </row>
    <row r="82" spans="1:20" ht="51" x14ac:dyDescent="0.35">
      <c r="A82" s="169"/>
      <c r="C82" s="117" t="s">
        <v>150</v>
      </c>
      <c r="D82" s="96" t="s">
        <v>151</v>
      </c>
      <c r="E82" s="118"/>
      <c r="F82" s="118"/>
      <c r="G82" s="125" t="s">
        <v>145</v>
      </c>
      <c r="H82" s="120" t="s">
        <v>24</v>
      </c>
      <c r="I82" s="94">
        <v>11</v>
      </c>
      <c r="J82" s="4">
        <v>101544</v>
      </c>
      <c r="K82" s="5">
        <f>ROUNDUP(J82+(J82*$L$319),0)</f>
        <v>132008</v>
      </c>
      <c r="L82" s="6">
        <f t="shared" ref="L82:L83" si="40">ROUND(I82*K82,0)</f>
        <v>1452088</v>
      </c>
      <c r="M82" s="166"/>
      <c r="N82" s="168"/>
      <c r="O82" s="82"/>
      <c r="P82" s="4">
        <f t="shared" ref="P82:P83" si="41">ROUND(O82,0)</f>
        <v>0</v>
      </c>
      <c r="Q82" s="4">
        <f>ROUNDUP(P82+(P82*$R$319),0)</f>
        <v>0</v>
      </c>
      <c r="R82" s="53">
        <f>ROUND(Q82*I82,0)</f>
        <v>0</v>
      </c>
      <c r="S82" s="161" t="str">
        <f t="shared" ref="S82:S83" si="42">IF(OR(P82&lt;=0,P82&gt;J82,Q82&lt;=0,Q82&gt;K82,R82&lt;=0,R82&gt;L82,$R$325="NO CUMPLE"),"NO CUMPLE","CUMPLE")</f>
        <v>NO CUMPLE</v>
      </c>
      <c r="T82" s="52"/>
    </row>
    <row r="83" spans="1:20" ht="51" x14ac:dyDescent="0.35">
      <c r="A83" s="169"/>
      <c r="C83" s="117" t="s">
        <v>152</v>
      </c>
      <c r="D83" s="96" t="s">
        <v>22</v>
      </c>
      <c r="E83" s="118"/>
      <c r="F83" s="118"/>
      <c r="G83" s="125" t="s">
        <v>147</v>
      </c>
      <c r="H83" s="120" t="s">
        <v>24</v>
      </c>
      <c r="I83" s="94">
        <v>7</v>
      </c>
      <c r="J83" s="18">
        <v>175726</v>
      </c>
      <c r="K83" s="5">
        <f t="shared" ref="K83" si="43">ROUND(J83+(J83*$L$319),0)</f>
        <v>228444</v>
      </c>
      <c r="L83" s="6">
        <f t="shared" si="40"/>
        <v>1599108</v>
      </c>
      <c r="M83" s="166"/>
      <c r="N83" s="168"/>
      <c r="O83" s="82"/>
      <c r="P83" s="4">
        <f t="shared" si="41"/>
        <v>0</v>
      </c>
      <c r="Q83" s="4">
        <f t="shared" ref="Q83" si="44">ROUND(P83+(P83*$R$319),0)</f>
        <v>0</v>
      </c>
      <c r="R83" s="53">
        <f>ROUND(Q83*I83,0)</f>
        <v>0</v>
      </c>
      <c r="S83" s="161" t="str">
        <f t="shared" si="42"/>
        <v>NO CUMPLE</v>
      </c>
      <c r="T83" s="52"/>
    </row>
    <row r="84" spans="1:20" ht="16.5" x14ac:dyDescent="0.35">
      <c r="A84" s="169"/>
      <c r="C84" s="93"/>
      <c r="D84" s="99"/>
      <c r="E84" s="99"/>
      <c r="F84" s="99"/>
      <c r="G84" s="121" t="s">
        <v>40</v>
      </c>
      <c r="H84" s="101"/>
      <c r="I84" s="102"/>
      <c r="J84" s="4"/>
      <c r="K84" s="5"/>
      <c r="L84" s="7">
        <f>SUBTOTAL(9,L82:L83)</f>
        <v>3051196</v>
      </c>
      <c r="M84" s="166"/>
      <c r="N84" s="168"/>
      <c r="O84" s="82"/>
      <c r="P84" s="4"/>
      <c r="Q84" s="4"/>
      <c r="R84" s="54">
        <f>SUBTOTAL(9,R82:R83)</f>
        <v>0</v>
      </c>
      <c r="S84" s="55"/>
      <c r="T84" s="52"/>
    </row>
    <row r="85" spans="1:20" ht="13.15" x14ac:dyDescent="0.35">
      <c r="A85" s="169"/>
      <c r="C85" s="103" t="s">
        <v>153</v>
      </c>
      <c r="D85" s="267" t="s">
        <v>154</v>
      </c>
      <c r="E85" s="267"/>
      <c r="F85" s="267"/>
      <c r="G85" s="267"/>
      <c r="H85" s="115"/>
      <c r="I85" s="116"/>
      <c r="J85" s="14"/>
      <c r="K85" s="15"/>
      <c r="L85" s="16"/>
      <c r="M85" s="166"/>
      <c r="N85" s="168"/>
      <c r="O85" s="85"/>
      <c r="P85" s="14"/>
      <c r="Q85" s="14"/>
      <c r="R85" s="62"/>
      <c r="S85" s="63"/>
      <c r="T85" s="52"/>
    </row>
    <row r="86" spans="1:20" ht="13.15" x14ac:dyDescent="0.35">
      <c r="A86" s="169"/>
      <c r="C86" s="123" t="s">
        <v>155</v>
      </c>
      <c r="D86" s="267" t="s">
        <v>156</v>
      </c>
      <c r="E86" s="267"/>
      <c r="F86" s="267"/>
      <c r="G86" s="267"/>
      <c r="H86" s="115"/>
      <c r="I86" s="116"/>
      <c r="J86" s="14"/>
      <c r="K86" s="15"/>
      <c r="L86" s="16"/>
      <c r="M86" s="166"/>
      <c r="N86" s="168"/>
      <c r="O86" s="85"/>
      <c r="P86" s="14"/>
      <c r="Q86" s="14"/>
      <c r="R86" s="62"/>
      <c r="S86" s="63"/>
      <c r="T86" s="52"/>
    </row>
    <row r="87" spans="1:20" ht="51" x14ac:dyDescent="0.35">
      <c r="A87" s="169"/>
      <c r="C87" s="117" t="s">
        <v>157</v>
      </c>
      <c r="D87" s="96" t="s">
        <v>158</v>
      </c>
      <c r="E87" s="94"/>
      <c r="F87" s="94"/>
      <c r="G87" s="126" t="s">
        <v>159</v>
      </c>
      <c r="H87" s="127" t="s">
        <v>24</v>
      </c>
      <c r="I87" s="94">
        <v>63</v>
      </c>
      <c r="J87" s="17">
        <v>126882</v>
      </c>
      <c r="K87" s="5">
        <f t="shared" ref="K87:K95" si="45">ROUND(J87+(J87*$L$319),0)</f>
        <v>164947</v>
      </c>
      <c r="L87" s="6">
        <f t="shared" ref="L87:L98" si="46">ROUND(I87*K87,0)</f>
        <v>10391661</v>
      </c>
      <c r="M87" s="166"/>
      <c r="N87" s="168"/>
      <c r="O87" s="82"/>
      <c r="P87" s="4">
        <f t="shared" ref="P87:P98" si="47">ROUND(O87,0)</f>
        <v>0</v>
      </c>
      <c r="Q87" s="4">
        <f t="shared" ref="Q87:Q95" si="48">ROUND(P87+(P87*$R$319),0)</f>
        <v>0</v>
      </c>
      <c r="R87" s="53">
        <f t="shared" ref="R87:R98" si="49">ROUND(Q87*I87,0)</f>
        <v>0</v>
      </c>
      <c r="S87" s="161" t="str">
        <f t="shared" ref="S87:S98" si="50">IF(OR(P87&lt;=0,P87&gt;J87,Q87&lt;=0,Q87&gt;K87,R87&lt;=0,R87&gt;L87,$R$325="NO CUMPLE"),"NO CUMPLE","CUMPLE")</f>
        <v>NO CUMPLE</v>
      </c>
      <c r="T87" s="52"/>
    </row>
    <row r="88" spans="1:20" ht="25.5" x14ac:dyDescent="0.35">
      <c r="A88" s="169"/>
      <c r="C88" s="117" t="s">
        <v>160</v>
      </c>
      <c r="D88" s="96" t="s">
        <v>22</v>
      </c>
      <c r="E88" s="94"/>
      <c r="F88" s="94"/>
      <c r="G88" s="126" t="s">
        <v>161</v>
      </c>
      <c r="H88" s="127" t="s">
        <v>24</v>
      </c>
      <c r="I88" s="94">
        <v>7</v>
      </c>
      <c r="J88" s="18">
        <v>98989</v>
      </c>
      <c r="K88" s="5">
        <f t="shared" si="45"/>
        <v>128686</v>
      </c>
      <c r="L88" s="6">
        <f t="shared" si="46"/>
        <v>900802</v>
      </c>
      <c r="M88" s="166"/>
      <c r="N88" s="168"/>
      <c r="O88" s="82"/>
      <c r="P88" s="4">
        <f t="shared" si="47"/>
        <v>0</v>
      </c>
      <c r="Q88" s="4">
        <f t="shared" si="48"/>
        <v>0</v>
      </c>
      <c r="R88" s="53">
        <f t="shared" si="49"/>
        <v>0</v>
      </c>
      <c r="S88" s="161" t="str">
        <f t="shared" si="50"/>
        <v>NO CUMPLE</v>
      </c>
      <c r="T88" s="52"/>
    </row>
    <row r="89" spans="1:20" ht="13.15" x14ac:dyDescent="0.35">
      <c r="A89" s="169"/>
      <c r="C89" s="117" t="s">
        <v>162</v>
      </c>
      <c r="D89" s="96" t="s">
        <v>22</v>
      </c>
      <c r="E89" s="94"/>
      <c r="F89" s="94"/>
      <c r="G89" s="126" t="s">
        <v>163</v>
      </c>
      <c r="H89" s="127" t="s">
        <v>24</v>
      </c>
      <c r="I89" s="94">
        <v>5</v>
      </c>
      <c r="J89" s="18">
        <v>92739</v>
      </c>
      <c r="K89" s="5">
        <f t="shared" si="45"/>
        <v>120561</v>
      </c>
      <c r="L89" s="6">
        <f t="shared" si="46"/>
        <v>602805</v>
      </c>
      <c r="M89" s="166"/>
      <c r="N89" s="168"/>
      <c r="O89" s="82"/>
      <c r="P89" s="4">
        <f t="shared" si="47"/>
        <v>0</v>
      </c>
      <c r="Q89" s="4">
        <f t="shared" si="48"/>
        <v>0</v>
      </c>
      <c r="R89" s="53">
        <f t="shared" si="49"/>
        <v>0</v>
      </c>
      <c r="S89" s="161" t="str">
        <f t="shared" si="50"/>
        <v>NO CUMPLE</v>
      </c>
      <c r="T89" s="52"/>
    </row>
    <row r="90" spans="1:20" ht="13.15" x14ac:dyDescent="0.35">
      <c r="A90" s="169"/>
      <c r="C90" s="117" t="s">
        <v>164</v>
      </c>
      <c r="D90" s="96" t="s">
        <v>22</v>
      </c>
      <c r="E90" s="94"/>
      <c r="F90" s="94"/>
      <c r="G90" s="126" t="s">
        <v>165</v>
      </c>
      <c r="H90" s="127" t="s">
        <v>24</v>
      </c>
      <c r="I90" s="94">
        <v>4</v>
      </c>
      <c r="J90" s="18">
        <v>88339</v>
      </c>
      <c r="K90" s="5">
        <f t="shared" si="45"/>
        <v>114841</v>
      </c>
      <c r="L90" s="6">
        <f t="shared" si="46"/>
        <v>459364</v>
      </c>
      <c r="M90" s="166"/>
      <c r="N90" s="168"/>
      <c r="O90" s="82"/>
      <c r="P90" s="4">
        <f t="shared" si="47"/>
        <v>0</v>
      </c>
      <c r="Q90" s="4">
        <f t="shared" si="48"/>
        <v>0</v>
      </c>
      <c r="R90" s="53">
        <f t="shared" si="49"/>
        <v>0</v>
      </c>
      <c r="S90" s="161" t="str">
        <f t="shared" si="50"/>
        <v>NO CUMPLE</v>
      </c>
      <c r="T90" s="52"/>
    </row>
    <row r="91" spans="1:20" ht="25.5" x14ac:dyDescent="0.35">
      <c r="A91" s="169"/>
      <c r="C91" s="117" t="s">
        <v>166</v>
      </c>
      <c r="D91" s="96" t="s">
        <v>22</v>
      </c>
      <c r="E91" s="94"/>
      <c r="F91" s="94"/>
      <c r="G91" s="95" t="s">
        <v>167</v>
      </c>
      <c r="H91" s="127" t="s">
        <v>24</v>
      </c>
      <c r="I91" s="94">
        <v>20</v>
      </c>
      <c r="J91" s="18">
        <v>248089</v>
      </c>
      <c r="K91" s="5">
        <f t="shared" si="45"/>
        <v>322516</v>
      </c>
      <c r="L91" s="6">
        <f t="shared" si="46"/>
        <v>6450320</v>
      </c>
      <c r="M91" s="166"/>
      <c r="N91" s="168"/>
      <c r="O91" s="82"/>
      <c r="P91" s="4">
        <f t="shared" si="47"/>
        <v>0</v>
      </c>
      <c r="Q91" s="4">
        <f t="shared" si="48"/>
        <v>0</v>
      </c>
      <c r="R91" s="53">
        <f t="shared" si="49"/>
        <v>0</v>
      </c>
      <c r="S91" s="161" t="str">
        <f t="shared" si="50"/>
        <v>NO CUMPLE</v>
      </c>
      <c r="T91" s="52"/>
    </row>
    <row r="92" spans="1:20" ht="13.15" x14ac:dyDescent="0.35">
      <c r="A92" s="169"/>
      <c r="C92" s="117" t="s">
        <v>168</v>
      </c>
      <c r="D92" s="96" t="s">
        <v>22</v>
      </c>
      <c r="E92" s="94"/>
      <c r="F92" s="94"/>
      <c r="G92" s="95" t="s">
        <v>169</v>
      </c>
      <c r="H92" s="127" t="s">
        <v>24</v>
      </c>
      <c r="I92" s="94">
        <v>18</v>
      </c>
      <c r="J92" s="18">
        <v>338089</v>
      </c>
      <c r="K92" s="5">
        <f t="shared" si="45"/>
        <v>439516</v>
      </c>
      <c r="L92" s="6">
        <f t="shared" si="46"/>
        <v>7911288</v>
      </c>
      <c r="M92" s="166"/>
      <c r="N92" s="168"/>
      <c r="O92" s="82"/>
      <c r="P92" s="4">
        <f t="shared" si="47"/>
        <v>0</v>
      </c>
      <c r="Q92" s="4">
        <f t="shared" si="48"/>
        <v>0</v>
      </c>
      <c r="R92" s="53">
        <f t="shared" si="49"/>
        <v>0</v>
      </c>
      <c r="S92" s="161" t="str">
        <f t="shared" si="50"/>
        <v>NO CUMPLE</v>
      </c>
      <c r="T92" s="52"/>
    </row>
    <row r="93" spans="1:20" ht="25.5" x14ac:dyDescent="0.35">
      <c r="A93" s="169"/>
      <c r="C93" s="117" t="s">
        <v>170</v>
      </c>
      <c r="D93" s="96" t="s">
        <v>22</v>
      </c>
      <c r="E93" s="94"/>
      <c r="F93" s="94"/>
      <c r="G93" s="95" t="s">
        <v>171</v>
      </c>
      <c r="H93" s="96" t="s">
        <v>20</v>
      </c>
      <c r="I93" s="94">
        <v>2</v>
      </c>
      <c r="J93" s="20">
        <v>320239</v>
      </c>
      <c r="K93" s="5">
        <f t="shared" si="45"/>
        <v>416311</v>
      </c>
      <c r="L93" s="6">
        <f t="shared" si="46"/>
        <v>832622</v>
      </c>
      <c r="M93" s="166"/>
      <c r="N93" s="168"/>
      <c r="O93" s="82"/>
      <c r="P93" s="4">
        <f t="shared" si="47"/>
        <v>0</v>
      </c>
      <c r="Q93" s="4">
        <f t="shared" si="48"/>
        <v>0</v>
      </c>
      <c r="R93" s="53">
        <f t="shared" si="49"/>
        <v>0</v>
      </c>
      <c r="S93" s="161" t="str">
        <f t="shared" si="50"/>
        <v>NO CUMPLE</v>
      </c>
      <c r="T93" s="52"/>
    </row>
    <row r="94" spans="1:20" ht="25.5" x14ac:dyDescent="0.35">
      <c r="A94" s="169"/>
      <c r="C94" s="117" t="s">
        <v>172</v>
      </c>
      <c r="D94" s="96" t="s">
        <v>22</v>
      </c>
      <c r="E94" s="94"/>
      <c r="F94" s="94"/>
      <c r="G94" s="95" t="s">
        <v>173</v>
      </c>
      <c r="H94" s="96" t="s">
        <v>24</v>
      </c>
      <c r="I94" s="94">
        <v>2</v>
      </c>
      <c r="J94" s="18">
        <v>1082089</v>
      </c>
      <c r="K94" s="5">
        <f t="shared" si="45"/>
        <v>1406716</v>
      </c>
      <c r="L94" s="6">
        <f t="shared" si="46"/>
        <v>2813432</v>
      </c>
      <c r="M94" s="166"/>
      <c r="N94" s="168"/>
      <c r="O94" s="82"/>
      <c r="P94" s="4">
        <f t="shared" si="47"/>
        <v>0</v>
      </c>
      <c r="Q94" s="4">
        <f t="shared" si="48"/>
        <v>0</v>
      </c>
      <c r="R94" s="53">
        <f t="shared" si="49"/>
        <v>0</v>
      </c>
      <c r="S94" s="161" t="str">
        <f t="shared" si="50"/>
        <v>NO CUMPLE</v>
      </c>
      <c r="T94" s="52"/>
    </row>
    <row r="95" spans="1:20" ht="25.5" x14ac:dyDescent="0.35">
      <c r="A95" s="169"/>
      <c r="C95" s="117" t="s">
        <v>174</v>
      </c>
      <c r="D95" s="96" t="s">
        <v>22</v>
      </c>
      <c r="E95" s="94"/>
      <c r="F95" s="94"/>
      <c r="G95" s="95" t="s">
        <v>175</v>
      </c>
      <c r="H95" s="96" t="s">
        <v>24</v>
      </c>
      <c r="I95" s="94">
        <v>2</v>
      </c>
      <c r="J95" s="18">
        <v>1082089</v>
      </c>
      <c r="K95" s="5">
        <f t="shared" si="45"/>
        <v>1406716</v>
      </c>
      <c r="L95" s="6">
        <f t="shared" si="46"/>
        <v>2813432</v>
      </c>
      <c r="M95" s="166"/>
      <c r="N95" s="168"/>
      <c r="O95" s="82"/>
      <c r="P95" s="4">
        <f t="shared" si="47"/>
        <v>0</v>
      </c>
      <c r="Q95" s="4">
        <f t="shared" si="48"/>
        <v>0</v>
      </c>
      <c r="R95" s="53">
        <f t="shared" si="49"/>
        <v>0</v>
      </c>
      <c r="S95" s="161" t="str">
        <f t="shared" si="50"/>
        <v>NO CUMPLE</v>
      </c>
      <c r="T95" s="52"/>
    </row>
    <row r="96" spans="1:20" ht="25.5" x14ac:dyDescent="0.35">
      <c r="A96" s="169"/>
      <c r="C96" s="117" t="s">
        <v>176</v>
      </c>
      <c r="D96" s="96" t="s">
        <v>22</v>
      </c>
      <c r="E96" s="94"/>
      <c r="F96" s="94"/>
      <c r="G96" s="126" t="s">
        <v>177</v>
      </c>
      <c r="H96" s="127" t="s">
        <v>24</v>
      </c>
      <c r="I96" s="94">
        <v>3</v>
      </c>
      <c r="J96" s="18">
        <v>901478</v>
      </c>
      <c r="K96" s="5">
        <f>ROUNDUP(J96+(J96*$L$319),0)</f>
        <v>1171922</v>
      </c>
      <c r="L96" s="6">
        <f t="shared" si="46"/>
        <v>3515766</v>
      </c>
      <c r="M96" s="166"/>
      <c r="N96" s="168"/>
      <c r="O96" s="82"/>
      <c r="P96" s="4">
        <f t="shared" si="47"/>
        <v>0</v>
      </c>
      <c r="Q96" s="4">
        <f>ROUNDUP(P96+(P96*$R$319),0)</f>
        <v>0</v>
      </c>
      <c r="R96" s="53">
        <f t="shared" si="49"/>
        <v>0</v>
      </c>
      <c r="S96" s="161" t="str">
        <f t="shared" si="50"/>
        <v>NO CUMPLE</v>
      </c>
      <c r="T96" s="52"/>
    </row>
    <row r="97" spans="1:20" ht="25.5" x14ac:dyDescent="0.35">
      <c r="A97" s="169"/>
      <c r="C97" s="117" t="s">
        <v>178</v>
      </c>
      <c r="D97" s="96" t="s">
        <v>22</v>
      </c>
      <c r="E97" s="94"/>
      <c r="F97" s="94"/>
      <c r="G97" s="126" t="s">
        <v>179</v>
      </c>
      <c r="H97" s="127" t="s">
        <v>24</v>
      </c>
      <c r="I97" s="94">
        <v>4</v>
      </c>
      <c r="J97" s="18">
        <v>151978</v>
      </c>
      <c r="K97" s="5">
        <f>ROUNDUP(J97+(J97*$L$319),0)</f>
        <v>197572</v>
      </c>
      <c r="L97" s="6">
        <f t="shared" si="46"/>
        <v>790288</v>
      </c>
      <c r="M97" s="166"/>
      <c r="N97" s="168"/>
      <c r="O97" s="82"/>
      <c r="P97" s="4">
        <f t="shared" si="47"/>
        <v>0</v>
      </c>
      <c r="Q97" s="4">
        <f>ROUNDUP(P97+(P97*$R$319),0)</f>
        <v>0</v>
      </c>
      <c r="R97" s="53">
        <f t="shared" si="49"/>
        <v>0</v>
      </c>
      <c r="S97" s="161" t="str">
        <f t="shared" si="50"/>
        <v>NO CUMPLE</v>
      </c>
      <c r="T97" s="52"/>
    </row>
    <row r="98" spans="1:20" ht="13.15" x14ac:dyDescent="0.35">
      <c r="A98" s="169"/>
      <c r="C98" s="117" t="s">
        <v>180</v>
      </c>
      <c r="D98" s="96" t="s">
        <v>22</v>
      </c>
      <c r="E98" s="94"/>
      <c r="F98" s="94"/>
      <c r="G98" s="126" t="s">
        <v>181</v>
      </c>
      <c r="H98" s="127" t="s">
        <v>24</v>
      </c>
      <c r="I98" s="94">
        <v>4</v>
      </c>
      <c r="J98" s="18">
        <v>201478</v>
      </c>
      <c r="K98" s="5">
        <f>ROUNDUP(J98+(J98*$L$319),0)</f>
        <v>261922</v>
      </c>
      <c r="L98" s="6">
        <f t="shared" si="46"/>
        <v>1047688</v>
      </c>
      <c r="M98" s="166"/>
      <c r="N98" s="168"/>
      <c r="O98" s="82"/>
      <c r="P98" s="4">
        <f t="shared" si="47"/>
        <v>0</v>
      </c>
      <c r="Q98" s="4">
        <f>ROUNDUP(P98+(P98*$R$319),0)</f>
        <v>0</v>
      </c>
      <c r="R98" s="53">
        <f t="shared" si="49"/>
        <v>0</v>
      </c>
      <c r="S98" s="161" t="str">
        <f t="shared" si="50"/>
        <v>NO CUMPLE</v>
      </c>
      <c r="T98" s="52"/>
    </row>
    <row r="99" spans="1:20" ht="16.5" x14ac:dyDescent="0.35">
      <c r="A99" s="169"/>
      <c r="C99" s="93"/>
      <c r="D99" s="99"/>
      <c r="E99" s="99"/>
      <c r="F99" s="99"/>
      <c r="G99" s="121" t="s">
        <v>40</v>
      </c>
      <c r="H99" s="101"/>
      <c r="I99" s="102"/>
      <c r="J99" s="4"/>
      <c r="K99" s="5"/>
      <c r="L99" s="7">
        <f>SUBTOTAL(9,L87:L98)</f>
        <v>38529468</v>
      </c>
      <c r="M99" s="166"/>
      <c r="N99" s="168"/>
      <c r="O99" s="82"/>
      <c r="P99" s="4"/>
      <c r="Q99" s="4"/>
      <c r="R99" s="54">
        <f>SUBTOTAL(9,R87:R98)</f>
        <v>0</v>
      </c>
      <c r="S99" s="55"/>
      <c r="T99" s="52"/>
    </row>
    <row r="100" spans="1:20" ht="13.15" x14ac:dyDescent="0.35">
      <c r="A100" s="169"/>
      <c r="C100" s="123" t="s">
        <v>182</v>
      </c>
      <c r="D100" s="267" t="s">
        <v>183</v>
      </c>
      <c r="E100" s="267"/>
      <c r="F100" s="267"/>
      <c r="G100" s="267"/>
      <c r="H100" s="115"/>
      <c r="I100" s="116"/>
      <c r="J100" s="14"/>
      <c r="K100" s="15"/>
      <c r="L100" s="16"/>
      <c r="M100" s="166"/>
      <c r="N100" s="168"/>
      <c r="O100" s="85"/>
      <c r="P100" s="14"/>
      <c r="Q100" s="14"/>
      <c r="R100" s="62"/>
      <c r="S100" s="63"/>
      <c r="T100" s="52"/>
    </row>
    <row r="101" spans="1:20" ht="51" x14ac:dyDescent="0.35">
      <c r="A101" s="169"/>
      <c r="C101" s="117" t="s">
        <v>184</v>
      </c>
      <c r="D101" s="96" t="s">
        <v>22</v>
      </c>
      <c r="E101" s="94"/>
      <c r="F101" s="94"/>
      <c r="G101" s="126" t="s">
        <v>560</v>
      </c>
      <c r="H101" s="127" t="s">
        <v>24</v>
      </c>
      <c r="I101" s="94">
        <v>9</v>
      </c>
      <c r="J101" s="18">
        <v>177924</v>
      </c>
      <c r="K101" s="5">
        <f t="shared" ref="K101:K102" si="51">ROUNDUP(J101+(J101*$L$319),0)</f>
        <v>231302</v>
      </c>
      <c r="L101" s="6">
        <f t="shared" ref="L101:L102" si="52">ROUND(I101*K101,0)</f>
        <v>2081718</v>
      </c>
      <c r="M101" s="166"/>
      <c r="N101" s="168"/>
      <c r="O101" s="82"/>
      <c r="P101" s="4">
        <f t="shared" ref="P101:P102" si="53">ROUND(O101,0)</f>
        <v>0</v>
      </c>
      <c r="Q101" s="4">
        <f>ROUNDUP(P101+(P101*$R$319),0)</f>
        <v>0</v>
      </c>
      <c r="R101" s="53">
        <f>ROUND(Q101*I101,0)</f>
        <v>0</v>
      </c>
      <c r="S101" s="161" t="str">
        <f t="shared" ref="S101:S102" si="54">IF(OR(P101&lt;=0,P101&gt;J101,Q101&lt;=0,Q101&gt;K101,R101&lt;=0,R101&gt;L101,$R$325="NO CUMPLE"),"NO CUMPLE","CUMPLE")</f>
        <v>NO CUMPLE</v>
      </c>
      <c r="T101" s="52"/>
    </row>
    <row r="102" spans="1:20" ht="51" x14ac:dyDescent="0.35">
      <c r="A102" s="169"/>
      <c r="C102" s="117" t="s">
        <v>185</v>
      </c>
      <c r="D102" s="96" t="s">
        <v>22</v>
      </c>
      <c r="E102" s="94"/>
      <c r="F102" s="94"/>
      <c r="G102" s="126" t="s">
        <v>561</v>
      </c>
      <c r="H102" s="127" t="s">
        <v>24</v>
      </c>
      <c r="I102" s="94">
        <v>1</v>
      </c>
      <c r="J102" s="18">
        <v>181024</v>
      </c>
      <c r="K102" s="5">
        <f t="shared" si="51"/>
        <v>235332</v>
      </c>
      <c r="L102" s="6">
        <f t="shared" si="52"/>
        <v>235332</v>
      </c>
      <c r="M102" s="166"/>
      <c r="N102" s="168"/>
      <c r="O102" s="82"/>
      <c r="P102" s="4">
        <f t="shared" si="53"/>
        <v>0</v>
      </c>
      <c r="Q102" s="4">
        <f>ROUNDUP(P102+(P102*$R$319),0)</f>
        <v>0</v>
      </c>
      <c r="R102" s="53">
        <f>ROUND(Q102*I102,0)</f>
        <v>0</v>
      </c>
      <c r="S102" s="161" t="str">
        <f t="shared" si="54"/>
        <v>NO CUMPLE</v>
      </c>
      <c r="T102" s="52"/>
    </row>
    <row r="103" spans="1:20" ht="16.5" x14ac:dyDescent="0.35">
      <c r="A103" s="169"/>
      <c r="C103" s="93"/>
      <c r="D103" s="99"/>
      <c r="E103" s="99"/>
      <c r="F103" s="99"/>
      <c r="G103" s="121" t="s">
        <v>40</v>
      </c>
      <c r="H103" s="101"/>
      <c r="I103" s="102"/>
      <c r="J103" s="4"/>
      <c r="K103" s="5"/>
      <c r="L103" s="7">
        <f>SUBTOTAL(9,L101:L102)</f>
        <v>2317050</v>
      </c>
      <c r="M103" s="166"/>
      <c r="N103" s="168"/>
      <c r="O103" s="82"/>
      <c r="P103" s="4"/>
      <c r="Q103" s="4"/>
      <c r="R103" s="54">
        <f>SUBTOTAL(9,R101:R102)</f>
        <v>0</v>
      </c>
      <c r="S103" s="55"/>
      <c r="T103" s="52"/>
    </row>
    <row r="104" spans="1:20" ht="13.15" x14ac:dyDescent="0.35">
      <c r="A104" s="169"/>
      <c r="C104" s="103" t="s">
        <v>186</v>
      </c>
      <c r="D104" s="267" t="s">
        <v>187</v>
      </c>
      <c r="E104" s="267"/>
      <c r="F104" s="267"/>
      <c r="G104" s="267"/>
      <c r="H104" s="115"/>
      <c r="I104" s="116"/>
      <c r="J104" s="14"/>
      <c r="K104" s="15"/>
      <c r="L104" s="16"/>
      <c r="M104" s="166"/>
      <c r="N104" s="168"/>
      <c r="O104" s="85"/>
      <c r="P104" s="14"/>
      <c r="Q104" s="14"/>
      <c r="R104" s="62"/>
      <c r="S104" s="63"/>
      <c r="T104" s="52"/>
    </row>
    <row r="105" spans="1:20" ht="13.15" x14ac:dyDescent="0.35">
      <c r="A105" s="169"/>
      <c r="C105" s="123" t="s">
        <v>188</v>
      </c>
      <c r="D105" s="267" t="s">
        <v>189</v>
      </c>
      <c r="E105" s="267"/>
      <c r="F105" s="267"/>
      <c r="G105" s="267"/>
      <c r="H105" s="115"/>
      <c r="I105" s="116"/>
      <c r="J105" s="14"/>
      <c r="K105" s="15"/>
      <c r="L105" s="16"/>
      <c r="M105" s="166"/>
      <c r="N105" s="168"/>
      <c r="O105" s="85"/>
      <c r="P105" s="14"/>
      <c r="Q105" s="14"/>
      <c r="R105" s="62"/>
      <c r="S105" s="63"/>
      <c r="T105" s="52"/>
    </row>
    <row r="106" spans="1:20" ht="38.25" x14ac:dyDescent="0.35">
      <c r="A106" s="169"/>
      <c r="C106" s="117" t="s">
        <v>190</v>
      </c>
      <c r="D106" s="96" t="s">
        <v>191</v>
      </c>
      <c r="E106" s="94"/>
      <c r="F106" s="94"/>
      <c r="G106" s="126" t="s">
        <v>562</v>
      </c>
      <c r="H106" s="127" t="s">
        <v>24</v>
      </c>
      <c r="I106" s="94">
        <v>1</v>
      </c>
      <c r="J106" s="18">
        <v>579418</v>
      </c>
      <c r="K106" s="5">
        <f t="shared" ref="K106:K107" si="55">ROUND(J106+(J106*$L$319),0)</f>
        <v>753243</v>
      </c>
      <c r="L106" s="6">
        <f t="shared" ref="L106:L108" si="56">ROUND(I106*K106,0)</f>
        <v>753243</v>
      </c>
      <c r="M106" s="166"/>
      <c r="N106" s="168"/>
      <c r="O106" s="82"/>
      <c r="P106" s="4">
        <f t="shared" ref="P106:P108" si="57">ROUND(O106,0)</f>
        <v>0</v>
      </c>
      <c r="Q106" s="4">
        <f t="shared" ref="Q106:Q107" si="58">ROUND(P106+(P106*$R$319),0)</f>
        <v>0</v>
      </c>
      <c r="R106" s="53">
        <f>ROUND(Q106*I106,0)</f>
        <v>0</v>
      </c>
      <c r="S106" s="161" t="str">
        <f t="shared" ref="S106:S108" si="59">IF(OR(P106&lt;=0,P106&gt;J106,Q106&lt;=0,Q106&gt;K106,R106&lt;=0,R106&gt;L106,$R$325="NO CUMPLE"),"NO CUMPLE","CUMPLE")</f>
        <v>NO CUMPLE</v>
      </c>
      <c r="T106" s="52"/>
    </row>
    <row r="107" spans="1:20" ht="25.5" x14ac:dyDescent="0.35">
      <c r="A107" s="169"/>
      <c r="C107" s="117" t="s">
        <v>192</v>
      </c>
      <c r="D107" s="96" t="s">
        <v>193</v>
      </c>
      <c r="E107" s="94"/>
      <c r="F107" s="94"/>
      <c r="G107" s="126" t="s">
        <v>563</v>
      </c>
      <c r="H107" s="127" t="s">
        <v>24</v>
      </c>
      <c r="I107" s="94">
        <v>1</v>
      </c>
      <c r="J107" s="18">
        <v>892892</v>
      </c>
      <c r="K107" s="5">
        <f t="shared" si="55"/>
        <v>1160760</v>
      </c>
      <c r="L107" s="6">
        <f t="shared" si="56"/>
        <v>1160760</v>
      </c>
      <c r="M107" s="166"/>
      <c r="N107" s="168"/>
      <c r="O107" s="82"/>
      <c r="P107" s="4">
        <f t="shared" si="57"/>
        <v>0</v>
      </c>
      <c r="Q107" s="4">
        <f t="shared" si="58"/>
        <v>0</v>
      </c>
      <c r="R107" s="53">
        <f>ROUND(Q107*I107,0)</f>
        <v>0</v>
      </c>
      <c r="S107" s="161" t="str">
        <f t="shared" si="59"/>
        <v>NO CUMPLE</v>
      </c>
      <c r="T107" s="52"/>
    </row>
    <row r="108" spans="1:20" ht="25.5" x14ac:dyDescent="0.35">
      <c r="A108" s="169"/>
      <c r="C108" s="117" t="s">
        <v>194</v>
      </c>
      <c r="D108" s="96" t="s">
        <v>195</v>
      </c>
      <c r="E108" s="94"/>
      <c r="F108" s="94"/>
      <c r="G108" s="126" t="s">
        <v>564</v>
      </c>
      <c r="H108" s="127" t="s">
        <v>24</v>
      </c>
      <c r="I108" s="94">
        <v>1</v>
      </c>
      <c r="J108" s="18">
        <v>709591</v>
      </c>
      <c r="K108" s="5">
        <f>ROUNDUP(J108+(J108*$L$319),0)</f>
        <v>922469</v>
      </c>
      <c r="L108" s="6">
        <f t="shared" si="56"/>
        <v>922469</v>
      </c>
      <c r="M108" s="166"/>
      <c r="N108" s="168"/>
      <c r="O108" s="82"/>
      <c r="P108" s="4">
        <f t="shared" si="57"/>
        <v>0</v>
      </c>
      <c r="Q108" s="4">
        <f>ROUNDUP(P108+(P108*$R$319),0)</f>
        <v>0</v>
      </c>
      <c r="R108" s="53">
        <f>ROUND(Q108*I108,0)</f>
        <v>0</v>
      </c>
      <c r="S108" s="161" t="str">
        <f t="shared" si="59"/>
        <v>NO CUMPLE</v>
      </c>
      <c r="T108" s="52"/>
    </row>
    <row r="109" spans="1:20" ht="16.5" x14ac:dyDescent="0.35">
      <c r="A109" s="169"/>
      <c r="C109" s="93"/>
      <c r="D109" s="99"/>
      <c r="E109" s="99"/>
      <c r="F109" s="99"/>
      <c r="G109" s="121" t="s">
        <v>40</v>
      </c>
      <c r="H109" s="101"/>
      <c r="I109" s="102"/>
      <c r="J109" s="4"/>
      <c r="K109" s="5"/>
      <c r="L109" s="7">
        <f>SUBTOTAL(9,L106:L108)</f>
        <v>2836472</v>
      </c>
      <c r="M109" s="166"/>
      <c r="N109" s="168"/>
      <c r="O109" s="82"/>
      <c r="P109" s="4"/>
      <c r="Q109" s="4"/>
      <c r="R109" s="54">
        <f>SUBTOTAL(9,R106:R108)</f>
        <v>0</v>
      </c>
      <c r="S109" s="55"/>
      <c r="T109" s="52"/>
    </row>
    <row r="110" spans="1:20" ht="13.15" x14ac:dyDescent="0.35">
      <c r="A110" s="169"/>
      <c r="C110" s="128" t="s">
        <v>196</v>
      </c>
      <c r="D110" s="267" t="s">
        <v>197</v>
      </c>
      <c r="E110" s="267"/>
      <c r="F110" s="267"/>
      <c r="G110" s="267"/>
      <c r="H110" s="115"/>
      <c r="I110" s="116"/>
      <c r="J110" s="14"/>
      <c r="K110" s="15"/>
      <c r="L110" s="16"/>
      <c r="M110" s="166"/>
      <c r="N110" s="168"/>
      <c r="O110" s="85"/>
      <c r="P110" s="14"/>
      <c r="Q110" s="14"/>
      <c r="R110" s="62"/>
      <c r="S110" s="63"/>
      <c r="T110" s="52"/>
    </row>
    <row r="111" spans="1:20" ht="25.5" x14ac:dyDescent="0.35">
      <c r="A111" s="169"/>
      <c r="C111" s="110" t="s">
        <v>198</v>
      </c>
      <c r="D111" s="94" t="s">
        <v>199</v>
      </c>
      <c r="E111" s="94"/>
      <c r="F111" s="94"/>
      <c r="G111" s="126" t="s">
        <v>565</v>
      </c>
      <c r="H111" s="127" t="s">
        <v>20</v>
      </c>
      <c r="I111" s="94">
        <v>65</v>
      </c>
      <c r="J111" s="18">
        <v>31768</v>
      </c>
      <c r="K111" s="5">
        <f t="shared" ref="K111:K114" si="60">ROUND(J111+(J111*$L$319),0)</f>
        <v>41298</v>
      </c>
      <c r="L111" s="6">
        <f t="shared" ref="L111:L114" si="61">ROUND(I111*K111,0)</f>
        <v>2684370</v>
      </c>
      <c r="M111" s="166"/>
      <c r="N111" s="168"/>
      <c r="O111" s="82"/>
      <c r="P111" s="4">
        <f t="shared" ref="P111:P114" si="62">ROUND(O111,0)</f>
        <v>0</v>
      </c>
      <c r="Q111" s="4">
        <f t="shared" ref="Q111:Q114" si="63">ROUND(P111+(P111*$R$319),0)</f>
        <v>0</v>
      </c>
      <c r="R111" s="53">
        <f>ROUND(Q111*I111,0)</f>
        <v>0</v>
      </c>
      <c r="S111" s="161" t="str">
        <f t="shared" ref="S111:S114" si="64">IF(OR(P111&lt;=0,P111&gt;J111,Q111&lt;=0,Q111&gt;K111,R111&lt;=0,R111&gt;L111,$R$325="NO CUMPLE"),"NO CUMPLE","CUMPLE")</f>
        <v>NO CUMPLE</v>
      </c>
      <c r="T111" s="52"/>
    </row>
    <row r="112" spans="1:20" ht="13.15" x14ac:dyDescent="0.35">
      <c r="A112" s="169"/>
      <c r="C112" s="110" t="s">
        <v>200</v>
      </c>
      <c r="D112" s="94" t="s">
        <v>201</v>
      </c>
      <c r="E112" s="94"/>
      <c r="F112" s="94"/>
      <c r="G112" s="126" t="s">
        <v>566</v>
      </c>
      <c r="H112" s="127" t="s">
        <v>20</v>
      </c>
      <c r="I112" s="94">
        <v>275</v>
      </c>
      <c r="J112" s="18">
        <v>7188</v>
      </c>
      <c r="K112" s="5">
        <f>ROUNDUP(J112+(J112*$L$319),0)</f>
        <v>9345</v>
      </c>
      <c r="L112" s="6">
        <f t="shared" si="61"/>
        <v>2569875</v>
      </c>
      <c r="M112" s="166"/>
      <c r="N112" s="168"/>
      <c r="O112" s="82"/>
      <c r="P112" s="4">
        <f t="shared" si="62"/>
        <v>0</v>
      </c>
      <c r="Q112" s="4">
        <f>ROUNDUP(P112+(P112*$R$319),0)</f>
        <v>0</v>
      </c>
      <c r="R112" s="53">
        <f>ROUND(Q112*I112,0)</f>
        <v>0</v>
      </c>
      <c r="S112" s="161" t="str">
        <f t="shared" si="64"/>
        <v>NO CUMPLE</v>
      </c>
      <c r="T112" s="52"/>
    </row>
    <row r="113" spans="1:20" ht="25.5" x14ac:dyDescent="0.35">
      <c r="A113" s="169"/>
      <c r="C113" s="110" t="s">
        <v>202</v>
      </c>
      <c r="D113" s="94" t="s">
        <v>203</v>
      </c>
      <c r="E113" s="94"/>
      <c r="F113" s="94"/>
      <c r="G113" s="126" t="s">
        <v>567</v>
      </c>
      <c r="H113" s="127" t="s">
        <v>24</v>
      </c>
      <c r="I113" s="94">
        <v>9</v>
      </c>
      <c r="J113" s="18">
        <v>19881</v>
      </c>
      <c r="K113" s="5">
        <f>ROUNDUP(J113+(J113*$L$319),0)</f>
        <v>25846</v>
      </c>
      <c r="L113" s="6">
        <f t="shared" si="61"/>
        <v>232614</v>
      </c>
      <c r="M113" s="166"/>
      <c r="N113" s="168"/>
      <c r="O113" s="82"/>
      <c r="P113" s="4">
        <f t="shared" si="62"/>
        <v>0</v>
      </c>
      <c r="Q113" s="4">
        <f>ROUNDUP(P113+(P113*$R$319),0)</f>
        <v>0</v>
      </c>
      <c r="R113" s="53">
        <f>ROUND(Q113*I113,0)</f>
        <v>0</v>
      </c>
      <c r="S113" s="161" t="str">
        <f t="shared" si="64"/>
        <v>NO CUMPLE</v>
      </c>
      <c r="T113" s="52"/>
    </row>
    <row r="114" spans="1:20" ht="25.5" x14ac:dyDescent="0.35">
      <c r="A114" s="169"/>
      <c r="C114" s="110" t="s">
        <v>204</v>
      </c>
      <c r="D114" s="94" t="s">
        <v>205</v>
      </c>
      <c r="E114" s="94"/>
      <c r="F114" s="94"/>
      <c r="G114" s="126" t="s">
        <v>568</v>
      </c>
      <c r="H114" s="127" t="s">
        <v>24</v>
      </c>
      <c r="I114" s="94">
        <v>9</v>
      </c>
      <c r="J114" s="18">
        <v>40382</v>
      </c>
      <c r="K114" s="5">
        <f t="shared" si="60"/>
        <v>52497</v>
      </c>
      <c r="L114" s="6">
        <f t="shared" si="61"/>
        <v>472473</v>
      </c>
      <c r="M114" s="166"/>
      <c r="N114" s="168"/>
      <c r="O114" s="82"/>
      <c r="P114" s="4">
        <f t="shared" si="62"/>
        <v>0</v>
      </c>
      <c r="Q114" s="4">
        <f t="shared" si="63"/>
        <v>0</v>
      </c>
      <c r="R114" s="53">
        <f>ROUND(Q114*I114,0)</f>
        <v>0</v>
      </c>
      <c r="S114" s="161" t="str">
        <f t="shared" si="64"/>
        <v>NO CUMPLE</v>
      </c>
      <c r="T114" s="52"/>
    </row>
    <row r="115" spans="1:20" ht="16.5" x14ac:dyDescent="0.35">
      <c r="A115" s="169"/>
      <c r="C115" s="93"/>
      <c r="D115" s="99"/>
      <c r="E115" s="99"/>
      <c r="F115" s="99"/>
      <c r="G115" s="121" t="s">
        <v>40</v>
      </c>
      <c r="H115" s="101"/>
      <c r="I115" s="102"/>
      <c r="J115" s="4"/>
      <c r="K115" s="5"/>
      <c r="L115" s="7">
        <f>SUBTOTAL(9,L111:L114)</f>
        <v>5959332</v>
      </c>
      <c r="M115" s="166"/>
      <c r="N115" s="168"/>
      <c r="O115" s="82"/>
      <c r="P115" s="4"/>
      <c r="Q115" s="4"/>
      <c r="R115" s="54">
        <f>SUBTOTAL(9,R111:R114)</f>
        <v>0</v>
      </c>
      <c r="S115" s="55"/>
      <c r="T115" s="52"/>
    </row>
    <row r="116" spans="1:20" ht="13.15" x14ac:dyDescent="0.35">
      <c r="A116" s="169"/>
      <c r="C116" s="123" t="s">
        <v>206</v>
      </c>
      <c r="D116" s="267" t="s">
        <v>207</v>
      </c>
      <c r="E116" s="267"/>
      <c r="F116" s="267"/>
      <c r="G116" s="267"/>
      <c r="H116" s="115"/>
      <c r="I116" s="116"/>
      <c r="J116" s="14"/>
      <c r="K116" s="15"/>
      <c r="L116" s="16"/>
      <c r="M116" s="166"/>
      <c r="N116" s="168"/>
      <c r="O116" s="85"/>
      <c r="P116" s="14"/>
      <c r="Q116" s="14"/>
      <c r="R116" s="62"/>
      <c r="S116" s="63"/>
      <c r="T116" s="52"/>
    </row>
    <row r="117" spans="1:20" ht="38.25" x14ac:dyDescent="0.35">
      <c r="A117" s="169"/>
      <c r="C117" s="117" t="s">
        <v>208</v>
      </c>
      <c r="D117" s="96" t="s">
        <v>209</v>
      </c>
      <c r="E117" s="94"/>
      <c r="F117" s="94"/>
      <c r="G117" s="126" t="s">
        <v>569</v>
      </c>
      <c r="H117" s="127" t="s">
        <v>24</v>
      </c>
      <c r="I117" s="94">
        <v>2</v>
      </c>
      <c r="J117" s="18">
        <v>183742</v>
      </c>
      <c r="K117" s="5">
        <f t="shared" ref="K117:K120" si="65">ROUND(J117+(J117*$L$319),0)</f>
        <v>238865</v>
      </c>
      <c r="L117" s="6">
        <f t="shared" ref="L117:L120" si="66">ROUND(I117*K117,0)</f>
        <v>477730</v>
      </c>
      <c r="M117" s="166"/>
      <c r="N117" s="168"/>
      <c r="O117" s="82"/>
      <c r="P117" s="4">
        <f t="shared" ref="P117:P120" si="67">ROUND(O117,0)</f>
        <v>0</v>
      </c>
      <c r="Q117" s="4">
        <f t="shared" ref="Q117:Q120" si="68">ROUND(P117+(P117*$R$319),0)</f>
        <v>0</v>
      </c>
      <c r="R117" s="53">
        <f>ROUND(Q117*I117,0)</f>
        <v>0</v>
      </c>
      <c r="S117" s="161" t="str">
        <f t="shared" ref="S117:S120" si="69">IF(OR(P117&lt;=0,P117&gt;J117,Q117&lt;=0,Q117&gt;K117,R117&lt;=0,R117&gt;L117,$R$325="NO CUMPLE"),"NO CUMPLE","CUMPLE")</f>
        <v>NO CUMPLE</v>
      </c>
      <c r="T117" s="52"/>
    </row>
    <row r="118" spans="1:20" ht="38.25" x14ac:dyDescent="0.35">
      <c r="A118" s="169"/>
      <c r="C118" s="117" t="s">
        <v>210</v>
      </c>
      <c r="D118" s="96" t="s">
        <v>22</v>
      </c>
      <c r="E118" s="94"/>
      <c r="F118" s="94"/>
      <c r="G118" s="126" t="s">
        <v>570</v>
      </c>
      <c r="H118" s="127" t="s">
        <v>24</v>
      </c>
      <c r="I118" s="94">
        <v>3</v>
      </c>
      <c r="J118" s="18">
        <v>247174</v>
      </c>
      <c r="K118" s="5">
        <f>ROUNDUP(J118+(J118*$L$319),0)</f>
        <v>321327</v>
      </c>
      <c r="L118" s="6">
        <f t="shared" si="66"/>
        <v>963981</v>
      </c>
      <c r="M118" s="166"/>
      <c r="N118" s="168"/>
      <c r="O118" s="82"/>
      <c r="P118" s="4">
        <f t="shared" si="67"/>
        <v>0</v>
      </c>
      <c r="Q118" s="4">
        <f>ROUNDUP(P118+(P118*$R$319),0)</f>
        <v>0</v>
      </c>
      <c r="R118" s="53">
        <f>ROUND(Q118*I118,0)</f>
        <v>0</v>
      </c>
      <c r="S118" s="161" t="str">
        <f t="shared" si="69"/>
        <v>NO CUMPLE</v>
      </c>
      <c r="T118" s="52"/>
    </row>
    <row r="119" spans="1:20" ht="38.25" x14ac:dyDescent="0.35">
      <c r="A119" s="169"/>
      <c r="C119" s="117" t="s">
        <v>211</v>
      </c>
      <c r="D119" s="96" t="s">
        <v>22</v>
      </c>
      <c r="E119" s="94"/>
      <c r="F119" s="94"/>
      <c r="G119" s="126" t="s">
        <v>571</v>
      </c>
      <c r="H119" s="127" t="s">
        <v>24</v>
      </c>
      <c r="I119" s="94">
        <v>2</v>
      </c>
      <c r="J119" s="18">
        <v>919846</v>
      </c>
      <c r="K119" s="5">
        <f t="shared" si="65"/>
        <v>1195800</v>
      </c>
      <c r="L119" s="6">
        <f t="shared" si="66"/>
        <v>2391600</v>
      </c>
      <c r="M119" s="166"/>
      <c r="N119" s="168"/>
      <c r="O119" s="82"/>
      <c r="P119" s="4">
        <f t="shared" si="67"/>
        <v>0</v>
      </c>
      <c r="Q119" s="4">
        <f t="shared" si="68"/>
        <v>0</v>
      </c>
      <c r="R119" s="53">
        <f>ROUND(Q119*I119,0)</f>
        <v>0</v>
      </c>
      <c r="S119" s="161" t="str">
        <f t="shared" si="69"/>
        <v>NO CUMPLE</v>
      </c>
      <c r="T119" s="52"/>
    </row>
    <row r="120" spans="1:20" ht="25.5" x14ac:dyDescent="0.35">
      <c r="A120" s="169"/>
      <c r="C120" s="117" t="s">
        <v>212</v>
      </c>
      <c r="D120" s="96" t="s">
        <v>213</v>
      </c>
      <c r="E120" s="94"/>
      <c r="F120" s="94"/>
      <c r="G120" s="126" t="s">
        <v>572</v>
      </c>
      <c r="H120" s="127" t="s">
        <v>24</v>
      </c>
      <c r="I120" s="94">
        <v>1</v>
      </c>
      <c r="J120" s="18">
        <v>54400</v>
      </c>
      <c r="K120" s="5">
        <f t="shared" si="65"/>
        <v>70720</v>
      </c>
      <c r="L120" s="6">
        <f t="shared" si="66"/>
        <v>70720</v>
      </c>
      <c r="M120" s="166"/>
      <c r="N120" s="168"/>
      <c r="O120" s="82"/>
      <c r="P120" s="4">
        <f t="shared" si="67"/>
        <v>0</v>
      </c>
      <c r="Q120" s="4">
        <f t="shared" si="68"/>
        <v>0</v>
      </c>
      <c r="R120" s="53">
        <f>ROUND(Q120*I120,0)</f>
        <v>0</v>
      </c>
      <c r="S120" s="161" t="str">
        <f t="shared" si="69"/>
        <v>NO CUMPLE</v>
      </c>
      <c r="T120" s="52"/>
    </row>
    <row r="121" spans="1:20" ht="16.5" x14ac:dyDescent="0.35">
      <c r="A121" s="169"/>
      <c r="C121" s="93"/>
      <c r="D121" s="99"/>
      <c r="E121" s="99"/>
      <c r="F121" s="99"/>
      <c r="G121" s="121" t="s">
        <v>40</v>
      </c>
      <c r="H121" s="101"/>
      <c r="I121" s="102"/>
      <c r="J121" s="4"/>
      <c r="K121" s="5"/>
      <c r="L121" s="7">
        <f>SUBTOTAL(9,L117:L120)</f>
        <v>3904031</v>
      </c>
      <c r="M121" s="166"/>
      <c r="N121" s="168"/>
      <c r="O121" s="82"/>
      <c r="P121" s="4"/>
      <c r="Q121" s="4"/>
      <c r="R121" s="54">
        <f>SUBTOTAL(9,R117:R120)</f>
        <v>0</v>
      </c>
      <c r="S121" s="55"/>
      <c r="T121" s="52"/>
    </row>
    <row r="122" spans="1:20" ht="13.15" x14ac:dyDescent="0.35">
      <c r="A122" s="169"/>
      <c r="C122" s="103" t="s">
        <v>214</v>
      </c>
      <c r="D122" s="266" t="s">
        <v>215</v>
      </c>
      <c r="E122" s="266"/>
      <c r="F122" s="266"/>
      <c r="G122" s="266"/>
      <c r="H122" s="115"/>
      <c r="I122" s="116"/>
      <c r="J122" s="14"/>
      <c r="K122" s="15"/>
      <c r="L122" s="16"/>
      <c r="M122" s="166"/>
      <c r="N122" s="168"/>
      <c r="O122" s="85"/>
      <c r="P122" s="14"/>
      <c r="Q122" s="14"/>
      <c r="R122" s="62"/>
      <c r="S122" s="63"/>
      <c r="T122" s="52"/>
    </row>
    <row r="123" spans="1:20" ht="25.5" x14ac:dyDescent="0.35">
      <c r="A123" s="169"/>
      <c r="C123" s="117" t="s">
        <v>216</v>
      </c>
      <c r="D123" s="96" t="s">
        <v>217</v>
      </c>
      <c r="E123" s="94"/>
      <c r="F123" s="94"/>
      <c r="G123" s="126" t="s">
        <v>573</v>
      </c>
      <c r="H123" s="127" t="s">
        <v>24</v>
      </c>
      <c r="I123" s="94">
        <v>9</v>
      </c>
      <c r="J123" s="18">
        <v>76739</v>
      </c>
      <c r="K123" s="5">
        <f t="shared" ref="K123:K127" si="70">ROUND(J123+(J123*$L$319),0)</f>
        <v>99761</v>
      </c>
      <c r="L123" s="6">
        <f t="shared" ref="L123:L128" si="71">ROUND(I123*K123,0)</f>
        <v>897849</v>
      </c>
      <c r="M123" s="166"/>
      <c r="N123" s="168"/>
      <c r="O123" s="82"/>
      <c r="P123" s="4">
        <f t="shared" ref="P123:P128" si="72">ROUND(O123,0)</f>
        <v>0</v>
      </c>
      <c r="Q123" s="4">
        <f t="shared" ref="Q123:Q127" si="73">ROUND(P123+(P123*$R$319),0)</f>
        <v>0</v>
      </c>
      <c r="R123" s="53">
        <f t="shared" ref="R123:R128" si="74">ROUND(Q123*I123,0)</f>
        <v>0</v>
      </c>
      <c r="S123" s="161" t="str">
        <f t="shared" ref="S123:S128" si="75">IF(OR(P123&lt;=0,P123&gt;J123,Q123&lt;=0,Q123&gt;K123,R123&lt;=0,R123&gt;L123,$R$325="NO CUMPLE"),"NO CUMPLE","CUMPLE")</f>
        <v>NO CUMPLE</v>
      </c>
      <c r="T123" s="52"/>
    </row>
    <row r="124" spans="1:20" ht="25.5" x14ac:dyDescent="0.35">
      <c r="A124" s="169"/>
      <c r="C124" s="117" t="s">
        <v>218</v>
      </c>
      <c r="D124" s="96" t="s">
        <v>22</v>
      </c>
      <c r="E124" s="94"/>
      <c r="F124" s="94"/>
      <c r="G124" s="126" t="s">
        <v>574</v>
      </c>
      <c r="H124" s="127" t="s">
        <v>24</v>
      </c>
      <c r="I124" s="94">
        <v>1</v>
      </c>
      <c r="J124" s="18">
        <v>113724</v>
      </c>
      <c r="K124" s="5">
        <f>ROUNDUP(J124+(J124*$L$319),0)</f>
        <v>147842</v>
      </c>
      <c r="L124" s="6">
        <f t="shared" si="71"/>
        <v>147842</v>
      </c>
      <c r="M124" s="166"/>
      <c r="N124" s="168"/>
      <c r="O124" s="82"/>
      <c r="P124" s="4">
        <f t="shared" si="72"/>
        <v>0</v>
      </c>
      <c r="Q124" s="4">
        <f>ROUNDUP(P124+(P124*$R$319),0)</f>
        <v>0</v>
      </c>
      <c r="R124" s="53">
        <f t="shared" si="74"/>
        <v>0</v>
      </c>
      <c r="S124" s="161" t="str">
        <f t="shared" si="75"/>
        <v>NO CUMPLE</v>
      </c>
      <c r="T124" s="52"/>
    </row>
    <row r="125" spans="1:20" ht="25.5" x14ac:dyDescent="0.35">
      <c r="A125" s="169"/>
      <c r="C125" s="117" t="s">
        <v>219</v>
      </c>
      <c r="D125" s="96" t="s">
        <v>220</v>
      </c>
      <c r="E125" s="94"/>
      <c r="F125" s="94"/>
      <c r="G125" s="126" t="s">
        <v>575</v>
      </c>
      <c r="H125" s="127" t="s">
        <v>24</v>
      </c>
      <c r="I125" s="94">
        <v>1</v>
      </c>
      <c r="J125" s="18">
        <v>2124815</v>
      </c>
      <c r="K125" s="5">
        <f t="shared" si="70"/>
        <v>2762260</v>
      </c>
      <c r="L125" s="6">
        <f t="shared" si="71"/>
        <v>2762260</v>
      </c>
      <c r="M125" s="166"/>
      <c r="N125" s="168"/>
      <c r="O125" s="82"/>
      <c r="P125" s="4">
        <f t="shared" si="72"/>
        <v>0</v>
      </c>
      <c r="Q125" s="4">
        <f t="shared" si="73"/>
        <v>0</v>
      </c>
      <c r="R125" s="53">
        <f t="shared" si="74"/>
        <v>0</v>
      </c>
      <c r="S125" s="161" t="str">
        <f t="shared" si="75"/>
        <v>NO CUMPLE</v>
      </c>
      <c r="T125" s="52"/>
    </row>
    <row r="126" spans="1:20" ht="25.5" x14ac:dyDescent="0.35">
      <c r="A126" s="169"/>
      <c r="C126" s="117" t="s">
        <v>221</v>
      </c>
      <c r="D126" s="96" t="s">
        <v>22</v>
      </c>
      <c r="E126" s="94"/>
      <c r="F126" s="94"/>
      <c r="G126" s="126" t="s">
        <v>576</v>
      </c>
      <c r="H126" s="127" t="s">
        <v>20</v>
      </c>
      <c r="I126" s="94">
        <v>225</v>
      </c>
      <c r="J126" s="18">
        <v>12560</v>
      </c>
      <c r="K126" s="5">
        <f t="shared" si="70"/>
        <v>16328</v>
      </c>
      <c r="L126" s="6">
        <f t="shared" si="71"/>
        <v>3673800</v>
      </c>
      <c r="M126" s="166"/>
      <c r="N126" s="168"/>
      <c r="O126" s="82"/>
      <c r="P126" s="4">
        <f t="shared" si="72"/>
        <v>0</v>
      </c>
      <c r="Q126" s="4">
        <f t="shared" si="73"/>
        <v>0</v>
      </c>
      <c r="R126" s="53">
        <f t="shared" si="74"/>
        <v>0</v>
      </c>
      <c r="S126" s="161" t="str">
        <f t="shared" si="75"/>
        <v>NO CUMPLE</v>
      </c>
      <c r="T126" s="52"/>
    </row>
    <row r="127" spans="1:20" ht="25.5" x14ac:dyDescent="0.35">
      <c r="A127" s="169"/>
      <c r="C127" s="117" t="s">
        <v>222</v>
      </c>
      <c r="D127" s="96" t="s">
        <v>22</v>
      </c>
      <c r="E127" s="94"/>
      <c r="F127" s="94"/>
      <c r="G127" s="126" t="s">
        <v>577</v>
      </c>
      <c r="H127" s="127" t="s">
        <v>24</v>
      </c>
      <c r="I127" s="94">
        <v>2</v>
      </c>
      <c r="J127" s="18">
        <v>78946</v>
      </c>
      <c r="K127" s="5">
        <f t="shared" si="70"/>
        <v>102630</v>
      </c>
      <c r="L127" s="6">
        <f t="shared" si="71"/>
        <v>205260</v>
      </c>
      <c r="M127" s="166"/>
      <c r="N127" s="168"/>
      <c r="O127" s="82"/>
      <c r="P127" s="4">
        <f t="shared" si="72"/>
        <v>0</v>
      </c>
      <c r="Q127" s="4">
        <f t="shared" si="73"/>
        <v>0</v>
      </c>
      <c r="R127" s="53">
        <f t="shared" si="74"/>
        <v>0</v>
      </c>
      <c r="S127" s="161" t="str">
        <f t="shared" si="75"/>
        <v>NO CUMPLE</v>
      </c>
      <c r="T127" s="52"/>
    </row>
    <row r="128" spans="1:20" ht="13.15" x14ac:dyDescent="0.35">
      <c r="A128" s="169"/>
      <c r="C128" s="117" t="s">
        <v>223</v>
      </c>
      <c r="D128" s="96" t="s">
        <v>22</v>
      </c>
      <c r="E128" s="94"/>
      <c r="F128" s="94"/>
      <c r="G128" s="126" t="s">
        <v>578</v>
      </c>
      <c r="H128" s="127" t="s">
        <v>24</v>
      </c>
      <c r="I128" s="94">
        <v>1</v>
      </c>
      <c r="J128" s="18">
        <v>775448</v>
      </c>
      <c r="K128" s="5">
        <f>ROUNDUP(J128+(J128*$L$319),0)</f>
        <v>1008083</v>
      </c>
      <c r="L128" s="6">
        <f t="shared" si="71"/>
        <v>1008083</v>
      </c>
      <c r="M128" s="166"/>
      <c r="N128" s="168"/>
      <c r="O128" s="82"/>
      <c r="P128" s="4">
        <f t="shared" si="72"/>
        <v>0</v>
      </c>
      <c r="Q128" s="4">
        <f>ROUNDUP(P128+(P128*$R$319),0)</f>
        <v>0</v>
      </c>
      <c r="R128" s="53">
        <f t="shared" si="74"/>
        <v>0</v>
      </c>
      <c r="S128" s="161" t="str">
        <f t="shared" si="75"/>
        <v>NO CUMPLE</v>
      </c>
      <c r="T128" s="52"/>
    </row>
    <row r="129" spans="1:20" ht="16.5" x14ac:dyDescent="0.35">
      <c r="A129" s="169"/>
      <c r="C129" s="110"/>
      <c r="D129" s="99"/>
      <c r="E129" s="99"/>
      <c r="F129" s="99"/>
      <c r="G129" s="121" t="s">
        <v>40</v>
      </c>
      <c r="H129" s="101"/>
      <c r="I129" s="102"/>
      <c r="J129" s="4"/>
      <c r="K129" s="5"/>
      <c r="L129" s="7">
        <f>SUBTOTAL(9,L123:L128)</f>
        <v>8695094</v>
      </c>
      <c r="M129" s="166"/>
      <c r="N129" s="168"/>
      <c r="O129" s="82"/>
      <c r="P129" s="4"/>
      <c r="Q129" s="4"/>
      <c r="R129" s="54">
        <f>SUBTOTAL(9,R123:R128)</f>
        <v>0</v>
      </c>
      <c r="S129" s="55"/>
      <c r="T129" s="52"/>
    </row>
    <row r="130" spans="1:20" ht="13.15" x14ac:dyDescent="0.35">
      <c r="A130" s="169"/>
      <c r="C130" s="90">
        <v>6</v>
      </c>
      <c r="D130" s="263" t="s">
        <v>224</v>
      </c>
      <c r="E130" s="263"/>
      <c r="F130" s="263"/>
      <c r="G130" s="263"/>
      <c r="H130" s="114"/>
      <c r="I130" s="92"/>
      <c r="J130" s="11"/>
      <c r="K130" s="12"/>
      <c r="L130" s="13"/>
      <c r="M130" s="166"/>
      <c r="N130" s="168"/>
      <c r="O130" s="84"/>
      <c r="P130" s="11"/>
      <c r="Q130" s="11"/>
      <c r="R130" s="59"/>
      <c r="S130" s="60"/>
      <c r="T130" s="61"/>
    </row>
    <row r="131" spans="1:20" ht="13.15" x14ac:dyDescent="0.35">
      <c r="A131" s="169"/>
      <c r="C131" s="129" t="s">
        <v>225</v>
      </c>
      <c r="D131" s="264" t="s">
        <v>226</v>
      </c>
      <c r="E131" s="264"/>
      <c r="F131" s="264"/>
      <c r="G131" s="264"/>
      <c r="H131" s="130"/>
      <c r="I131" s="131"/>
      <c r="J131" s="21"/>
      <c r="K131" s="22"/>
      <c r="L131" s="23"/>
      <c r="M131" s="166"/>
      <c r="N131" s="168"/>
      <c r="O131" s="86"/>
      <c r="P131" s="21"/>
      <c r="Q131" s="21"/>
      <c r="R131" s="64"/>
      <c r="S131" s="65"/>
      <c r="T131" s="61"/>
    </row>
    <row r="132" spans="1:20" ht="13.15" x14ac:dyDescent="0.35">
      <c r="A132" s="169"/>
      <c r="C132" s="110" t="s">
        <v>227</v>
      </c>
      <c r="D132" s="94" t="s">
        <v>228</v>
      </c>
      <c r="E132" s="94"/>
      <c r="F132" s="94"/>
      <c r="G132" s="126" t="s">
        <v>229</v>
      </c>
      <c r="H132" s="127" t="s">
        <v>20</v>
      </c>
      <c r="I132" s="94">
        <v>35.46</v>
      </c>
      <c r="J132" s="24">
        <v>14281</v>
      </c>
      <c r="K132" s="5">
        <f>ROUNDUP(J132+(J132*$L$319),0)</f>
        <v>18566</v>
      </c>
      <c r="L132" s="6">
        <f t="shared" ref="L132:L150" si="76">ROUND(I132*K132,0)</f>
        <v>658350</v>
      </c>
      <c r="M132" s="166"/>
      <c r="N132" s="168"/>
      <c r="O132" s="82"/>
      <c r="P132" s="4">
        <f t="shared" ref="P132:P150" si="77">ROUND(O132,0)</f>
        <v>0</v>
      </c>
      <c r="Q132" s="4">
        <f>ROUNDUP(P132+(P132*$R$319),0)</f>
        <v>0</v>
      </c>
      <c r="R132" s="53">
        <f t="shared" ref="R132:R150" si="78">ROUND(Q132*I132,0)</f>
        <v>0</v>
      </c>
      <c r="S132" s="161" t="str">
        <f t="shared" ref="S132:S150" si="79">IF(OR(P132&lt;=0,P132&gt;J132,Q132&lt;=0,Q132&gt;K132,R132&lt;=0,R132&gt;L132,$R$325="NO CUMPLE"),"NO CUMPLE","CUMPLE")</f>
        <v>NO CUMPLE</v>
      </c>
      <c r="T132" s="52"/>
    </row>
    <row r="133" spans="1:20" ht="13.15" x14ac:dyDescent="0.35">
      <c r="A133" s="169"/>
      <c r="C133" s="110" t="s">
        <v>230</v>
      </c>
      <c r="D133" s="94" t="s">
        <v>231</v>
      </c>
      <c r="E133" s="94"/>
      <c r="F133" s="94"/>
      <c r="G133" s="126" t="s">
        <v>232</v>
      </c>
      <c r="H133" s="127" t="s">
        <v>20</v>
      </c>
      <c r="I133" s="94">
        <v>6.43</v>
      </c>
      <c r="J133" s="24">
        <v>17563</v>
      </c>
      <c r="K133" s="5">
        <f t="shared" ref="K133:K150" si="80">ROUND(J133+(J133*$L$319),0)</f>
        <v>22832</v>
      </c>
      <c r="L133" s="6">
        <f t="shared" si="76"/>
        <v>146810</v>
      </c>
      <c r="M133" s="166"/>
      <c r="N133" s="168"/>
      <c r="O133" s="82"/>
      <c r="P133" s="4">
        <f t="shared" si="77"/>
        <v>0</v>
      </c>
      <c r="Q133" s="4">
        <f t="shared" ref="Q133:Q150" si="81">ROUND(P133+(P133*$R$319),0)</f>
        <v>0</v>
      </c>
      <c r="R133" s="53">
        <f t="shared" si="78"/>
        <v>0</v>
      </c>
      <c r="S133" s="161" t="str">
        <f t="shared" si="79"/>
        <v>NO CUMPLE</v>
      </c>
      <c r="T133" s="52"/>
    </row>
    <row r="134" spans="1:20" ht="13.15" x14ac:dyDescent="0.35">
      <c r="A134" s="169"/>
      <c r="C134" s="110" t="s">
        <v>233</v>
      </c>
      <c r="D134" s="94" t="s">
        <v>234</v>
      </c>
      <c r="E134" s="94"/>
      <c r="F134" s="94"/>
      <c r="G134" s="126" t="s">
        <v>235</v>
      </c>
      <c r="H134" s="127" t="s">
        <v>20</v>
      </c>
      <c r="I134" s="94">
        <v>17.57</v>
      </c>
      <c r="J134" s="24">
        <v>23150</v>
      </c>
      <c r="K134" s="5">
        <f t="shared" si="80"/>
        <v>30095</v>
      </c>
      <c r="L134" s="6">
        <f t="shared" si="76"/>
        <v>528769</v>
      </c>
      <c r="M134" s="166"/>
      <c r="N134" s="168"/>
      <c r="O134" s="82"/>
      <c r="P134" s="4">
        <f t="shared" si="77"/>
        <v>0</v>
      </c>
      <c r="Q134" s="4">
        <f t="shared" si="81"/>
        <v>0</v>
      </c>
      <c r="R134" s="53">
        <f t="shared" si="78"/>
        <v>0</v>
      </c>
      <c r="S134" s="161" t="str">
        <f t="shared" si="79"/>
        <v>NO CUMPLE</v>
      </c>
      <c r="T134" s="52"/>
    </row>
    <row r="135" spans="1:20" ht="13.15" x14ac:dyDescent="0.35">
      <c r="A135" s="169"/>
      <c r="C135" s="110" t="s">
        <v>236</v>
      </c>
      <c r="D135" s="96" t="s">
        <v>22</v>
      </c>
      <c r="E135" s="94"/>
      <c r="F135" s="94"/>
      <c r="G135" s="126" t="s">
        <v>579</v>
      </c>
      <c r="H135" s="127" t="s">
        <v>20</v>
      </c>
      <c r="I135" s="94">
        <v>7.09</v>
      </c>
      <c r="J135" s="24">
        <v>25275</v>
      </c>
      <c r="K135" s="5">
        <f t="shared" si="80"/>
        <v>32858</v>
      </c>
      <c r="L135" s="6">
        <f t="shared" si="76"/>
        <v>232963</v>
      </c>
      <c r="M135" s="166"/>
      <c r="N135" s="168"/>
      <c r="O135" s="82"/>
      <c r="P135" s="4">
        <f t="shared" si="77"/>
        <v>0</v>
      </c>
      <c r="Q135" s="4">
        <f t="shared" si="81"/>
        <v>0</v>
      </c>
      <c r="R135" s="53">
        <f t="shared" si="78"/>
        <v>0</v>
      </c>
      <c r="S135" s="161" t="str">
        <f t="shared" si="79"/>
        <v>NO CUMPLE</v>
      </c>
      <c r="T135" s="52"/>
    </row>
    <row r="136" spans="1:20" ht="13.15" x14ac:dyDescent="0.35">
      <c r="A136" s="169"/>
      <c r="C136" s="110" t="s">
        <v>237</v>
      </c>
      <c r="D136" s="94" t="s">
        <v>238</v>
      </c>
      <c r="E136" s="94"/>
      <c r="F136" s="94"/>
      <c r="G136" s="126" t="s">
        <v>239</v>
      </c>
      <c r="H136" s="127" t="s">
        <v>20</v>
      </c>
      <c r="I136" s="94">
        <v>7.53</v>
      </c>
      <c r="J136" s="24">
        <v>36240</v>
      </c>
      <c r="K136" s="5">
        <f t="shared" si="80"/>
        <v>47112</v>
      </c>
      <c r="L136" s="6">
        <f t="shared" si="76"/>
        <v>354753</v>
      </c>
      <c r="M136" s="166"/>
      <c r="N136" s="168"/>
      <c r="O136" s="82"/>
      <c r="P136" s="4">
        <f t="shared" si="77"/>
        <v>0</v>
      </c>
      <c r="Q136" s="4">
        <f t="shared" si="81"/>
        <v>0</v>
      </c>
      <c r="R136" s="53">
        <f t="shared" si="78"/>
        <v>0</v>
      </c>
      <c r="S136" s="161" t="str">
        <f t="shared" si="79"/>
        <v>NO CUMPLE</v>
      </c>
      <c r="T136" s="52"/>
    </row>
    <row r="137" spans="1:20" ht="13.15" x14ac:dyDescent="0.35">
      <c r="A137" s="169"/>
      <c r="C137" s="110" t="s">
        <v>240</v>
      </c>
      <c r="D137" s="94" t="s">
        <v>241</v>
      </c>
      <c r="E137" s="94"/>
      <c r="F137" s="94"/>
      <c r="G137" s="126" t="s">
        <v>242</v>
      </c>
      <c r="H137" s="127" t="s">
        <v>20</v>
      </c>
      <c r="I137" s="94">
        <v>1</v>
      </c>
      <c r="J137" s="24">
        <v>50715</v>
      </c>
      <c r="K137" s="5">
        <f t="shared" si="80"/>
        <v>65930</v>
      </c>
      <c r="L137" s="6">
        <f t="shared" si="76"/>
        <v>65930</v>
      </c>
      <c r="M137" s="166"/>
      <c r="N137" s="168"/>
      <c r="O137" s="82"/>
      <c r="P137" s="4">
        <f t="shared" si="77"/>
        <v>0</v>
      </c>
      <c r="Q137" s="4">
        <f t="shared" si="81"/>
        <v>0</v>
      </c>
      <c r="R137" s="53">
        <f t="shared" si="78"/>
        <v>0</v>
      </c>
      <c r="S137" s="161" t="str">
        <f t="shared" si="79"/>
        <v>NO CUMPLE</v>
      </c>
      <c r="T137" s="52"/>
    </row>
    <row r="138" spans="1:20" ht="13.15" x14ac:dyDescent="0.35">
      <c r="A138" s="169"/>
      <c r="C138" s="110" t="s">
        <v>243</v>
      </c>
      <c r="D138" s="94" t="s">
        <v>245</v>
      </c>
      <c r="E138" s="94"/>
      <c r="F138" s="94"/>
      <c r="G138" s="126" t="s">
        <v>246</v>
      </c>
      <c r="H138" s="127" t="s">
        <v>24</v>
      </c>
      <c r="I138" s="94">
        <v>13</v>
      </c>
      <c r="J138" s="24">
        <v>16158</v>
      </c>
      <c r="K138" s="5">
        <f>ROUNDUP(J138+(J138*$L$319),0)</f>
        <v>21006</v>
      </c>
      <c r="L138" s="6">
        <f t="shared" si="76"/>
        <v>273078</v>
      </c>
      <c r="M138" s="166"/>
      <c r="N138" s="168"/>
      <c r="O138" s="82"/>
      <c r="P138" s="4">
        <f t="shared" si="77"/>
        <v>0</v>
      </c>
      <c r="Q138" s="4">
        <f>ROUNDUP(P138+(P138*$R$319),0)</f>
        <v>0</v>
      </c>
      <c r="R138" s="53">
        <f t="shared" si="78"/>
        <v>0</v>
      </c>
      <c r="S138" s="161" t="str">
        <f t="shared" si="79"/>
        <v>NO CUMPLE</v>
      </c>
      <c r="T138" s="52"/>
    </row>
    <row r="139" spans="1:20" ht="13.15" x14ac:dyDescent="0.35">
      <c r="A139" s="169"/>
      <c r="C139" s="110" t="s">
        <v>244</v>
      </c>
      <c r="D139" s="94" t="s">
        <v>248</v>
      </c>
      <c r="E139" s="94"/>
      <c r="F139" s="94"/>
      <c r="G139" s="126" t="s">
        <v>249</v>
      </c>
      <c r="H139" s="127" t="s">
        <v>24</v>
      </c>
      <c r="I139" s="94">
        <v>9</v>
      </c>
      <c r="J139" s="24">
        <v>114586</v>
      </c>
      <c r="K139" s="5">
        <f t="shared" si="80"/>
        <v>148962</v>
      </c>
      <c r="L139" s="6">
        <f t="shared" si="76"/>
        <v>1340658</v>
      </c>
      <c r="M139" s="166"/>
      <c r="N139" s="168"/>
      <c r="O139" s="82"/>
      <c r="P139" s="4">
        <f t="shared" si="77"/>
        <v>0</v>
      </c>
      <c r="Q139" s="4">
        <f t="shared" si="81"/>
        <v>0</v>
      </c>
      <c r="R139" s="53">
        <f t="shared" si="78"/>
        <v>0</v>
      </c>
      <c r="S139" s="161" t="str">
        <f t="shared" si="79"/>
        <v>NO CUMPLE</v>
      </c>
      <c r="T139" s="52"/>
    </row>
    <row r="140" spans="1:20" ht="13.15" x14ac:dyDescent="0.35">
      <c r="A140" s="169"/>
      <c r="C140" s="110" t="s">
        <v>247</v>
      </c>
      <c r="D140" s="94" t="s">
        <v>251</v>
      </c>
      <c r="E140" s="94"/>
      <c r="F140" s="94"/>
      <c r="G140" s="126" t="s">
        <v>252</v>
      </c>
      <c r="H140" s="127" t="s">
        <v>24</v>
      </c>
      <c r="I140" s="94">
        <v>2</v>
      </c>
      <c r="J140" s="24">
        <v>92702</v>
      </c>
      <c r="K140" s="5">
        <f t="shared" si="80"/>
        <v>120513</v>
      </c>
      <c r="L140" s="6">
        <f t="shared" si="76"/>
        <v>241026</v>
      </c>
      <c r="M140" s="166"/>
      <c r="N140" s="168"/>
      <c r="O140" s="82"/>
      <c r="P140" s="4">
        <f t="shared" si="77"/>
        <v>0</v>
      </c>
      <c r="Q140" s="4">
        <f t="shared" si="81"/>
        <v>0</v>
      </c>
      <c r="R140" s="53">
        <f t="shared" si="78"/>
        <v>0</v>
      </c>
      <c r="S140" s="161" t="str">
        <f t="shared" si="79"/>
        <v>NO CUMPLE</v>
      </c>
      <c r="T140" s="52"/>
    </row>
    <row r="141" spans="1:20" ht="13.15" x14ac:dyDescent="0.35">
      <c r="A141" s="169"/>
      <c r="C141" s="110" t="s">
        <v>250</v>
      </c>
      <c r="D141" s="94" t="s">
        <v>254</v>
      </c>
      <c r="E141" s="94"/>
      <c r="F141" s="94"/>
      <c r="G141" s="126" t="s">
        <v>255</v>
      </c>
      <c r="H141" s="127" t="s">
        <v>24</v>
      </c>
      <c r="I141" s="94">
        <v>2</v>
      </c>
      <c r="J141" s="24">
        <v>115595</v>
      </c>
      <c r="K141" s="5">
        <f t="shared" si="80"/>
        <v>150274</v>
      </c>
      <c r="L141" s="6">
        <f t="shared" si="76"/>
        <v>300548</v>
      </c>
      <c r="M141" s="166"/>
      <c r="N141" s="168"/>
      <c r="O141" s="82"/>
      <c r="P141" s="4">
        <f t="shared" si="77"/>
        <v>0</v>
      </c>
      <c r="Q141" s="4">
        <f t="shared" si="81"/>
        <v>0</v>
      </c>
      <c r="R141" s="53">
        <f t="shared" si="78"/>
        <v>0</v>
      </c>
      <c r="S141" s="161" t="str">
        <f t="shared" si="79"/>
        <v>NO CUMPLE</v>
      </c>
      <c r="T141" s="52"/>
    </row>
    <row r="142" spans="1:20" ht="13.15" x14ac:dyDescent="0.35">
      <c r="A142" s="169"/>
      <c r="C142" s="110" t="s">
        <v>253</v>
      </c>
      <c r="D142" s="94" t="s">
        <v>257</v>
      </c>
      <c r="E142" s="94"/>
      <c r="F142" s="94"/>
      <c r="G142" s="126" t="s">
        <v>258</v>
      </c>
      <c r="H142" s="127" t="s">
        <v>24</v>
      </c>
      <c r="I142" s="94">
        <v>1</v>
      </c>
      <c r="J142" s="24">
        <v>164550</v>
      </c>
      <c r="K142" s="5">
        <f t="shared" si="80"/>
        <v>213915</v>
      </c>
      <c r="L142" s="6">
        <f t="shared" si="76"/>
        <v>213915</v>
      </c>
      <c r="M142" s="166"/>
      <c r="N142" s="168"/>
      <c r="O142" s="82"/>
      <c r="P142" s="4">
        <f t="shared" si="77"/>
        <v>0</v>
      </c>
      <c r="Q142" s="4">
        <f t="shared" si="81"/>
        <v>0</v>
      </c>
      <c r="R142" s="53">
        <f t="shared" si="78"/>
        <v>0</v>
      </c>
      <c r="S142" s="161" t="str">
        <f t="shared" si="79"/>
        <v>NO CUMPLE</v>
      </c>
      <c r="T142" s="52"/>
    </row>
    <row r="143" spans="1:20" ht="13.15" x14ac:dyDescent="0.35">
      <c r="A143" s="169"/>
      <c r="C143" s="110" t="s">
        <v>256</v>
      </c>
      <c r="D143" s="96" t="s">
        <v>22</v>
      </c>
      <c r="E143" s="94"/>
      <c r="F143" s="94"/>
      <c r="G143" s="126" t="s">
        <v>580</v>
      </c>
      <c r="H143" s="127" t="s">
        <v>24</v>
      </c>
      <c r="I143" s="94">
        <v>2</v>
      </c>
      <c r="J143" s="24">
        <v>194189</v>
      </c>
      <c r="K143" s="5">
        <f t="shared" si="80"/>
        <v>252446</v>
      </c>
      <c r="L143" s="6">
        <f t="shared" si="76"/>
        <v>504892</v>
      </c>
      <c r="M143" s="166"/>
      <c r="N143" s="168"/>
      <c r="O143" s="82"/>
      <c r="P143" s="4">
        <f t="shared" si="77"/>
        <v>0</v>
      </c>
      <c r="Q143" s="4">
        <f t="shared" si="81"/>
        <v>0</v>
      </c>
      <c r="R143" s="53">
        <f t="shared" si="78"/>
        <v>0</v>
      </c>
      <c r="S143" s="161" t="str">
        <f t="shared" si="79"/>
        <v>NO CUMPLE</v>
      </c>
      <c r="T143" s="52"/>
    </row>
    <row r="144" spans="1:20" ht="13.15" x14ac:dyDescent="0.35">
      <c r="A144" s="169"/>
      <c r="C144" s="110" t="s">
        <v>259</v>
      </c>
      <c r="D144" s="96" t="s">
        <v>261</v>
      </c>
      <c r="E144" s="94"/>
      <c r="F144" s="94"/>
      <c r="G144" s="126" t="s">
        <v>262</v>
      </c>
      <c r="H144" s="127" t="s">
        <v>24</v>
      </c>
      <c r="I144" s="94">
        <v>1</v>
      </c>
      <c r="J144" s="24">
        <v>271958</v>
      </c>
      <c r="K144" s="5">
        <f t="shared" si="80"/>
        <v>353545</v>
      </c>
      <c r="L144" s="6">
        <f t="shared" si="76"/>
        <v>353545</v>
      </c>
      <c r="M144" s="166"/>
      <c r="N144" s="168"/>
      <c r="O144" s="82"/>
      <c r="P144" s="4">
        <f t="shared" si="77"/>
        <v>0</v>
      </c>
      <c r="Q144" s="4">
        <f t="shared" si="81"/>
        <v>0</v>
      </c>
      <c r="R144" s="53">
        <f t="shared" si="78"/>
        <v>0</v>
      </c>
      <c r="S144" s="161" t="str">
        <f t="shared" si="79"/>
        <v>NO CUMPLE</v>
      </c>
      <c r="T144" s="52"/>
    </row>
    <row r="145" spans="1:20" ht="13.15" x14ac:dyDescent="0.35">
      <c r="A145" s="169"/>
      <c r="C145" s="110" t="s">
        <v>260</v>
      </c>
      <c r="D145" s="96" t="s">
        <v>22</v>
      </c>
      <c r="E145" s="94"/>
      <c r="F145" s="94"/>
      <c r="G145" s="126" t="s">
        <v>581</v>
      </c>
      <c r="H145" s="127" t="s">
        <v>24</v>
      </c>
      <c r="I145" s="94">
        <v>2</v>
      </c>
      <c r="J145" s="24">
        <v>110768</v>
      </c>
      <c r="K145" s="5">
        <f t="shared" si="80"/>
        <v>143998</v>
      </c>
      <c r="L145" s="6">
        <f t="shared" si="76"/>
        <v>287996</v>
      </c>
      <c r="M145" s="166"/>
      <c r="N145" s="168"/>
      <c r="O145" s="82"/>
      <c r="P145" s="4">
        <f t="shared" si="77"/>
        <v>0</v>
      </c>
      <c r="Q145" s="4">
        <f t="shared" si="81"/>
        <v>0</v>
      </c>
      <c r="R145" s="53">
        <f t="shared" si="78"/>
        <v>0</v>
      </c>
      <c r="S145" s="161" t="str">
        <f t="shared" si="79"/>
        <v>NO CUMPLE</v>
      </c>
      <c r="T145" s="52"/>
    </row>
    <row r="146" spans="1:20" ht="13.15" x14ac:dyDescent="0.35">
      <c r="A146" s="169"/>
      <c r="C146" s="110" t="s">
        <v>263</v>
      </c>
      <c r="D146" s="96" t="s">
        <v>22</v>
      </c>
      <c r="E146" s="94"/>
      <c r="F146" s="94"/>
      <c r="G146" s="126" t="s">
        <v>582</v>
      </c>
      <c r="H146" s="127" t="s">
        <v>24</v>
      </c>
      <c r="I146" s="94">
        <v>2</v>
      </c>
      <c r="J146" s="24">
        <v>331545</v>
      </c>
      <c r="K146" s="5">
        <f t="shared" si="80"/>
        <v>431009</v>
      </c>
      <c r="L146" s="6">
        <f t="shared" si="76"/>
        <v>862018</v>
      </c>
      <c r="M146" s="166"/>
      <c r="N146" s="168"/>
      <c r="O146" s="82"/>
      <c r="P146" s="4">
        <f t="shared" si="77"/>
        <v>0</v>
      </c>
      <c r="Q146" s="4">
        <f t="shared" si="81"/>
        <v>0</v>
      </c>
      <c r="R146" s="53">
        <f t="shared" si="78"/>
        <v>0</v>
      </c>
      <c r="S146" s="161" t="str">
        <f t="shared" si="79"/>
        <v>NO CUMPLE</v>
      </c>
      <c r="T146" s="52"/>
    </row>
    <row r="147" spans="1:20" ht="13.15" x14ac:dyDescent="0.35">
      <c r="A147" s="169"/>
      <c r="C147" s="110" t="s">
        <v>264</v>
      </c>
      <c r="D147" s="96" t="s">
        <v>22</v>
      </c>
      <c r="E147" s="94"/>
      <c r="F147" s="94"/>
      <c r="G147" s="126" t="s">
        <v>583</v>
      </c>
      <c r="H147" s="127" t="s">
        <v>24</v>
      </c>
      <c r="I147" s="94">
        <v>2</v>
      </c>
      <c r="J147" s="24">
        <v>91851</v>
      </c>
      <c r="K147" s="5">
        <f>ROUNDUP(J147+(J147*$L$319),0)</f>
        <v>119407</v>
      </c>
      <c r="L147" s="6">
        <f t="shared" si="76"/>
        <v>238814</v>
      </c>
      <c r="M147" s="166"/>
      <c r="N147" s="168"/>
      <c r="O147" s="82"/>
      <c r="P147" s="4">
        <f t="shared" si="77"/>
        <v>0</v>
      </c>
      <c r="Q147" s="4">
        <f>ROUNDUP(P147+(P147*$R$319),0)</f>
        <v>0</v>
      </c>
      <c r="R147" s="53">
        <f t="shared" si="78"/>
        <v>0</v>
      </c>
      <c r="S147" s="161" t="str">
        <f t="shared" si="79"/>
        <v>NO CUMPLE</v>
      </c>
      <c r="T147" s="52"/>
    </row>
    <row r="148" spans="1:20" ht="63.75" x14ac:dyDescent="0.35">
      <c r="A148" s="169"/>
      <c r="C148" s="110" t="s">
        <v>265</v>
      </c>
      <c r="D148" s="96" t="s">
        <v>22</v>
      </c>
      <c r="E148" s="94"/>
      <c r="F148" s="94"/>
      <c r="G148" s="126" t="s">
        <v>584</v>
      </c>
      <c r="H148" s="127" t="s">
        <v>24</v>
      </c>
      <c r="I148" s="94">
        <v>2</v>
      </c>
      <c r="J148" s="24">
        <v>6134490</v>
      </c>
      <c r="K148" s="5">
        <f t="shared" si="80"/>
        <v>7974837</v>
      </c>
      <c r="L148" s="6">
        <f t="shared" si="76"/>
        <v>15949674</v>
      </c>
      <c r="M148" s="166"/>
      <c r="N148" s="168"/>
      <c r="O148" s="82"/>
      <c r="P148" s="4">
        <f t="shared" si="77"/>
        <v>0</v>
      </c>
      <c r="Q148" s="4">
        <f t="shared" si="81"/>
        <v>0</v>
      </c>
      <c r="R148" s="53">
        <f t="shared" si="78"/>
        <v>0</v>
      </c>
      <c r="S148" s="161" t="str">
        <f t="shared" si="79"/>
        <v>NO CUMPLE</v>
      </c>
      <c r="T148" s="52"/>
    </row>
    <row r="149" spans="1:20" ht="25.5" x14ac:dyDescent="0.35">
      <c r="A149" s="169"/>
      <c r="C149" s="110" t="s">
        <v>266</v>
      </c>
      <c r="D149" s="94" t="s">
        <v>268</v>
      </c>
      <c r="E149" s="94"/>
      <c r="F149" s="94"/>
      <c r="G149" s="126" t="s">
        <v>269</v>
      </c>
      <c r="H149" s="127" t="s">
        <v>24</v>
      </c>
      <c r="I149" s="94">
        <v>2</v>
      </c>
      <c r="J149" s="24">
        <v>955402</v>
      </c>
      <c r="K149" s="5">
        <f t="shared" si="80"/>
        <v>1242023</v>
      </c>
      <c r="L149" s="6">
        <f t="shared" si="76"/>
        <v>2484046</v>
      </c>
      <c r="M149" s="166"/>
      <c r="N149" s="168"/>
      <c r="O149" s="82"/>
      <c r="P149" s="4">
        <f t="shared" si="77"/>
        <v>0</v>
      </c>
      <c r="Q149" s="4">
        <f t="shared" si="81"/>
        <v>0</v>
      </c>
      <c r="R149" s="53">
        <f t="shared" si="78"/>
        <v>0</v>
      </c>
      <c r="S149" s="161" t="str">
        <f t="shared" si="79"/>
        <v>NO CUMPLE</v>
      </c>
      <c r="T149" s="52"/>
    </row>
    <row r="150" spans="1:20" ht="13.15" x14ac:dyDescent="0.35">
      <c r="A150" s="169"/>
      <c r="C150" s="110" t="s">
        <v>267</v>
      </c>
      <c r="D150" s="94" t="s">
        <v>270</v>
      </c>
      <c r="E150" s="94"/>
      <c r="F150" s="94"/>
      <c r="G150" s="126" t="s">
        <v>271</v>
      </c>
      <c r="H150" s="127" t="s">
        <v>24</v>
      </c>
      <c r="I150" s="94">
        <v>2</v>
      </c>
      <c r="J150" s="24">
        <v>387169</v>
      </c>
      <c r="K150" s="5">
        <f t="shared" si="80"/>
        <v>503320</v>
      </c>
      <c r="L150" s="6">
        <f t="shared" si="76"/>
        <v>1006640</v>
      </c>
      <c r="M150" s="166"/>
      <c r="N150" s="168"/>
      <c r="O150" s="82"/>
      <c r="P150" s="4">
        <f t="shared" si="77"/>
        <v>0</v>
      </c>
      <c r="Q150" s="4">
        <f t="shared" si="81"/>
        <v>0</v>
      </c>
      <c r="R150" s="53">
        <f t="shared" si="78"/>
        <v>0</v>
      </c>
      <c r="S150" s="161" t="str">
        <f t="shared" si="79"/>
        <v>NO CUMPLE</v>
      </c>
      <c r="T150" s="52"/>
    </row>
    <row r="151" spans="1:20" ht="16.5" x14ac:dyDescent="0.35">
      <c r="A151" s="169"/>
      <c r="C151" s="110"/>
      <c r="D151" s="99"/>
      <c r="E151" s="99"/>
      <c r="F151" s="99"/>
      <c r="G151" s="121" t="s">
        <v>40</v>
      </c>
      <c r="H151" s="101"/>
      <c r="I151" s="102"/>
      <c r="J151" s="4"/>
      <c r="K151" s="5"/>
      <c r="L151" s="7">
        <f>SUBTOTAL(9,L132:L150)</f>
        <v>26044425</v>
      </c>
      <c r="M151" s="166"/>
      <c r="N151" s="168"/>
      <c r="O151" s="82"/>
      <c r="P151" s="4"/>
      <c r="Q151" s="4"/>
      <c r="R151" s="54">
        <f>SUBTOTAL(9,R132:R150)</f>
        <v>0</v>
      </c>
      <c r="S151" s="55"/>
      <c r="T151" s="52"/>
    </row>
    <row r="152" spans="1:20" ht="13.15" x14ac:dyDescent="0.35">
      <c r="A152" s="169"/>
      <c r="C152" s="129" t="s">
        <v>272</v>
      </c>
      <c r="D152" s="264" t="s">
        <v>273</v>
      </c>
      <c r="E152" s="264"/>
      <c r="F152" s="264"/>
      <c r="G152" s="264"/>
      <c r="H152" s="130"/>
      <c r="I152" s="131"/>
      <c r="J152" s="21"/>
      <c r="K152" s="22"/>
      <c r="L152" s="23"/>
      <c r="M152" s="166"/>
      <c r="N152" s="168"/>
      <c r="O152" s="86"/>
      <c r="P152" s="21"/>
      <c r="Q152" s="21"/>
      <c r="R152" s="64"/>
      <c r="S152" s="65"/>
      <c r="T152" s="61"/>
    </row>
    <row r="153" spans="1:20" ht="13.15" x14ac:dyDescent="0.35">
      <c r="A153" s="169"/>
      <c r="C153" s="110" t="s">
        <v>274</v>
      </c>
      <c r="D153" s="94" t="s">
        <v>275</v>
      </c>
      <c r="E153" s="94"/>
      <c r="F153" s="94"/>
      <c r="G153" s="126" t="s">
        <v>276</v>
      </c>
      <c r="H153" s="127" t="s">
        <v>20</v>
      </c>
      <c r="I153" s="94">
        <v>27</v>
      </c>
      <c r="J153" s="24">
        <v>40799</v>
      </c>
      <c r="K153" s="5">
        <f t="shared" ref="K153:K167" si="82">ROUND(J153+(J153*$L$319),0)</f>
        <v>53039</v>
      </c>
      <c r="L153" s="6">
        <f t="shared" ref="L153:L167" si="83">ROUND(I153*K153,0)</f>
        <v>1432053</v>
      </c>
      <c r="M153" s="166"/>
      <c r="N153" s="168"/>
      <c r="O153" s="82"/>
      <c r="P153" s="4">
        <f t="shared" ref="P153:P167" si="84">ROUND(O153,0)</f>
        <v>0</v>
      </c>
      <c r="Q153" s="4">
        <f t="shared" ref="Q153:Q167" si="85">ROUND(P153+(P153*$R$319),0)</f>
        <v>0</v>
      </c>
      <c r="R153" s="53">
        <f t="shared" ref="R153:R167" si="86">ROUND(Q153*I153,0)</f>
        <v>0</v>
      </c>
      <c r="S153" s="161" t="str">
        <f t="shared" ref="S153:S167" si="87">IF(OR(P153&lt;=0,P153&gt;J153,Q153&lt;=0,Q153&gt;K153,R153&lt;=0,R153&gt;L153,$R$325="NO CUMPLE"),"NO CUMPLE","CUMPLE")</f>
        <v>NO CUMPLE</v>
      </c>
      <c r="T153" s="52"/>
    </row>
    <row r="154" spans="1:20" ht="13.15" x14ac:dyDescent="0.35">
      <c r="A154" s="169"/>
      <c r="C154" s="110" t="s">
        <v>277</v>
      </c>
      <c r="D154" s="94" t="s">
        <v>278</v>
      </c>
      <c r="E154" s="94"/>
      <c r="F154" s="94"/>
      <c r="G154" s="126" t="s">
        <v>279</v>
      </c>
      <c r="H154" s="127" t="s">
        <v>20</v>
      </c>
      <c r="I154" s="94">
        <v>5.63</v>
      </c>
      <c r="J154" s="24">
        <v>55589</v>
      </c>
      <c r="K154" s="5">
        <f t="shared" si="82"/>
        <v>72266</v>
      </c>
      <c r="L154" s="6">
        <f t="shared" si="83"/>
        <v>406858</v>
      </c>
      <c r="M154" s="166"/>
      <c r="N154" s="168"/>
      <c r="O154" s="82"/>
      <c r="P154" s="4">
        <f t="shared" si="84"/>
        <v>0</v>
      </c>
      <c r="Q154" s="4">
        <f t="shared" si="85"/>
        <v>0</v>
      </c>
      <c r="R154" s="53">
        <f t="shared" si="86"/>
        <v>0</v>
      </c>
      <c r="S154" s="161" t="str">
        <f t="shared" si="87"/>
        <v>NO CUMPLE</v>
      </c>
      <c r="T154" s="52"/>
    </row>
    <row r="155" spans="1:20" ht="13.15" x14ac:dyDescent="0.35">
      <c r="A155" s="169"/>
      <c r="C155" s="110" t="s">
        <v>280</v>
      </c>
      <c r="D155" s="94" t="s">
        <v>281</v>
      </c>
      <c r="E155" s="94"/>
      <c r="F155" s="94"/>
      <c r="G155" s="126" t="s">
        <v>282</v>
      </c>
      <c r="H155" s="127" t="s">
        <v>20</v>
      </c>
      <c r="I155" s="94">
        <v>36.21</v>
      </c>
      <c r="J155" s="24">
        <v>74978</v>
      </c>
      <c r="K155" s="5">
        <f>ROUNDUP(J155+(J155*$L$319),0)</f>
        <v>97472</v>
      </c>
      <c r="L155" s="6">
        <f t="shared" si="83"/>
        <v>3529461</v>
      </c>
      <c r="M155" s="166"/>
      <c r="N155" s="168"/>
      <c r="O155" s="82"/>
      <c r="P155" s="4">
        <f t="shared" si="84"/>
        <v>0</v>
      </c>
      <c r="Q155" s="4">
        <f>ROUNDUP(P155+(P155*$R$319),0)</f>
        <v>0</v>
      </c>
      <c r="R155" s="53">
        <f t="shared" si="86"/>
        <v>0</v>
      </c>
      <c r="S155" s="161" t="str">
        <f t="shared" si="87"/>
        <v>NO CUMPLE</v>
      </c>
      <c r="T155" s="52"/>
    </row>
    <row r="156" spans="1:20" ht="13.15" x14ac:dyDescent="0.35">
      <c r="A156" s="169"/>
      <c r="C156" s="110" t="s">
        <v>283</v>
      </c>
      <c r="D156" s="94">
        <v>3.25</v>
      </c>
      <c r="E156" s="94"/>
      <c r="F156" s="94"/>
      <c r="G156" s="126" t="s">
        <v>284</v>
      </c>
      <c r="H156" s="127" t="s">
        <v>20</v>
      </c>
      <c r="I156" s="94">
        <v>2.1</v>
      </c>
      <c r="J156" s="24">
        <v>53603</v>
      </c>
      <c r="K156" s="5">
        <f t="shared" si="82"/>
        <v>69684</v>
      </c>
      <c r="L156" s="6">
        <f t="shared" si="83"/>
        <v>146336</v>
      </c>
      <c r="M156" s="166"/>
      <c r="N156" s="168"/>
      <c r="O156" s="82"/>
      <c r="P156" s="4">
        <f t="shared" si="84"/>
        <v>0</v>
      </c>
      <c r="Q156" s="4">
        <f t="shared" si="85"/>
        <v>0</v>
      </c>
      <c r="R156" s="53">
        <f t="shared" si="86"/>
        <v>0</v>
      </c>
      <c r="S156" s="161" t="str">
        <f t="shared" si="87"/>
        <v>NO CUMPLE</v>
      </c>
      <c r="T156" s="52"/>
    </row>
    <row r="157" spans="1:20" ht="13.15" x14ac:dyDescent="0.35">
      <c r="A157" s="169"/>
      <c r="C157" s="110" t="s">
        <v>285</v>
      </c>
      <c r="D157" s="96" t="s">
        <v>22</v>
      </c>
      <c r="E157" s="94"/>
      <c r="F157" s="94"/>
      <c r="G157" s="126" t="s">
        <v>585</v>
      </c>
      <c r="H157" s="127" t="s">
        <v>20</v>
      </c>
      <c r="I157" s="94">
        <v>17.48</v>
      </c>
      <c r="J157" s="24">
        <v>27045</v>
      </c>
      <c r="K157" s="5">
        <f t="shared" si="82"/>
        <v>35159</v>
      </c>
      <c r="L157" s="6">
        <f t="shared" si="83"/>
        <v>614579</v>
      </c>
      <c r="M157" s="166"/>
      <c r="N157" s="168"/>
      <c r="O157" s="82"/>
      <c r="P157" s="4">
        <f t="shared" si="84"/>
        <v>0</v>
      </c>
      <c r="Q157" s="4">
        <f t="shared" si="85"/>
        <v>0</v>
      </c>
      <c r="R157" s="53">
        <f t="shared" si="86"/>
        <v>0</v>
      </c>
      <c r="S157" s="161" t="str">
        <f t="shared" si="87"/>
        <v>NO CUMPLE</v>
      </c>
      <c r="T157" s="52"/>
    </row>
    <row r="158" spans="1:20" ht="13.15" x14ac:dyDescent="0.35">
      <c r="A158" s="169"/>
      <c r="C158" s="110" t="s">
        <v>286</v>
      </c>
      <c r="D158" s="94" t="s">
        <v>245</v>
      </c>
      <c r="E158" s="94"/>
      <c r="F158" s="94"/>
      <c r="G158" s="126" t="s">
        <v>246</v>
      </c>
      <c r="H158" s="127" t="s">
        <v>24</v>
      </c>
      <c r="I158" s="94">
        <v>15</v>
      </c>
      <c r="J158" s="24">
        <v>16158</v>
      </c>
      <c r="K158" s="5">
        <f>ROUNDUP(J158+(J158*$L$319),0)</f>
        <v>21006</v>
      </c>
      <c r="L158" s="6">
        <f t="shared" si="83"/>
        <v>315090</v>
      </c>
      <c r="M158" s="166"/>
      <c r="N158" s="168"/>
      <c r="O158" s="82"/>
      <c r="P158" s="4">
        <f t="shared" si="84"/>
        <v>0</v>
      </c>
      <c r="Q158" s="4">
        <f>ROUNDUP(P158+(P158*$R$319),0)</f>
        <v>0</v>
      </c>
      <c r="R158" s="53">
        <f t="shared" si="86"/>
        <v>0</v>
      </c>
      <c r="S158" s="161" t="str">
        <f t="shared" si="87"/>
        <v>NO CUMPLE</v>
      </c>
      <c r="T158" s="52"/>
    </row>
    <row r="159" spans="1:20" ht="13.15" x14ac:dyDescent="0.35">
      <c r="A159" s="169"/>
      <c r="C159" s="110" t="s">
        <v>287</v>
      </c>
      <c r="D159" s="96" t="s">
        <v>22</v>
      </c>
      <c r="E159" s="94"/>
      <c r="F159" s="94"/>
      <c r="G159" s="126" t="s">
        <v>586</v>
      </c>
      <c r="H159" s="127" t="s">
        <v>24</v>
      </c>
      <c r="I159" s="94">
        <v>2</v>
      </c>
      <c r="J159" s="24">
        <v>886708</v>
      </c>
      <c r="K159" s="5">
        <f>ROUNDUP(J159+(J159*$L$319),0)</f>
        <v>1152721</v>
      </c>
      <c r="L159" s="6">
        <f t="shared" si="83"/>
        <v>2305442</v>
      </c>
      <c r="M159" s="166"/>
      <c r="N159" s="168"/>
      <c r="O159" s="82"/>
      <c r="P159" s="4">
        <f t="shared" si="84"/>
        <v>0</v>
      </c>
      <c r="Q159" s="4">
        <f>ROUNDUP(P159+(P159*$R$319),0)</f>
        <v>0</v>
      </c>
      <c r="R159" s="53">
        <f t="shared" si="86"/>
        <v>0</v>
      </c>
      <c r="S159" s="161" t="str">
        <f t="shared" si="87"/>
        <v>NO CUMPLE</v>
      </c>
      <c r="T159" s="52"/>
    </row>
    <row r="160" spans="1:20" ht="13.15" x14ac:dyDescent="0.35">
      <c r="A160" s="169"/>
      <c r="C160" s="110" t="s">
        <v>288</v>
      </c>
      <c r="D160" s="96" t="s">
        <v>22</v>
      </c>
      <c r="E160" s="94"/>
      <c r="F160" s="94"/>
      <c r="G160" s="126" t="s">
        <v>587</v>
      </c>
      <c r="H160" s="127" t="s">
        <v>24</v>
      </c>
      <c r="I160" s="94">
        <v>5</v>
      </c>
      <c r="J160" s="4">
        <v>56666</v>
      </c>
      <c r="K160" s="5">
        <f t="shared" si="82"/>
        <v>73666</v>
      </c>
      <c r="L160" s="6">
        <f t="shared" si="83"/>
        <v>368330</v>
      </c>
      <c r="M160" s="166"/>
      <c r="N160" s="168"/>
      <c r="O160" s="82"/>
      <c r="P160" s="4">
        <f t="shared" si="84"/>
        <v>0</v>
      </c>
      <c r="Q160" s="4">
        <f t="shared" si="85"/>
        <v>0</v>
      </c>
      <c r="R160" s="53">
        <f t="shared" si="86"/>
        <v>0</v>
      </c>
      <c r="S160" s="161" t="str">
        <f t="shared" si="87"/>
        <v>NO CUMPLE</v>
      </c>
      <c r="T160" s="52"/>
    </row>
    <row r="161" spans="1:20" ht="13.15" x14ac:dyDescent="0.35">
      <c r="A161" s="169"/>
      <c r="C161" s="110" t="s">
        <v>289</v>
      </c>
      <c r="D161" s="96" t="s">
        <v>22</v>
      </c>
      <c r="E161" s="94"/>
      <c r="F161" s="94"/>
      <c r="G161" s="126" t="s">
        <v>588</v>
      </c>
      <c r="H161" s="127" t="s">
        <v>24</v>
      </c>
      <c r="I161" s="94">
        <v>6</v>
      </c>
      <c r="J161" s="4">
        <v>83015</v>
      </c>
      <c r="K161" s="5">
        <f t="shared" si="82"/>
        <v>107920</v>
      </c>
      <c r="L161" s="6">
        <f t="shared" si="83"/>
        <v>647520</v>
      </c>
      <c r="M161" s="166"/>
      <c r="N161" s="168"/>
      <c r="O161" s="82"/>
      <c r="P161" s="4">
        <f t="shared" si="84"/>
        <v>0</v>
      </c>
      <c r="Q161" s="4">
        <f t="shared" si="85"/>
        <v>0</v>
      </c>
      <c r="R161" s="53">
        <f t="shared" si="86"/>
        <v>0</v>
      </c>
      <c r="S161" s="161" t="str">
        <f t="shared" si="87"/>
        <v>NO CUMPLE</v>
      </c>
      <c r="T161" s="52"/>
    </row>
    <row r="162" spans="1:20" ht="13.15" x14ac:dyDescent="0.35">
      <c r="A162" s="169"/>
      <c r="C162" s="110" t="s">
        <v>290</v>
      </c>
      <c r="D162" s="94" t="s">
        <v>22</v>
      </c>
      <c r="E162" s="94"/>
      <c r="F162" s="94"/>
      <c r="G162" s="126" t="s">
        <v>589</v>
      </c>
      <c r="H162" s="127" t="s">
        <v>24</v>
      </c>
      <c r="I162" s="94">
        <v>2</v>
      </c>
      <c r="J162" s="4">
        <v>120188</v>
      </c>
      <c r="K162" s="5">
        <f t="shared" si="82"/>
        <v>156244</v>
      </c>
      <c r="L162" s="6">
        <f t="shared" si="83"/>
        <v>312488</v>
      </c>
      <c r="M162" s="166"/>
      <c r="N162" s="168"/>
      <c r="O162" s="82"/>
      <c r="P162" s="4">
        <f t="shared" si="84"/>
        <v>0</v>
      </c>
      <c r="Q162" s="4">
        <f t="shared" si="85"/>
        <v>0</v>
      </c>
      <c r="R162" s="53">
        <f t="shared" si="86"/>
        <v>0</v>
      </c>
      <c r="S162" s="161" t="str">
        <f t="shared" si="87"/>
        <v>NO CUMPLE</v>
      </c>
      <c r="T162" s="52"/>
    </row>
    <row r="163" spans="1:20" ht="13.15" x14ac:dyDescent="0.35">
      <c r="A163" s="169"/>
      <c r="C163" s="110" t="s">
        <v>291</v>
      </c>
      <c r="D163" s="94" t="s">
        <v>292</v>
      </c>
      <c r="E163" s="94"/>
      <c r="F163" s="94"/>
      <c r="G163" s="126" t="s">
        <v>293</v>
      </c>
      <c r="H163" s="127" t="s">
        <v>45</v>
      </c>
      <c r="I163" s="94">
        <v>22.7</v>
      </c>
      <c r="J163" s="19">
        <v>42489</v>
      </c>
      <c r="K163" s="5">
        <f t="shared" si="82"/>
        <v>55236</v>
      </c>
      <c r="L163" s="6">
        <f t="shared" si="83"/>
        <v>1253857</v>
      </c>
      <c r="M163" s="166"/>
      <c r="N163" s="168"/>
      <c r="O163" s="82"/>
      <c r="P163" s="4">
        <f t="shared" si="84"/>
        <v>0</v>
      </c>
      <c r="Q163" s="4">
        <f t="shared" si="85"/>
        <v>0</v>
      </c>
      <c r="R163" s="53">
        <f t="shared" si="86"/>
        <v>0</v>
      </c>
      <c r="S163" s="161" t="str">
        <f t="shared" si="87"/>
        <v>NO CUMPLE</v>
      </c>
      <c r="T163" s="52"/>
    </row>
    <row r="164" spans="1:20" ht="13.15" x14ac:dyDescent="0.35">
      <c r="A164" s="169"/>
      <c r="C164" s="110" t="s">
        <v>294</v>
      </c>
      <c r="D164" s="94" t="s">
        <v>295</v>
      </c>
      <c r="E164" s="94"/>
      <c r="F164" s="94"/>
      <c r="G164" s="126" t="s">
        <v>296</v>
      </c>
      <c r="H164" s="127" t="s">
        <v>45</v>
      </c>
      <c r="I164" s="94">
        <v>5.68</v>
      </c>
      <c r="J164" s="19">
        <v>158650</v>
      </c>
      <c r="K164" s="5">
        <f t="shared" si="82"/>
        <v>206245</v>
      </c>
      <c r="L164" s="6">
        <f t="shared" si="83"/>
        <v>1171472</v>
      </c>
      <c r="M164" s="166"/>
      <c r="N164" s="168"/>
      <c r="O164" s="82"/>
      <c r="P164" s="4">
        <f t="shared" si="84"/>
        <v>0</v>
      </c>
      <c r="Q164" s="4">
        <f t="shared" si="85"/>
        <v>0</v>
      </c>
      <c r="R164" s="53">
        <f t="shared" si="86"/>
        <v>0</v>
      </c>
      <c r="S164" s="161" t="str">
        <f t="shared" si="87"/>
        <v>NO CUMPLE</v>
      </c>
      <c r="T164" s="52"/>
    </row>
    <row r="165" spans="1:20" ht="13.15" x14ac:dyDescent="0.35">
      <c r="A165" s="169"/>
      <c r="C165" s="110" t="s">
        <v>297</v>
      </c>
      <c r="D165" s="94" t="s">
        <v>50</v>
      </c>
      <c r="E165" s="94"/>
      <c r="F165" s="94"/>
      <c r="G165" s="126" t="s">
        <v>51</v>
      </c>
      <c r="H165" s="127" t="s">
        <v>45</v>
      </c>
      <c r="I165" s="94">
        <v>8.51</v>
      </c>
      <c r="J165" s="19">
        <v>95264</v>
      </c>
      <c r="K165" s="5">
        <f>ROUNDUP(J165+(J165*$L$319),0)</f>
        <v>123844</v>
      </c>
      <c r="L165" s="6">
        <f t="shared" si="83"/>
        <v>1053912</v>
      </c>
      <c r="M165" s="166"/>
      <c r="N165" s="168"/>
      <c r="O165" s="82"/>
      <c r="P165" s="4">
        <f t="shared" si="84"/>
        <v>0</v>
      </c>
      <c r="Q165" s="4">
        <f>ROUNDUP(P165+(P165*$R$319),0)</f>
        <v>0</v>
      </c>
      <c r="R165" s="53">
        <f t="shared" si="86"/>
        <v>0</v>
      </c>
      <c r="S165" s="161" t="str">
        <f t="shared" si="87"/>
        <v>NO CUMPLE</v>
      </c>
      <c r="T165" s="52"/>
    </row>
    <row r="166" spans="1:20" ht="13.15" x14ac:dyDescent="0.35">
      <c r="A166" s="169"/>
      <c r="C166" s="110" t="s">
        <v>298</v>
      </c>
      <c r="D166" s="94" t="s">
        <v>299</v>
      </c>
      <c r="E166" s="94"/>
      <c r="F166" s="94"/>
      <c r="G166" s="126" t="s">
        <v>300</v>
      </c>
      <c r="H166" s="127" t="s">
        <v>45</v>
      </c>
      <c r="I166" s="94">
        <v>8.51</v>
      </c>
      <c r="J166" s="19">
        <v>35020</v>
      </c>
      <c r="K166" s="5">
        <f t="shared" si="82"/>
        <v>45526</v>
      </c>
      <c r="L166" s="6">
        <f t="shared" si="83"/>
        <v>387426</v>
      </c>
      <c r="M166" s="166"/>
      <c r="N166" s="168"/>
      <c r="O166" s="82"/>
      <c r="P166" s="4">
        <f t="shared" si="84"/>
        <v>0</v>
      </c>
      <c r="Q166" s="4">
        <f t="shared" si="85"/>
        <v>0</v>
      </c>
      <c r="R166" s="53">
        <f t="shared" si="86"/>
        <v>0</v>
      </c>
      <c r="S166" s="161" t="str">
        <f t="shared" si="87"/>
        <v>NO CUMPLE</v>
      </c>
      <c r="T166" s="52"/>
    </row>
    <row r="167" spans="1:20" ht="13.15" x14ac:dyDescent="0.35">
      <c r="A167" s="169"/>
      <c r="C167" s="110" t="s">
        <v>301</v>
      </c>
      <c r="D167" s="94" t="s">
        <v>302</v>
      </c>
      <c r="E167" s="94"/>
      <c r="F167" s="94"/>
      <c r="G167" s="126" t="s">
        <v>303</v>
      </c>
      <c r="H167" s="127" t="s">
        <v>24</v>
      </c>
      <c r="I167" s="94">
        <v>6</v>
      </c>
      <c r="J167" s="19">
        <v>117942</v>
      </c>
      <c r="K167" s="5">
        <f t="shared" si="82"/>
        <v>153325</v>
      </c>
      <c r="L167" s="6">
        <f t="shared" si="83"/>
        <v>919950</v>
      </c>
      <c r="M167" s="166"/>
      <c r="N167" s="168"/>
      <c r="O167" s="82"/>
      <c r="P167" s="4">
        <f t="shared" si="84"/>
        <v>0</v>
      </c>
      <c r="Q167" s="4">
        <f t="shared" si="85"/>
        <v>0</v>
      </c>
      <c r="R167" s="53">
        <f t="shared" si="86"/>
        <v>0</v>
      </c>
      <c r="S167" s="161" t="str">
        <f t="shared" si="87"/>
        <v>NO CUMPLE</v>
      </c>
      <c r="T167" s="52"/>
    </row>
    <row r="168" spans="1:20" ht="16.5" x14ac:dyDescent="0.35">
      <c r="A168" s="169"/>
      <c r="C168" s="110"/>
      <c r="D168" s="99"/>
      <c r="E168" s="99"/>
      <c r="F168" s="99"/>
      <c r="G168" s="121" t="s">
        <v>40</v>
      </c>
      <c r="H168" s="101"/>
      <c r="I168" s="102"/>
      <c r="J168" s="4"/>
      <c r="K168" s="5"/>
      <c r="L168" s="7">
        <f>SUBTOTAL(9,L153:L167)</f>
        <v>14864774</v>
      </c>
      <c r="M168" s="166"/>
      <c r="N168" s="168"/>
      <c r="O168" s="82"/>
      <c r="P168" s="4"/>
      <c r="Q168" s="4"/>
      <c r="R168" s="54">
        <f>SUBTOTAL(9,R153:R167)</f>
        <v>0</v>
      </c>
      <c r="S168" s="55"/>
      <c r="T168" s="52"/>
    </row>
    <row r="169" spans="1:20" ht="13.15" x14ac:dyDescent="0.35">
      <c r="A169" s="169"/>
      <c r="C169" s="129" t="s">
        <v>304</v>
      </c>
      <c r="D169" s="264" t="s">
        <v>305</v>
      </c>
      <c r="E169" s="264"/>
      <c r="F169" s="264"/>
      <c r="G169" s="264"/>
      <c r="H169" s="130"/>
      <c r="I169" s="131"/>
      <c r="J169" s="21"/>
      <c r="K169" s="22"/>
      <c r="L169" s="23"/>
      <c r="M169" s="166"/>
      <c r="N169" s="168"/>
      <c r="O169" s="86"/>
      <c r="P169" s="21"/>
      <c r="Q169" s="21"/>
      <c r="R169" s="64"/>
      <c r="S169" s="65"/>
      <c r="T169" s="61"/>
    </row>
    <row r="170" spans="1:20" ht="13.15" x14ac:dyDescent="0.35">
      <c r="A170" s="169"/>
      <c r="C170" s="110" t="s">
        <v>306</v>
      </c>
      <c r="D170" s="96" t="s">
        <v>22</v>
      </c>
      <c r="E170" s="94"/>
      <c r="F170" s="94"/>
      <c r="G170" s="126" t="s">
        <v>590</v>
      </c>
      <c r="H170" s="127" t="s">
        <v>20</v>
      </c>
      <c r="I170" s="94">
        <v>69.05</v>
      </c>
      <c r="J170" s="24">
        <v>30358</v>
      </c>
      <c r="K170" s="5">
        <f>ROUNDUP(J170+(J170*$L$319),0)</f>
        <v>39466</v>
      </c>
      <c r="L170" s="6">
        <f t="shared" ref="L170:L181" si="88">ROUND(I170*K170,0)</f>
        <v>2725127</v>
      </c>
      <c r="M170" s="166"/>
      <c r="N170" s="168"/>
      <c r="O170" s="82"/>
      <c r="P170" s="4">
        <f t="shared" ref="P170:P181" si="89">ROUND(O170,0)</f>
        <v>0</v>
      </c>
      <c r="Q170" s="4">
        <f>ROUNDUP(P170+(P170*$R$319),0)</f>
        <v>0</v>
      </c>
      <c r="R170" s="53">
        <f t="shared" ref="R170:R181" si="90">ROUND(Q170*I170,0)</f>
        <v>0</v>
      </c>
      <c r="S170" s="161" t="str">
        <f t="shared" ref="S170:S181" si="91">IF(OR(P170&lt;=0,P170&gt;J170,Q170&lt;=0,Q170&gt;K170,R170&lt;=0,R170&gt;L170,$R$325="NO CUMPLE"),"NO CUMPLE","CUMPLE")</f>
        <v>NO CUMPLE</v>
      </c>
      <c r="T170" s="52"/>
    </row>
    <row r="171" spans="1:20" ht="13.15" x14ac:dyDescent="0.35">
      <c r="A171" s="169"/>
      <c r="C171" s="110" t="s">
        <v>307</v>
      </c>
      <c r="D171" s="94" t="s">
        <v>278</v>
      </c>
      <c r="E171" s="94"/>
      <c r="F171" s="94"/>
      <c r="G171" s="126" t="s">
        <v>279</v>
      </c>
      <c r="H171" s="127" t="s">
        <v>20</v>
      </c>
      <c r="I171" s="94">
        <v>20.73</v>
      </c>
      <c r="J171" s="24">
        <v>55589</v>
      </c>
      <c r="K171" s="5">
        <f t="shared" ref="K171:K181" si="92">ROUND(J171+(J171*$L$319),0)</f>
        <v>72266</v>
      </c>
      <c r="L171" s="6">
        <f t="shared" si="88"/>
        <v>1498074</v>
      </c>
      <c r="M171" s="166"/>
      <c r="N171" s="168"/>
      <c r="O171" s="82"/>
      <c r="P171" s="4">
        <f t="shared" si="89"/>
        <v>0</v>
      </c>
      <c r="Q171" s="4">
        <f t="shared" ref="Q171:Q181" si="93">ROUND(P171+(P171*$R$319),0)</f>
        <v>0</v>
      </c>
      <c r="R171" s="53">
        <f t="shared" si="90"/>
        <v>0</v>
      </c>
      <c r="S171" s="161" t="str">
        <f t="shared" si="91"/>
        <v>NO CUMPLE</v>
      </c>
      <c r="T171" s="52"/>
    </row>
    <row r="172" spans="1:20" ht="13.15" x14ac:dyDescent="0.35">
      <c r="A172" s="169"/>
      <c r="C172" s="110" t="s">
        <v>308</v>
      </c>
      <c r="D172" s="94" t="s">
        <v>281</v>
      </c>
      <c r="E172" s="94"/>
      <c r="F172" s="94"/>
      <c r="G172" s="126" t="s">
        <v>282</v>
      </c>
      <c r="H172" s="127" t="s">
        <v>20</v>
      </c>
      <c r="I172" s="94">
        <v>18.79</v>
      </c>
      <c r="J172" s="24">
        <v>74978</v>
      </c>
      <c r="K172" s="5">
        <f>ROUNDUP(J172+(J172*$L$319),0)</f>
        <v>97472</v>
      </c>
      <c r="L172" s="6">
        <f t="shared" si="88"/>
        <v>1831499</v>
      </c>
      <c r="M172" s="166"/>
      <c r="N172" s="168"/>
      <c r="O172" s="82"/>
      <c r="P172" s="4">
        <f t="shared" si="89"/>
        <v>0</v>
      </c>
      <c r="Q172" s="4">
        <f>ROUNDUP(P172+(P172*$R$319),0)</f>
        <v>0</v>
      </c>
      <c r="R172" s="53">
        <f t="shared" si="90"/>
        <v>0</v>
      </c>
      <c r="S172" s="161" t="str">
        <f t="shared" si="91"/>
        <v>NO CUMPLE</v>
      </c>
      <c r="T172" s="52"/>
    </row>
    <row r="173" spans="1:20" ht="13.15" x14ac:dyDescent="0.35">
      <c r="A173" s="169"/>
      <c r="C173" s="110" t="s">
        <v>309</v>
      </c>
      <c r="D173" s="94" t="s">
        <v>310</v>
      </c>
      <c r="E173" s="94"/>
      <c r="F173" s="94"/>
      <c r="G173" s="126" t="s">
        <v>591</v>
      </c>
      <c r="H173" s="127" t="s">
        <v>20</v>
      </c>
      <c r="I173" s="94">
        <v>2.1</v>
      </c>
      <c r="J173" s="24">
        <v>72265</v>
      </c>
      <c r="K173" s="5">
        <f t="shared" si="92"/>
        <v>93945</v>
      </c>
      <c r="L173" s="6">
        <f t="shared" si="88"/>
        <v>197285</v>
      </c>
      <c r="M173" s="166"/>
      <c r="N173" s="168"/>
      <c r="O173" s="82"/>
      <c r="P173" s="4">
        <f t="shared" si="89"/>
        <v>0</v>
      </c>
      <c r="Q173" s="4">
        <f t="shared" si="93"/>
        <v>0</v>
      </c>
      <c r="R173" s="53">
        <f t="shared" si="90"/>
        <v>0</v>
      </c>
      <c r="S173" s="161" t="str">
        <f t="shared" si="91"/>
        <v>NO CUMPLE</v>
      </c>
      <c r="T173" s="52"/>
    </row>
    <row r="174" spans="1:20" ht="13.15" x14ac:dyDescent="0.35">
      <c r="A174" s="169"/>
      <c r="C174" s="110" t="s">
        <v>311</v>
      </c>
      <c r="D174" s="94" t="s">
        <v>245</v>
      </c>
      <c r="E174" s="94"/>
      <c r="F174" s="94"/>
      <c r="G174" s="126" t="s">
        <v>246</v>
      </c>
      <c r="H174" s="127" t="s">
        <v>24</v>
      </c>
      <c r="I174" s="94">
        <v>18</v>
      </c>
      <c r="J174" s="24">
        <v>14138</v>
      </c>
      <c r="K174" s="5">
        <f t="shared" si="92"/>
        <v>18379</v>
      </c>
      <c r="L174" s="6">
        <f t="shared" si="88"/>
        <v>330822</v>
      </c>
      <c r="M174" s="166"/>
      <c r="N174" s="168"/>
      <c r="O174" s="82"/>
      <c r="P174" s="4">
        <f t="shared" si="89"/>
        <v>0</v>
      </c>
      <c r="Q174" s="4">
        <f t="shared" si="93"/>
        <v>0</v>
      </c>
      <c r="R174" s="53">
        <f t="shared" si="90"/>
        <v>0</v>
      </c>
      <c r="S174" s="161" t="str">
        <f t="shared" si="91"/>
        <v>NO CUMPLE</v>
      </c>
      <c r="T174" s="52"/>
    </row>
    <row r="175" spans="1:20" ht="13.15" x14ac:dyDescent="0.35">
      <c r="A175" s="169"/>
      <c r="C175" s="110" t="s">
        <v>312</v>
      </c>
      <c r="D175" s="94" t="s">
        <v>292</v>
      </c>
      <c r="E175" s="94"/>
      <c r="F175" s="94"/>
      <c r="G175" s="126" t="s">
        <v>293</v>
      </c>
      <c r="H175" s="127" t="s">
        <v>45</v>
      </c>
      <c r="I175" s="94">
        <v>34.74</v>
      </c>
      <c r="J175" s="24">
        <v>42489</v>
      </c>
      <c r="K175" s="5">
        <f t="shared" si="92"/>
        <v>55236</v>
      </c>
      <c r="L175" s="6">
        <f t="shared" si="88"/>
        <v>1918899</v>
      </c>
      <c r="M175" s="166"/>
      <c r="N175" s="168"/>
      <c r="O175" s="82"/>
      <c r="P175" s="4">
        <f t="shared" si="89"/>
        <v>0</v>
      </c>
      <c r="Q175" s="4">
        <f t="shared" si="93"/>
        <v>0</v>
      </c>
      <c r="R175" s="53">
        <f t="shared" si="90"/>
        <v>0</v>
      </c>
      <c r="S175" s="161" t="str">
        <f t="shared" si="91"/>
        <v>NO CUMPLE</v>
      </c>
      <c r="T175" s="52"/>
    </row>
    <row r="176" spans="1:20" ht="13.15" x14ac:dyDescent="0.35">
      <c r="A176" s="169"/>
      <c r="C176" s="110" t="s">
        <v>313</v>
      </c>
      <c r="D176" s="94" t="s">
        <v>295</v>
      </c>
      <c r="E176" s="94"/>
      <c r="F176" s="94"/>
      <c r="G176" s="126" t="s">
        <v>296</v>
      </c>
      <c r="H176" s="127" t="s">
        <v>45</v>
      </c>
      <c r="I176" s="94">
        <v>8.69</v>
      </c>
      <c r="J176" s="24">
        <v>158650</v>
      </c>
      <c r="K176" s="5">
        <f t="shared" si="92"/>
        <v>206245</v>
      </c>
      <c r="L176" s="6">
        <f t="shared" si="88"/>
        <v>1792269</v>
      </c>
      <c r="M176" s="166"/>
      <c r="N176" s="168"/>
      <c r="O176" s="82"/>
      <c r="P176" s="4">
        <f t="shared" si="89"/>
        <v>0</v>
      </c>
      <c r="Q176" s="4">
        <f t="shared" si="93"/>
        <v>0</v>
      </c>
      <c r="R176" s="53">
        <f t="shared" si="90"/>
        <v>0</v>
      </c>
      <c r="S176" s="161" t="str">
        <f t="shared" si="91"/>
        <v>NO CUMPLE</v>
      </c>
      <c r="T176" s="52"/>
    </row>
    <row r="177" spans="1:20" ht="13.15" x14ac:dyDescent="0.35">
      <c r="A177" s="169"/>
      <c r="C177" s="110" t="s">
        <v>314</v>
      </c>
      <c r="D177" s="94" t="s">
        <v>50</v>
      </c>
      <c r="E177" s="94"/>
      <c r="F177" s="94"/>
      <c r="G177" s="126" t="s">
        <v>51</v>
      </c>
      <c r="H177" s="127" t="s">
        <v>45</v>
      </c>
      <c r="I177" s="94">
        <v>13.03</v>
      </c>
      <c r="J177" s="24">
        <v>95264</v>
      </c>
      <c r="K177" s="5">
        <f>ROUNDUP(J177+(J177*$L$319),0)</f>
        <v>123844</v>
      </c>
      <c r="L177" s="6">
        <f t="shared" si="88"/>
        <v>1613687</v>
      </c>
      <c r="M177" s="166"/>
      <c r="N177" s="168"/>
      <c r="O177" s="82"/>
      <c r="P177" s="4">
        <f t="shared" si="89"/>
        <v>0</v>
      </c>
      <c r="Q177" s="4">
        <f>ROUNDUP(P177+(P177*$R$319),0)</f>
        <v>0</v>
      </c>
      <c r="R177" s="53">
        <f t="shared" si="90"/>
        <v>0</v>
      </c>
      <c r="S177" s="161" t="str">
        <f t="shared" si="91"/>
        <v>NO CUMPLE</v>
      </c>
      <c r="T177" s="52"/>
    </row>
    <row r="178" spans="1:20" ht="13.15" x14ac:dyDescent="0.35">
      <c r="A178" s="169"/>
      <c r="C178" s="110" t="s">
        <v>315</v>
      </c>
      <c r="D178" s="94" t="s">
        <v>299</v>
      </c>
      <c r="E178" s="94"/>
      <c r="F178" s="94"/>
      <c r="G178" s="126" t="s">
        <v>300</v>
      </c>
      <c r="H178" s="127" t="s">
        <v>45</v>
      </c>
      <c r="I178" s="94">
        <v>13.03</v>
      </c>
      <c r="J178" s="24">
        <v>35020</v>
      </c>
      <c r="K178" s="5">
        <f t="shared" si="92"/>
        <v>45526</v>
      </c>
      <c r="L178" s="6">
        <f t="shared" si="88"/>
        <v>593204</v>
      </c>
      <c r="M178" s="166"/>
      <c r="N178" s="168"/>
      <c r="O178" s="82"/>
      <c r="P178" s="4">
        <f t="shared" si="89"/>
        <v>0</v>
      </c>
      <c r="Q178" s="4">
        <f t="shared" si="93"/>
        <v>0</v>
      </c>
      <c r="R178" s="53">
        <f t="shared" si="90"/>
        <v>0</v>
      </c>
      <c r="S178" s="161" t="str">
        <f t="shared" si="91"/>
        <v>NO CUMPLE</v>
      </c>
      <c r="T178" s="52"/>
    </row>
    <row r="179" spans="1:20" ht="13.15" x14ac:dyDescent="0.35">
      <c r="A179" s="169"/>
      <c r="C179" s="110" t="s">
        <v>316</v>
      </c>
      <c r="D179" s="94" t="s">
        <v>302</v>
      </c>
      <c r="E179" s="94"/>
      <c r="F179" s="94"/>
      <c r="G179" s="126" t="s">
        <v>303</v>
      </c>
      <c r="H179" s="127" t="s">
        <v>24</v>
      </c>
      <c r="I179" s="94">
        <v>15</v>
      </c>
      <c r="J179" s="24">
        <v>117942</v>
      </c>
      <c r="K179" s="5">
        <f t="shared" si="92"/>
        <v>153325</v>
      </c>
      <c r="L179" s="6">
        <f t="shared" si="88"/>
        <v>2299875</v>
      </c>
      <c r="M179" s="166"/>
      <c r="N179" s="168"/>
      <c r="O179" s="82"/>
      <c r="P179" s="4">
        <f t="shared" si="89"/>
        <v>0</v>
      </c>
      <c r="Q179" s="4">
        <f t="shared" si="93"/>
        <v>0</v>
      </c>
      <c r="R179" s="53">
        <f t="shared" si="90"/>
        <v>0</v>
      </c>
      <c r="S179" s="161" t="str">
        <f t="shared" si="91"/>
        <v>NO CUMPLE</v>
      </c>
      <c r="T179" s="52"/>
    </row>
    <row r="180" spans="1:20" ht="13.15" x14ac:dyDescent="0.35">
      <c r="A180" s="169"/>
      <c r="C180" s="110" t="s">
        <v>317</v>
      </c>
      <c r="D180" s="96" t="s">
        <v>22</v>
      </c>
      <c r="E180" s="94"/>
      <c r="F180" s="94"/>
      <c r="G180" s="126" t="s">
        <v>586</v>
      </c>
      <c r="H180" s="127" t="s">
        <v>24</v>
      </c>
      <c r="I180" s="94">
        <v>2</v>
      </c>
      <c r="J180" s="24">
        <v>886708</v>
      </c>
      <c r="K180" s="5">
        <f>ROUNDUP(J180+(J180*$L$319),0)</f>
        <v>1152721</v>
      </c>
      <c r="L180" s="6">
        <f t="shared" si="88"/>
        <v>2305442</v>
      </c>
      <c r="M180" s="166"/>
      <c r="N180" s="168"/>
      <c r="O180" s="82"/>
      <c r="P180" s="4">
        <f t="shared" si="89"/>
        <v>0</v>
      </c>
      <c r="Q180" s="4">
        <f>ROUNDUP(P180+(P180*$R$319),0)</f>
        <v>0</v>
      </c>
      <c r="R180" s="53">
        <f t="shared" si="90"/>
        <v>0</v>
      </c>
      <c r="S180" s="161" t="str">
        <f t="shared" si="91"/>
        <v>NO CUMPLE</v>
      </c>
      <c r="T180" s="52"/>
    </row>
    <row r="181" spans="1:20" ht="13.15" x14ac:dyDescent="0.35">
      <c r="A181" s="169"/>
      <c r="C181" s="110" t="s">
        <v>318</v>
      </c>
      <c r="D181" s="96" t="s">
        <v>22</v>
      </c>
      <c r="E181" s="94"/>
      <c r="F181" s="94"/>
      <c r="G181" s="126" t="s">
        <v>592</v>
      </c>
      <c r="H181" s="127" t="s">
        <v>20</v>
      </c>
      <c r="I181" s="94">
        <v>5.4</v>
      </c>
      <c r="J181" s="24">
        <v>56006</v>
      </c>
      <c r="K181" s="5">
        <f t="shared" si="92"/>
        <v>72808</v>
      </c>
      <c r="L181" s="6">
        <f t="shared" si="88"/>
        <v>393163</v>
      </c>
      <c r="M181" s="166"/>
      <c r="N181" s="168"/>
      <c r="O181" s="82"/>
      <c r="P181" s="4">
        <f t="shared" si="89"/>
        <v>0</v>
      </c>
      <c r="Q181" s="4">
        <f t="shared" si="93"/>
        <v>0</v>
      </c>
      <c r="R181" s="53">
        <f t="shared" si="90"/>
        <v>0</v>
      </c>
      <c r="S181" s="161" t="str">
        <f t="shared" si="91"/>
        <v>NO CUMPLE</v>
      </c>
      <c r="T181" s="52"/>
    </row>
    <row r="182" spans="1:20" ht="16.5" x14ac:dyDescent="0.35">
      <c r="A182" s="169"/>
      <c r="C182" s="93"/>
      <c r="D182" s="99"/>
      <c r="E182" s="99"/>
      <c r="F182" s="99"/>
      <c r="G182" s="121" t="s">
        <v>40</v>
      </c>
      <c r="H182" s="101"/>
      <c r="I182" s="102"/>
      <c r="J182" s="4"/>
      <c r="K182" s="5"/>
      <c r="L182" s="7">
        <f>SUBTOTAL(9,L170:L181)</f>
        <v>17499346</v>
      </c>
      <c r="M182" s="166"/>
      <c r="N182" s="168"/>
      <c r="O182" s="82"/>
      <c r="P182" s="4"/>
      <c r="Q182" s="4"/>
      <c r="R182" s="54">
        <f>SUBTOTAL(9,R170:R181)</f>
        <v>0</v>
      </c>
      <c r="S182" s="55"/>
      <c r="T182" s="52"/>
    </row>
    <row r="183" spans="1:20" ht="13.15" x14ac:dyDescent="0.35">
      <c r="A183" s="169"/>
      <c r="C183" s="90">
        <v>7</v>
      </c>
      <c r="D183" s="263" t="s">
        <v>319</v>
      </c>
      <c r="E183" s="263"/>
      <c r="F183" s="263"/>
      <c r="G183" s="263"/>
      <c r="H183" s="114"/>
      <c r="I183" s="92"/>
      <c r="J183" s="11"/>
      <c r="K183" s="12"/>
      <c r="L183" s="13"/>
      <c r="M183" s="166"/>
      <c r="N183" s="168"/>
      <c r="O183" s="84"/>
      <c r="P183" s="11"/>
      <c r="Q183" s="11"/>
      <c r="R183" s="59"/>
      <c r="S183" s="60"/>
      <c r="T183" s="61"/>
    </row>
    <row r="184" spans="1:20" ht="25.5" x14ac:dyDescent="0.35">
      <c r="A184" s="169"/>
      <c r="C184" s="98" t="s">
        <v>320</v>
      </c>
      <c r="D184" s="94" t="s">
        <v>321</v>
      </c>
      <c r="E184" s="94"/>
      <c r="F184" s="94"/>
      <c r="G184" s="126" t="s">
        <v>322</v>
      </c>
      <c r="H184" s="127" t="s">
        <v>30</v>
      </c>
      <c r="I184" s="94">
        <v>101.89</v>
      </c>
      <c r="J184" s="18">
        <v>220111</v>
      </c>
      <c r="K184" s="5">
        <f>ROUNDUP(J184+(J184*$L$319),0)</f>
        <v>286145</v>
      </c>
      <c r="L184" s="6">
        <f t="shared" ref="L184:L193" si="94">ROUND(I184*K184,0)</f>
        <v>29155314</v>
      </c>
      <c r="M184" s="166"/>
      <c r="N184" s="168"/>
      <c r="O184" s="82"/>
      <c r="P184" s="4">
        <f t="shared" ref="P184:P193" si="95">ROUND(O184,0)</f>
        <v>0</v>
      </c>
      <c r="Q184" s="4">
        <f>ROUNDUP(P184+(P184*$R$319),0)</f>
        <v>0</v>
      </c>
      <c r="R184" s="53">
        <f t="shared" ref="R184:R193" si="96">ROUND(Q184*I184,0)</f>
        <v>0</v>
      </c>
      <c r="S184" s="161" t="str">
        <f t="shared" ref="S184:S193" si="97">IF(OR(P184&lt;=0,P184&gt;J184,Q184&lt;=0,Q184&gt;K184,R184&lt;=0,R184&gt;L184,$R$325="NO CUMPLE"),"NO CUMPLE","CUMPLE")</f>
        <v>NO CUMPLE</v>
      </c>
      <c r="T184" s="52"/>
    </row>
    <row r="185" spans="1:20" ht="25.5" x14ac:dyDescent="0.35">
      <c r="A185" s="169"/>
      <c r="C185" s="98" t="s">
        <v>323</v>
      </c>
      <c r="D185" s="94" t="s">
        <v>22</v>
      </c>
      <c r="E185" s="94"/>
      <c r="F185" s="94"/>
      <c r="G185" s="126" t="s">
        <v>324</v>
      </c>
      <c r="H185" s="127" t="s">
        <v>74</v>
      </c>
      <c r="I185" s="94">
        <v>40.57</v>
      </c>
      <c r="J185" s="18">
        <v>288644</v>
      </c>
      <c r="K185" s="5">
        <f t="shared" ref="K185:K193" si="98">ROUND(J185+(J185*$L$319),0)</f>
        <v>375237</v>
      </c>
      <c r="L185" s="6">
        <f t="shared" si="94"/>
        <v>15223365</v>
      </c>
      <c r="M185" s="166"/>
      <c r="N185" s="168"/>
      <c r="O185" s="82"/>
      <c r="P185" s="4">
        <f t="shared" si="95"/>
        <v>0</v>
      </c>
      <c r="Q185" s="4">
        <f t="shared" ref="Q185:Q193" si="99">ROUND(P185+(P185*$R$319),0)</f>
        <v>0</v>
      </c>
      <c r="R185" s="53">
        <f t="shared" si="96"/>
        <v>0</v>
      </c>
      <c r="S185" s="161" t="str">
        <f t="shared" si="97"/>
        <v>NO CUMPLE</v>
      </c>
      <c r="T185" s="52"/>
    </row>
    <row r="186" spans="1:20" ht="13.15" x14ac:dyDescent="0.35">
      <c r="A186" s="169"/>
      <c r="C186" s="98" t="s">
        <v>325</v>
      </c>
      <c r="D186" s="94" t="s">
        <v>326</v>
      </c>
      <c r="E186" s="94"/>
      <c r="F186" s="94"/>
      <c r="G186" s="126" t="s">
        <v>327</v>
      </c>
      <c r="H186" s="127" t="s">
        <v>20</v>
      </c>
      <c r="I186" s="94">
        <v>17.79</v>
      </c>
      <c r="J186" s="18">
        <v>49882</v>
      </c>
      <c r="K186" s="5">
        <f t="shared" si="98"/>
        <v>64847</v>
      </c>
      <c r="L186" s="6">
        <f t="shared" si="94"/>
        <v>1153628</v>
      </c>
      <c r="M186" s="166"/>
      <c r="N186" s="168"/>
      <c r="O186" s="82"/>
      <c r="P186" s="4">
        <f t="shared" si="95"/>
        <v>0</v>
      </c>
      <c r="Q186" s="4">
        <f t="shared" si="99"/>
        <v>0</v>
      </c>
      <c r="R186" s="53">
        <f t="shared" si="96"/>
        <v>0</v>
      </c>
      <c r="S186" s="161" t="str">
        <f t="shared" si="97"/>
        <v>NO CUMPLE</v>
      </c>
      <c r="T186" s="52"/>
    </row>
    <row r="187" spans="1:20" ht="13.15" x14ac:dyDescent="0.35">
      <c r="A187" s="169"/>
      <c r="C187" s="98" t="s">
        <v>328</v>
      </c>
      <c r="D187" s="94" t="s">
        <v>329</v>
      </c>
      <c r="E187" s="94"/>
      <c r="F187" s="94"/>
      <c r="G187" s="126" t="s">
        <v>330</v>
      </c>
      <c r="H187" s="127" t="s">
        <v>20</v>
      </c>
      <c r="I187" s="94">
        <v>23.7</v>
      </c>
      <c r="J187" s="18">
        <v>31384</v>
      </c>
      <c r="K187" s="5">
        <f>ROUNDUP(J187+(J187*$L$319),0)</f>
        <v>40800</v>
      </c>
      <c r="L187" s="6">
        <f t="shared" si="94"/>
        <v>966960</v>
      </c>
      <c r="M187" s="166"/>
      <c r="N187" s="168"/>
      <c r="O187" s="82"/>
      <c r="P187" s="4">
        <f t="shared" si="95"/>
        <v>0</v>
      </c>
      <c r="Q187" s="4">
        <f>ROUNDUP(P187+(P187*$R$319),0)</f>
        <v>0</v>
      </c>
      <c r="R187" s="53">
        <f t="shared" si="96"/>
        <v>0</v>
      </c>
      <c r="S187" s="161" t="str">
        <f t="shared" si="97"/>
        <v>NO CUMPLE</v>
      </c>
      <c r="T187" s="52"/>
    </row>
    <row r="188" spans="1:20" ht="25.5" x14ac:dyDescent="0.35">
      <c r="A188" s="169"/>
      <c r="C188" s="98" t="s">
        <v>331</v>
      </c>
      <c r="D188" s="94" t="s">
        <v>22</v>
      </c>
      <c r="E188" s="94"/>
      <c r="F188" s="94"/>
      <c r="G188" s="126" t="s">
        <v>332</v>
      </c>
      <c r="H188" s="127" t="s">
        <v>30</v>
      </c>
      <c r="I188" s="94">
        <v>32.24</v>
      </c>
      <c r="J188" s="18">
        <v>47500</v>
      </c>
      <c r="K188" s="5">
        <f t="shared" si="98"/>
        <v>61750</v>
      </c>
      <c r="L188" s="6">
        <f t="shared" si="94"/>
        <v>1990820</v>
      </c>
      <c r="M188" s="166"/>
      <c r="N188" s="168"/>
      <c r="O188" s="82"/>
      <c r="P188" s="4">
        <f t="shared" si="95"/>
        <v>0</v>
      </c>
      <c r="Q188" s="4">
        <f t="shared" si="99"/>
        <v>0</v>
      </c>
      <c r="R188" s="53">
        <f t="shared" si="96"/>
        <v>0</v>
      </c>
      <c r="S188" s="161" t="str">
        <f t="shared" si="97"/>
        <v>NO CUMPLE</v>
      </c>
      <c r="T188" s="52"/>
    </row>
    <row r="189" spans="1:20" ht="13.15" x14ac:dyDescent="0.35">
      <c r="A189" s="169"/>
      <c r="C189" s="98" t="s">
        <v>333</v>
      </c>
      <c r="D189" s="94" t="s">
        <v>334</v>
      </c>
      <c r="E189" s="94"/>
      <c r="F189" s="94"/>
      <c r="G189" s="126" t="s">
        <v>335</v>
      </c>
      <c r="H189" s="127" t="s">
        <v>20</v>
      </c>
      <c r="I189" s="94">
        <v>21.8</v>
      </c>
      <c r="J189" s="18">
        <v>33282</v>
      </c>
      <c r="K189" s="5">
        <f t="shared" si="98"/>
        <v>43267</v>
      </c>
      <c r="L189" s="6">
        <f t="shared" si="94"/>
        <v>943221</v>
      </c>
      <c r="M189" s="166"/>
      <c r="N189" s="168"/>
      <c r="O189" s="82"/>
      <c r="P189" s="4">
        <f t="shared" si="95"/>
        <v>0</v>
      </c>
      <c r="Q189" s="4">
        <f t="shared" si="99"/>
        <v>0</v>
      </c>
      <c r="R189" s="53">
        <f t="shared" si="96"/>
        <v>0</v>
      </c>
      <c r="S189" s="161" t="str">
        <f t="shared" si="97"/>
        <v>NO CUMPLE</v>
      </c>
      <c r="T189" s="52"/>
    </row>
    <row r="190" spans="1:20" ht="13.15" x14ac:dyDescent="0.35">
      <c r="A190" s="169"/>
      <c r="C190" s="98" t="s">
        <v>336</v>
      </c>
      <c r="D190" s="94" t="s">
        <v>22</v>
      </c>
      <c r="E190" s="94"/>
      <c r="F190" s="94"/>
      <c r="G190" s="126" t="s">
        <v>337</v>
      </c>
      <c r="H190" s="127" t="s">
        <v>20</v>
      </c>
      <c r="I190" s="94">
        <v>101.2</v>
      </c>
      <c r="J190" s="18">
        <v>24741</v>
      </c>
      <c r="K190" s="5">
        <f>ROUNDUP(J190+(J190*$L$319),0)</f>
        <v>32164</v>
      </c>
      <c r="L190" s="6">
        <f t="shared" si="94"/>
        <v>3254997</v>
      </c>
      <c r="M190" s="166"/>
      <c r="N190" s="168"/>
      <c r="O190" s="82"/>
      <c r="P190" s="4">
        <f t="shared" si="95"/>
        <v>0</v>
      </c>
      <c r="Q190" s="4">
        <f>ROUNDUP(P190+(P190*$R$319),0)</f>
        <v>0</v>
      </c>
      <c r="R190" s="53">
        <f t="shared" si="96"/>
        <v>0</v>
      </c>
      <c r="S190" s="161" t="str">
        <f t="shared" si="97"/>
        <v>NO CUMPLE</v>
      </c>
      <c r="T190" s="52"/>
    </row>
    <row r="191" spans="1:20" ht="38.25" x14ac:dyDescent="0.35">
      <c r="A191" s="169"/>
      <c r="C191" s="98" t="s">
        <v>338</v>
      </c>
      <c r="D191" s="94" t="s">
        <v>22</v>
      </c>
      <c r="E191" s="94"/>
      <c r="F191" s="94"/>
      <c r="G191" s="126" t="s">
        <v>339</v>
      </c>
      <c r="H191" s="127" t="s">
        <v>16</v>
      </c>
      <c r="I191" s="94">
        <v>5</v>
      </c>
      <c r="J191" s="18">
        <v>76064</v>
      </c>
      <c r="K191" s="5">
        <f t="shared" si="98"/>
        <v>98883</v>
      </c>
      <c r="L191" s="6">
        <f t="shared" si="94"/>
        <v>494415</v>
      </c>
      <c r="M191" s="166"/>
      <c r="N191" s="168"/>
      <c r="O191" s="82"/>
      <c r="P191" s="4">
        <f t="shared" si="95"/>
        <v>0</v>
      </c>
      <c r="Q191" s="4">
        <f t="shared" si="99"/>
        <v>0</v>
      </c>
      <c r="R191" s="53">
        <f t="shared" si="96"/>
        <v>0</v>
      </c>
      <c r="S191" s="161" t="str">
        <f t="shared" si="97"/>
        <v>NO CUMPLE</v>
      </c>
      <c r="T191" s="52"/>
    </row>
    <row r="192" spans="1:20" ht="25.5" x14ac:dyDescent="0.35">
      <c r="A192" s="169"/>
      <c r="C192" s="98" t="s">
        <v>340</v>
      </c>
      <c r="D192" s="94" t="s">
        <v>22</v>
      </c>
      <c r="E192" s="94"/>
      <c r="F192" s="94"/>
      <c r="G192" s="126" t="s">
        <v>341</v>
      </c>
      <c r="H192" s="127" t="s">
        <v>30</v>
      </c>
      <c r="I192" s="94">
        <v>32.24</v>
      </c>
      <c r="J192" s="18">
        <v>159584</v>
      </c>
      <c r="K192" s="5">
        <f t="shared" si="98"/>
        <v>207459</v>
      </c>
      <c r="L192" s="6">
        <f t="shared" si="94"/>
        <v>6688478</v>
      </c>
      <c r="M192" s="166"/>
      <c r="N192" s="168"/>
      <c r="O192" s="82"/>
      <c r="P192" s="4">
        <f t="shared" si="95"/>
        <v>0</v>
      </c>
      <c r="Q192" s="4">
        <f t="shared" si="99"/>
        <v>0</v>
      </c>
      <c r="R192" s="53">
        <f t="shared" si="96"/>
        <v>0</v>
      </c>
      <c r="S192" s="161" t="str">
        <f t="shared" si="97"/>
        <v>NO CUMPLE</v>
      </c>
      <c r="T192" s="52"/>
    </row>
    <row r="193" spans="1:20" ht="13.15" x14ac:dyDescent="0.35">
      <c r="A193" s="169"/>
      <c r="C193" s="98" t="s">
        <v>342</v>
      </c>
      <c r="D193" s="94" t="s">
        <v>343</v>
      </c>
      <c r="E193" s="94"/>
      <c r="F193" s="94"/>
      <c r="G193" s="126" t="s">
        <v>344</v>
      </c>
      <c r="H193" s="127" t="s">
        <v>45</v>
      </c>
      <c r="I193" s="94">
        <v>20.45</v>
      </c>
      <c r="J193" s="18">
        <v>135362</v>
      </c>
      <c r="K193" s="5">
        <f t="shared" si="98"/>
        <v>175971</v>
      </c>
      <c r="L193" s="6">
        <f t="shared" si="94"/>
        <v>3598607</v>
      </c>
      <c r="M193" s="166"/>
      <c r="N193" s="168"/>
      <c r="O193" s="82"/>
      <c r="P193" s="4">
        <f t="shared" si="95"/>
        <v>0</v>
      </c>
      <c r="Q193" s="4">
        <f t="shared" si="99"/>
        <v>0</v>
      </c>
      <c r="R193" s="53">
        <f t="shared" si="96"/>
        <v>0</v>
      </c>
      <c r="S193" s="161" t="str">
        <f t="shared" si="97"/>
        <v>NO CUMPLE</v>
      </c>
      <c r="T193" s="52"/>
    </row>
    <row r="194" spans="1:20" ht="16.5" x14ac:dyDescent="0.35">
      <c r="A194" s="169"/>
      <c r="C194" s="93"/>
      <c r="D194" s="99"/>
      <c r="E194" s="99"/>
      <c r="F194" s="99"/>
      <c r="G194" s="121" t="s">
        <v>40</v>
      </c>
      <c r="H194" s="101"/>
      <c r="I194" s="102"/>
      <c r="J194" s="4"/>
      <c r="K194" s="5"/>
      <c r="L194" s="7">
        <f>SUBTOTAL(9,L184:L193)</f>
        <v>63469805</v>
      </c>
      <c r="M194" s="166"/>
      <c r="N194" s="168"/>
      <c r="O194" s="82"/>
      <c r="P194" s="4"/>
      <c r="Q194" s="4"/>
      <c r="R194" s="54">
        <f>SUBTOTAL(9,R184:R193)</f>
        <v>0</v>
      </c>
      <c r="S194" s="55"/>
      <c r="T194" s="52"/>
    </row>
    <row r="195" spans="1:20" ht="13.15" x14ac:dyDescent="0.35">
      <c r="A195" s="169"/>
      <c r="C195" s="90">
        <v>8</v>
      </c>
      <c r="D195" s="263" t="s">
        <v>345</v>
      </c>
      <c r="E195" s="263"/>
      <c r="F195" s="263"/>
      <c r="G195" s="263"/>
      <c r="H195" s="114"/>
      <c r="I195" s="92"/>
      <c r="J195" s="11"/>
      <c r="K195" s="12"/>
      <c r="L195" s="13"/>
      <c r="M195" s="166"/>
      <c r="N195" s="168"/>
      <c r="O195" s="84"/>
      <c r="P195" s="11"/>
      <c r="Q195" s="11"/>
      <c r="R195" s="59"/>
      <c r="S195" s="60"/>
      <c r="T195" s="61"/>
    </row>
    <row r="196" spans="1:20" ht="13.15" x14ac:dyDescent="0.35">
      <c r="A196" s="169"/>
      <c r="C196" s="98" t="s">
        <v>346</v>
      </c>
      <c r="D196" s="94" t="s">
        <v>347</v>
      </c>
      <c r="E196" s="94"/>
      <c r="F196" s="94"/>
      <c r="G196" s="126" t="s">
        <v>348</v>
      </c>
      <c r="H196" s="127" t="s">
        <v>30</v>
      </c>
      <c r="I196" s="94">
        <v>95.29</v>
      </c>
      <c r="J196" s="18">
        <v>42313</v>
      </c>
      <c r="K196" s="5">
        <f t="shared" ref="K196:K197" si="100">ROUND(J196+(J196*$L$319),0)</f>
        <v>55007</v>
      </c>
      <c r="L196" s="6">
        <f t="shared" ref="L196:L197" si="101">ROUND(I196*K196,0)</f>
        <v>5241617</v>
      </c>
      <c r="M196" s="166"/>
      <c r="N196" s="168"/>
      <c r="O196" s="82"/>
      <c r="P196" s="4">
        <f t="shared" ref="P196:P197" si="102">ROUND(O196,0)</f>
        <v>0</v>
      </c>
      <c r="Q196" s="4">
        <f t="shared" ref="Q196:Q197" si="103">ROUND(P196+(P196*$R$319),0)</f>
        <v>0</v>
      </c>
      <c r="R196" s="53">
        <f>ROUND(Q196*I196,0)</f>
        <v>0</v>
      </c>
      <c r="S196" s="161" t="str">
        <f t="shared" ref="S196:S197" si="104">IF(OR(P196&lt;=0,P196&gt;J196,Q196&lt;=0,Q196&gt;K196,R196&lt;=0,R196&gt;L196,$R$325="NO CUMPLE"),"NO CUMPLE","CUMPLE")</f>
        <v>NO CUMPLE</v>
      </c>
      <c r="T196" s="52"/>
    </row>
    <row r="197" spans="1:20" ht="13.15" x14ac:dyDescent="0.35">
      <c r="A197" s="169"/>
      <c r="C197" s="98" t="s">
        <v>349</v>
      </c>
      <c r="D197" s="94" t="s">
        <v>350</v>
      </c>
      <c r="E197" s="94"/>
      <c r="F197" s="94"/>
      <c r="G197" s="126" t="s">
        <v>351</v>
      </c>
      <c r="H197" s="127" t="s">
        <v>30</v>
      </c>
      <c r="I197" s="94">
        <v>34.61</v>
      </c>
      <c r="J197" s="18">
        <v>49816</v>
      </c>
      <c r="K197" s="5">
        <f t="shared" si="100"/>
        <v>64761</v>
      </c>
      <c r="L197" s="6">
        <f t="shared" si="101"/>
        <v>2241378</v>
      </c>
      <c r="M197" s="166"/>
      <c r="N197" s="168"/>
      <c r="O197" s="82"/>
      <c r="P197" s="4">
        <f t="shared" si="102"/>
        <v>0</v>
      </c>
      <c r="Q197" s="4">
        <f t="shared" si="103"/>
        <v>0</v>
      </c>
      <c r="R197" s="53">
        <f>ROUND(Q197*I197,0)</f>
        <v>0</v>
      </c>
      <c r="S197" s="161" t="str">
        <f t="shared" si="104"/>
        <v>NO CUMPLE</v>
      </c>
      <c r="T197" s="52"/>
    </row>
    <row r="198" spans="1:20" ht="16.5" x14ac:dyDescent="0.35">
      <c r="A198" s="169"/>
      <c r="C198" s="93"/>
      <c r="D198" s="99"/>
      <c r="E198" s="99"/>
      <c r="F198" s="99"/>
      <c r="G198" s="121" t="s">
        <v>40</v>
      </c>
      <c r="H198" s="101"/>
      <c r="I198" s="102"/>
      <c r="J198" s="4"/>
      <c r="K198" s="5"/>
      <c r="L198" s="7">
        <f>SUBTOTAL(9,L196:L197)</f>
        <v>7482995</v>
      </c>
      <c r="M198" s="166"/>
      <c r="N198" s="168"/>
      <c r="O198" s="82"/>
      <c r="P198" s="4"/>
      <c r="Q198" s="4"/>
      <c r="R198" s="54">
        <f>SUBTOTAL(9,R196:R197)</f>
        <v>0</v>
      </c>
      <c r="S198" s="55"/>
      <c r="T198" s="52"/>
    </row>
    <row r="199" spans="1:20" ht="13.15" x14ac:dyDescent="0.35">
      <c r="A199" s="169"/>
      <c r="C199" s="90">
        <v>9</v>
      </c>
      <c r="D199" s="263" t="s">
        <v>352</v>
      </c>
      <c r="E199" s="263"/>
      <c r="F199" s="263"/>
      <c r="G199" s="263"/>
      <c r="H199" s="114"/>
      <c r="I199" s="92"/>
      <c r="J199" s="11"/>
      <c r="K199" s="12"/>
      <c r="L199" s="13"/>
      <c r="M199" s="166"/>
      <c r="N199" s="168"/>
      <c r="O199" s="84"/>
      <c r="P199" s="11"/>
      <c r="Q199" s="11"/>
      <c r="R199" s="59"/>
      <c r="S199" s="60"/>
      <c r="T199" s="61"/>
    </row>
    <row r="200" spans="1:20" ht="63.75" x14ac:dyDescent="0.35">
      <c r="A200" s="169"/>
      <c r="C200" s="98" t="s">
        <v>353</v>
      </c>
      <c r="D200" s="94" t="s">
        <v>22</v>
      </c>
      <c r="E200" s="94"/>
      <c r="F200" s="94"/>
      <c r="G200" s="126" t="s">
        <v>354</v>
      </c>
      <c r="H200" s="127" t="s">
        <v>30</v>
      </c>
      <c r="I200" s="94">
        <v>174.24</v>
      </c>
      <c r="J200" s="24">
        <v>66923</v>
      </c>
      <c r="K200" s="5">
        <f t="shared" ref="K200:K212" si="105">ROUND(J200+(J200*$L$319),0)</f>
        <v>87000</v>
      </c>
      <c r="L200" s="6">
        <f t="shared" ref="L200:L212" si="106">ROUND(I200*K200,0)</f>
        <v>15158880</v>
      </c>
      <c r="M200" s="166"/>
      <c r="N200" s="168"/>
      <c r="O200" s="82"/>
      <c r="P200" s="4">
        <f t="shared" ref="P200:P212" si="107">ROUND(O200,0)</f>
        <v>0</v>
      </c>
      <c r="Q200" s="4">
        <f t="shared" ref="Q200:Q212" si="108">ROUND(P200+(P200*$R$319),0)</f>
        <v>0</v>
      </c>
      <c r="R200" s="53">
        <f t="shared" ref="R200:R212" si="109">ROUND(Q200*I200,0)</f>
        <v>0</v>
      </c>
      <c r="S200" s="161" t="str">
        <f t="shared" ref="S200:S212" si="110">IF(OR(P200&lt;=0,P200&gt;J200,Q200&lt;=0,Q200&gt;K200,R200&lt;=0,R200&gt;L200,$R$325="NO CUMPLE"),"NO CUMPLE","CUMPLE")</f>
        <v>NO CUMPLE</v>
      </c>
      <c r="T200" s="52"/>
    </row>
    <row r="201" spans="1:20" ht="63.75" x14ac:dyDescent="0.35">
      <c r="A201" s="169"/>
      <c r="C201" s="98" t="s">
        <v>355</v>
      </c>
      <c r="D201" s="94" t="s">
        <v>22</v>
      </c>
      <c r="E201" s="94"/>
      <c r="F201" s="94"/>
      <c r="G201" s="126" t="s">
        <v>356</v>
      </c>
      <c r="H201" s="127" t="s">
        <v>20</v>
      </c>
      <c r="I201" s="94">
        <v>25.34</v>
      </c>
      <c r="J201" s="24">
        <v>53077</v>
      </c>
      <c r="K201" s="5">
        <f t="shared" si="105"/>
        <v>69000</v>
      </c>
      <c r="L201" s="6">
        <f t="shared" si="106"/>
        <v>1748460</v>
      </c>
      <c r="M201" s="166"/>
      <c r="N201" s="168"/>
      <c r="O201" s="82"/>
      <c r="P201" s="4">
        <f t="shared" si="107"/>
        <v>0</v>
      </c>
      <c r="Q201" s="4">
        <f t="shared" si="108"/>
        <v>0</v>
      </c>
      <c r="R201" s="53">
        <f t="shared" si="109"/>
        <v>0</v>
      </c>
      <c r="S201" s="161" t="str">
        <f t="shared" si="110"/>
        <v>NO CUMPLE</v>
      </c>
      <c r="T201" s="52"/>
    </row>
    <row r="202" spans="1:20" ht="63.75" x14ac:dyDescent="0.35">
      <c r="A202" s="169"/>
      <c r="C202" s="98" t="s">
        <v>357</v>
      </c>
      <c r="D202" s="94" t="s">
        <v>22</v>
      </c>
      <c r="E202" s="94"/>
      <c r="F202" s="94"/>
      <c r="G202" s="126" t="s">
        <v>358</v>
      </c>
      <c r="H202" s="127" t="s">
        <v>20</v>
      </c>
      <c r="I202" s="94">
        <v>26.34</v>
      </c>
      <c r="J202" s="24">
        <v>62715</v>
      </c>
      <c r="K202" s="5">
        <f t="shared" si="105"/>
        <v>81530</v>
      </c>
      <c r="L202" s="6">
        <f t="shared" si="106"/>
        <v>2147500</v>
      </c>
      <c r="M202" s="166"/>
      <c r="N202" s="168"/>
      <c r="O202" s="82"/>
      <c r="P202" s="4">
        <f t="shared" si="107"/>
        <v>0</v>
      </c>
      <c r="Q202" s="4">
        <f t="shared" si="108"/>
        <v>0</v>
      </c>
      <c r="R202" s="53">
        <f t="shared" si="109"/>
        <v>0</v>
      </c>
      <c r="S202" s="161" t="str">
        <f t="shared" si="110"/>
        <v>NO CUMPLE</v>
      </c>
      <c r="T202" s="52"/>
    </row>
    <row r="203" spans="1:20" s="172" customFormat="1" ht="38.25" x14ac:dyDescent="0.35">
      <c r="B203" s="173"/>
      <c r="C203" s="98" t="s">
        <v>359</v>
      </c>
      <c r="D203" s="94" t="s">
        <v>22</v>
      </c>
      <c r="E203" s="106"/>
      <c r="F203" s="106"/>
      <c r="G203" s="126" t="s">
        <v>360</v>
      </c>
      <c r="H203" s="127" t="s">
        <v>20</v>
      </c>
      <c r="I203" s="94">
        <v>5.47</v>
      </c>
      <c r="J203" s="24">
        <v>92961</v>
      </c>
      <c r="K203" s="5">
        <f>ROUNDUP(J203+(J203*$L$319),0)</f>
        <v>120850</v>
      </c>
      <c r="L203" s="6">
        <f t="shared" si="106"/>
        <v>661050</v>
      </c>
      <c r="M203" s="174"/>
      <c r="O203" s="82"/>
      <c r="P203" s="4">
        <f t="shared" si="107"/>
        <v>0</v>
      </c>
      <c r="Q203" s="4">
        <f>ROUNDUP(P203+(P203*$R$319),0)</f>
        <v>0</v>
      </c>
      <c r="R203" s="53">
        <f t="shared" si="109"/>
        <v>0</v>
      </c>
      <c r="S203" s="161" t="str">
        <f t="shared" si="110"/>
        <v>NO CUMPLE</v>
      </c>
      <c r="T203" s="52"/>
    </row>
    <row r="204" spans="1:20" s="172" customFormat="1" ht="38.25" x14ac:dyDescent="0.35">
      <c r="B204" s="173"/>
      <c r="C204" s="98" t="s">
        <v>361</v>
      </c>
      <c r="D204" s="94" t="s">
        <v>22</v>
      </c>
      <c r="E204" s="106"/>
      <c r="F204" s="106"/>
      <c r="G204" s="126" t="s">
        <v>362</v>
      </c>
      <c r="H204" s="127" t="s">
        <v>20</v>
      </c>
      <c r="I204" s="94">
        <v>5.47</v>
      </c>
      <c r="J204" s="24">
        <v>120621</v>
      </c>
      <c r="K204" s="5">
        <f>ROUNDUP(J204+(J204*$L$319),0)</f>
        <v>156808</v>
      </c>
      <c r="L204" s="6">
        <f t="shared" si="106"/>
        <v>857740</v>
      </c>
      <c r="M204" s="174"/>
      <c r="O204" s="82"/>
      <c r="P204" s="4">
        <f t="shared" si="107"/>
        <v>0</v>
      </c>
      <c r="Q204" s="4">
        <f>ROUNDUP(P204+(P204*$R$319),0)</f>
        <v>0</v>
      </c>
      <c r="R204" s="53">
        <f t="shared" si="109"/>
        <v>0</v>
      </c>
      <c r="S204" s="161" t="str">
        <f t="shared" si="110"/>
        <v>NO CUMPLE</v>
      </c>
      <c r="T204" s="52"/>
    </row>
    <row r="205" spans="1:20" ht="13.15" x14ac:dyDescent="0.35">
      <c r="A205" s="169"/>
      <c r="C205" s="98" t="s">
        <v>363</v>
      </c>
      <c r="D205" s="94" t="s">
        <v>364</v>
      </c>
      <c r="E205" s="94"/>
      <c r="F205" s="94"/>
      <c r="G205" s="126" t="s">
        <v>365</v>
      </c>
      <c r="H205" s="127" t="s">
        <v>20</v>
      </c>
      <c r="I205" s="94">
        <v>98.37</v>
      </c>
      <c r="J205" s="24">
        <v>9530</v>
      </c>
      <c r="K205" s="5">
        <f t="shared" si="105"/>
        <v>12389</v>
      </c>
      <c r="L205" s="6">
        <f t="shared" si="106"/>
        <v>1218706</v>
      </c>
      <c r="M205" s="166"/>
      <c r="N205" s="168"/>
      <c r="O205" s="82"/>
      <c r="P205" s="4">
        <f t="shared" si="107"/>
        <v>0</v>
      </c>
      <c r="Q205" s="4">
        <f t="shared" si="108"/>
        <v>0</v>
      </c>
      <c r="R205" s="53">
        <f t="shared" si="109"/>
        <v>0</v>
      </c>
      <c r="S205" s="161" t="str">
        <f t="shared" si="110"/>
        <v>NO CUMPLE</v>
      </c>
      <c r="T205" s="52"/>
    </row>
    <row r="206" spans="1:20" ht="13.15" x14ac:dyDescent="0.35">
      <c r="A206" s="169"/>
      <c r="C206" s="98" t="s">
        <v>366</v>
      </c>
      <c r="D206" s="94" t="s">
        <v>72</v>
      </c>
      <c r="E206" s="94"/>
      <c r="F206" s="109"/>
      <c r="G206" s="126" t="s">
        <v>73</v>
      </c>
      <c r="H206" s="127" t="s">
        <v>74</v>
      </c>
      <c r="I206" s="94">
        <v>605</v>
      </c>
      <c r="J206" s="24">
        <v>8453</v>
      </c>
      <c r="K206" s="5">
        <f t="shared" si="105"/>
        <v>10989</v>
      </c>
      <c r="L206" s="6">
        <f t="shared" si="106"/>
        <v>6648345</v>
      </c>
      <c r="M206" s="166"/>
      <c r="N206" s="168"/>
      <c r="O206" s="82"/>
      <c r="P206" s="4">
        <f t="shared" si="107"/>
        <v>0</v>
      </c>
      <c r="Q206" s="4">
        <f t="shared" si="108"/>
        <v>0</v>
      </c>
      <c r="R206" s="53">
        <f t="shared" si="109"/>
        <v>0</v>
      </c>
      <c r="S206" s="161" t="str">
        <f t="shared" si="110"/>
        <v>NO CUMPLE</v>
      </c>
      <c r="T206" s="52"/>
    </row>
    <row r="207" spans="1:20" ht="13.15" x14ac:dyDescent="0.35">
      <c r="A207" s="169"/>
      <c r="C207" s="98" t="s">
        <v>367</v>
      </c>
      <c r="D207" s="94" t="s">
        <v>368</v>
      </c>
      <c r="E207" s="94"/>
      <c r="F207" s="94"/>
      <c r="G207" s="126" t="s">
        <v>369</v>
      </c>
      <c r="H207" s="127" t="s">
        <v>16</v>
      </c>
      <c r="I207" s="94">
        <v>49</v>
      </c>
      <c r="J207" s="24">
        <v>20555</v>
      </c>
      <c r="K207" s="5">
        <f t="shared" si="105"/>
        <v>26722</v>
      </c>
      <c r="L207" s="6">
        <f t="shared" si="106"/>
        <v>1309378</v>
      </c>
      <c r="M207" s="166"/>
      <c r="N207" s="168"/>
      <c r="O207" s="82"/>
      <c r="P207" s="4">
        <f t="shared" si="107"/>
        <v>0</v>
      </c>
      <c r="Q207" s="4">
        <f t="shared" si="108"/>
        <v>0</v>
      </c>
      <c r="R207" s="53">
        <f t="shared" si="109"/>
        <v>0</v>
      </c>
      <c r="S207" s="161" t="str">
        <f t="shared" si="110"/>
        <v>NO CUMPLE</v>
      </c>
      <c r="T207" s="52"/>
    </row>
    <row r="208" spans="1:20" ht="25.5" x14ac:dyDescent="0.35">
      <c r="A208" s="169"/>
      <c r="C208" s="98" t="s">
        <v>370</v>
      </c>
      <c r="D208" s="94" t="s">
        <v>371</v>
      </c>
      <c r="E208" s="94"/>
      <c r="F208" s="94"/>
      <c r="G208" s="126" t="s">
        <v>372</v>
      </c>
      <c r="H208" s="127" t="s">
        <v>30</v>
      </c>
      <c r="I208" s="94">
        <v>247.78</v>
      </c>
      <c r="J208" s="24">
        <v>17102</v>
      </c>
      <c r="K208" s="5">
        <f t="shared" si="105"/>
        <v>22233</v>
      </c>
      <c r="L208" s="6">
        <f t="shared" si="106"/>
        <v>5508893</v>
      </c>
      <c r="M208" s="166"/>
      <c r="N208" s="168"/>
      <c r="O208" s="82"/>
      <c r="P208" s="4">
        <f t="shared" si="107"/>
        <v>0</v>
      </c>
      <c r="Q208" s="4">
        <f t="shared" si="108"/>
        <v>0</v>
      </c>
      <c r="R208" s="53">
        <f t="shared" si="109"/>
        <v>0</v>
      </c>
      <c r="S208" s="161" t="str">
        <f t="shared" si="110"/>
        <v>NO CUMPLE</v>
      </c>
      <c r="T208" s="52"/>
    </row>
    <row r="209" spans="1:20" ht="13.15" x14ac:dyDescent="0.35">
      <c r="A209" s="169"/>
      <c r="C209" s="98" t="s">
        <v>373</v>
      </c>
      <c r="D209" s="94" t="s">
        <v>374</v>
      </c>
      <c r="E209" s="94"/>
      <c r="F209" s="94"/>
      <c r="G209" s="126" t="s">
        <v>375</v>
      </c>
      <c r="H209" s="127" t="s">
        <v>30</v>
      </c>
      <c r="I209" s="94">
        <v>247.78000000000003</v>
      </c>
      <c r="J209" s="24">
        <v>12743</v>
      </c>
      <c r="K209" s="5">
        <f t="shared" si="105"/>
        <v>16566</v>
      </c>
      <c r="L209" s="6">
        <f t="shared" si="106"/>
        <v>4104723</v>
      </c>
      <c r="M209" s="166"/>
      <c r="N209" s="168"/>
      <c r="O209" s="82"/>
      <c r="P209" s="4">
        <f t="shared" si="107"/>
        <v>0</v>
      </c>
      <c r="Q209" s="4">
        <f t="shared" si="108"/>
        <v>0</v>
      </c>
      <c r="R209" s="53">
        <f t="shared" si="109"/>
        <v>0</v>
      </c>
      <c r="S209" s="161" t="str">
        <f t="shared" si="110"/>
        <v>NO CUMPLE</v>
      </c>
      <c r="T209" s="52"/>
    </row>
    <row r="210" spans="1:20" ht="13.15" x14ac:dyDescent="0.35">
      <c r="A210" s="169"/>
      <c r="C210" s="98" t="s">
        <v>376</v>
      </c>
      <c r="D210" s="94" t="s">
        <v>377</v>
      </c>
      <c r="E210" s="94"/>
      <c r="F210" s="94"/>
      <c r="G210" s="126" t="s">
        <v>378</v>
      </c>
      <c r="H210" s="127" t="s">
        <v>30</v>
      </c>
      <c r="I210" s="94">
        <v>19.940000000000001</v>
      </c>
      <c r="J210" s="24">
        <v>34666</v>
      </c>
      <c r="K210" s="5">
        <f t="shared" si="105"/>
        <v>45066</v>
      </c>
      <c r="L210" s="6">
        <f t="shared" si="106"/>
        <v>898616</v>
      </c>
      <c r="M210" s="166"/>
      <c r="N210" s="168"/>
      <c r="O210" s="82"/>
      <c r="P210" s="4">
        <f t="shared" si="107"/>
        <v>0</v>
      </c>
      <c r="Q210" s="4">
        <f t="shared" si="108"/>
        <v>0</v>
      </c>
      <c r="R210" s="53">
        <f t="shared" si="109"/>
        <v>0</v>
      </c>
      <c r="S210" s="161" t="str">
        <f t="shared" si="110"/>
        <v>NO CUMPLE</v>
      </c>
      <c r="T210" s="52"/>
    </row>
    <row r="211" spans="1:20" ht="13.15" x14ac:dyDescent="0.35">
      <c r="A211" s="169"/>
      <c r="C211" s="98" t="s">
        <v>379</v>
      </c>
      <c r="D211" s="94" t="s">
        <v>380</v>
      </c>
      <c r="E211" s="94"/>
      <c r="F211" s="94"/>
      <c r="G211" s="126" t="s">
        <v>381</v>
      </c>
      <c r="H211" s="127" t="s">
        <v>20</v>
      </c>
      <c r="I211" s="94">
        <v>4.5</v>
      </c>
      <c r="J211" s="24">
        <v>23555</v>
      </c>
      <c r="K211" s="5">
        <f t="shared" si="105"/>
        <v>30622</v>
      </c>
      <c r="L211" s="6">
        <f t="shared" si="106"/>
        <v>137799</v>
      </c>
      <c r="M211" s="166"/>
      <c r="N211" s="168"/>
      <c r="O211" s="82"/>
      <c r="P211" s="4">
        <f t="shared" si="107"/>
        <v>0</v>
      </c>
      <c r="Q211" s="4">
        <f t="shared" si="108"/>
        <v>0</v>
      </c>
      <c r="R211" s="53">
        <f t="shared" si="109"/>
        <v>0</v>
      </c>
      <c r="S211" s="161" t="str">
        <f t="shared" si="110"/>
        <v>NO CUMPLE</v>
      </c>
      <c r="T211" s="52"/>
    </row>
    <row r="212" spans="1:20" ht="13.15" x14ac:dyDescent="0.35">
      <c r="A212" s="169"/>
      <c r="C212" s="98" t="s">
        <v>382</v>
      </c>
      <c r="D212" s="94" t="s">
        <v>383</v>
      </c>
      <c r="E212" s="94"/>
      <c r="F212" s="94"/>
      <c r="G212" s="126" t="s">
        <v>384</v>
      </c>
      <c r="H212" s="127" t="s">
        <v>20</v>
      </c>
      <c r="I212" s="94">
        <v>42.21</v>
      </c>
      <c r="J212" s="24">
        <v>7959</v>
      </c>
      <c r="K212" s="5">
        <f t="shared" si="105"/>
        <v>10347</v>
      </c>
      <c r="L212" s="6">
        <f t="shared" si="106"/>
        <v>436747</v>
      </c>
      <c r="M212" s="166"/>
      <c r="N212" s="168"/>
      <c r="O212" s="82"/>
      <c r="P212" s="4">
        <f t="shared" si="107"/>
        <v>0</v>
      </c>
      <c r="Q212" s="4">
        <f t="shared" si="108"/>
        <v>0</v>
      </c>
      <c r="R212" s="53">
        <f t="shared" si="109"/>
        <v>0</v>
      </c>
      <c r="S212" s="161" t="str">
        <f t="shared" si="110"/>
        <v>NO CUMPLE</v>
      </c>
      <c r="T212" s="52"/>
    </row>
    <row r="213" spans="1:20" ht="16.5" x14ac:dyDescent="0.35">
      <c r="A213" s="169"/>
      <c r="C213" s="93"/>
      <c r="D213" s="99"/>
      <c r="E213" s="99"/>
      <c r="F213" s="99"/>
      <c r="G213" s="121" t="s">
        <v>40</v>
      </c>
      <c r="H213" s="101"/>
      <c r="I213" s="102"/>
      <c r="J213" s="4"/>
      <c r="K213" s="5"/>
      <c r="L213" s="7">
        <f>SUBTOTAL(9,L200:L212)</f>
        <v>40836837</v>
      </c>
      <c r="M213" s="166"/>
      <c r="N213" s="168"/>
      <c r="O213" s="82"/>
      <c r="P213" s="4"/>
      <c r="Q213" s="4"/>
      <c r="R213" s="54">
        <f>SUBTOTAL(9,R200:R212)</f>
        <v>0</v>
      </c>
      <c r="S213" s="55"/>
      <c r="T213" s="52"/>
    </row>
    <row r="214" spans="1:20" ht="13.15" x14ac:dyDescent="0.35">
      <c r="A214" s="169"/>
      <c r="C214" s="90">
        <v>10</v>
      </c>
      <c r="D214" s="263" t="s">
        <v>385</v>
      </c>
      <c r="E214" s="263"/>
      <c r="F214" s="263"/>
      <c r="G214" s="263"/>
      <c r="H214" s="114"/>
      <c r="I214" s="92"/>
      <c r="J214" s="11"/>
      <c r="K214" s="12"/>
      <c r="L214" s="13"/>
      <c r="M214" s="166"/>
      <c r="N214" s="168"/>
      <c r="O214" s="84"/>
      <c r="P214" s="11"/>
      <c r="Q214" s="11"/>
      <c r="R214" s="59"/>
      <c r="S214" s="60"/>
      <c r="T214" s="61"/>
    </row>
    <row r="215" spans="1:20" ht="51" x14ac:dyDescent="0.35">
      <c r="A215" s="169"/>
      <c r="C215" s="98" t="s">
        <v>386</v>
      </c>
      <c r="D215" s="94" t="s">
        <v>22</v>
      </c>
      <c r="E215" s="94"/>
      <c r="F215" s="94"/>
      <c r="G215" s="126" t="s">
        <v>387</v>
      </c>
      <c r="H215" s="127" t="s">
        <v>30</v>
      </c>
      <c r="I215" s="94">
        <v>71.66</v>
      </c>
      <c r="J215" s="4">
        <v>94011</v>
      </c>
      <c r="K215" s="5">
        <f>ROUNDUP(J215+(J215*$L$319),0)</f>
        <v>122215</v>
      </c>
      <c r="L215" s="6">
        <f t="shared" ref="L215:L218" si="111">ROUND(I215*K215,0)</f>
        <v>8757927</v>
      </c>
      <c r="M215" s="166"/>
      <c r="N215" s="168"/>
      <c r="O215" s="82"/>
      <c r="P215" s="4">
        <f t="shared" ref="P215:P218" si="112">ROUND(O215,0)</f>
        <v>0</v>
      </c>
      <c r="Q215" s="4">
        <f>ROUNDUP(P215+(P215*$R$319),0)</f>
        <v>0</v>
      </c>
      <c r="R215" s="53">
        <f>ROUND(Q215*I215,0)</f>
        <v>0</v>
      </c>
      <c r="S215" s="161" t="str">
        <f t="shared" ref="S215:S218" si="113">IF(OR(P215&lt;=0,P215&gt;J215,Q215&lt;=0,Q215&gt;K215,R215&lt;=0,R215&gt;L215,$R$325="NO CUMPLE"),"NO CUMPLE","CUMPLE")</f>
        <v>NO CUMPLE</v>
      </c>
      <c r="T215" s="52"/>
    </row>
    <row r="216" spans="1:20" ht="51" x14ac:dyDescent="0.35">
      <c r="A216" s="169"/>
      <c r="C216" s="98" t="s">
        <v>388</v>
      </c>
      <c r="D216" s="94" t="s">
        <v>22</v>
      </c>
      <c r="E216" s="94"/>
      <c r="F216" s="94"/>
      <c r="G216" s="126" t="s">
        <v>389</v>
      </c>
      <c r="H216" s="127" t="s">
        <v>20</v>
      </c>
      <c r="I216" s="94">
        <v>18.940000000000001</v>
      </c>
      <c r="J216" s="4">
        <v>64898</v>
      </c>
      <c r="K216" s="5">
        <f>ROUNDUP(J216+(J216*$L$319),0)</f>
        <v>84368</v>
      </c>
      <c r="L216" s="6">
        <f t="shared" si="111"/>
        <v>1597930</v>
      </c>
      <c r="M216" s="166"/>
      <c r="N216" s="168"/>
      <c r="O216" s="82"/>
      <c r="P216" s="4">
        <f t="shared" si="112"/>
        <v>0</v>
      </c>
      <c r="Q216" s="4">
        <f>ROUNDUP(P216+(P216*$R$319),0)</f>
        <v>0</v>
      </c>
      <c r="R216" s="53">
        <f>ROUND(Q216*I216,0)</f>
        <v>0</v>
      </c>
      <c r="S216" s="161" t="str">
        <f t="shared" si="113"/>
        <v>NO CUMPLE</v>
      </c>
      <c r="T216" s="52"/>
    </row>
    <row r="217" spans="1:20" ht="51" x14ac:dyDescent="0.35">
      <c r="A217" s="169"/>
      <c r="C217" s="98" t="s">
        <v>612</v>
      </c>
      <c r="D217" s="94" t="s">
        <v>22</v>
      </c>
      <c r="E217" s="94"/>
      <c r="F217" s="94"/>
      <c r="G217" s="126" t="s">
        <v>391</v>
      </c>
      <c r="H217" s="127" t="s">
        <v>20</v>
      </c>
      <c r="I217" s="94">
        <v>2.0299999999999998</v>
      </c>
      <c r="J217" s="4">
        <v>63613</v>
      </c>
      <c r="K217" s="5">
        <f t="shared" ref="K217" si="114">ROUND(J217+(J217*$L$319),0)</f>
        <v>82697</v>
      </c>
      <c r="L217" s="6">
        <f t="shared" si="111"/>
        <v>167875</v>
      </c>
      <c r="M217" s="166"/>
      <c r="N217" s="168"/>
      <c r="O217" s="82"/>
      <c r="P217" s="4">
        <f t="shared" si="112"/>
        <v>0</v>
      </c>
      <c r="Q217" s="4">
        <f t="shared" ref="Q217" si="115">ROUND(P217+(P217*$R$319),0)</f>
        <v>0</v>
      </c>
      <c r="R217" s="53">
        <f>ROUND(Q217*I217,0)</f>
        <v>0</v>
      </c>
      <c r="S217" s="161" t="str">
        <f t="shared" si="113"/>
        <v>NO CUMPLE</v>
      </c>
      <c r="T217" s="52"/>
    </row>
    <row r="218" spans="1:20" ht="38.25" x14ac:dyDescent="0.35">
      <c r="A218" s="169"/>
      <c r="C218" s="98" t="s">
        <v>613</v>
      </c>
      <c r="D218" s="94" t="s">
        <v>22</v>
      </c>
      <c r="E218" s="94"/>
      <c r="F218" s="94"/>
      <c r="G218" s="126" t="s">
        <v>393</v>
      </c>
      <c r="H218" s="127" t="s">
        <v>30</v>
      </c>
      <c r="I218" s="94">
        <v>9.7200000000000006</v>
      </c>
      <c r="J218" s="4">
        <v>97081</v>
      </c>
      <c r="K218" s="5">
        <f>ROUNDUP(J218+(J218*$L$319),0)</f>
        <v>126206</v>
      </c>
      <c r="L218" s="6">
        <f t="shared" si="111"/>
        <v>1226722</v>
      </c>
      <c r="M218" s="166"/>
      <c r="N218" s="168"/>
      <c r="O218" s="82"/>
      <c r="P218" s="4">
        <f t="shared" si="112"/>
        <v>0</v>
      </c>
      <c r="Q218" s="4">
        <f>ROUNDUP(P218+(P218*$R$319),0)</f>
        <v>0</v>
      </c>
      <c r="R218" s="53">
        <f>ROUND(Q218*I218,0)</f>
        <v>0</v>
      </c>
      <c r="S218" s="161" t="str">
        <f t="shared" si="113"/>
        <v>NO CUMPLE</v>
      </c>
      <c r="T218" s="52"/>
    </row>
    <row r="219" spans="1:20" ht="16.5" x14ac:dyDescent="0.35">
      <c r="A219" s="169"/>
      <c r="C219" s="93"/>
      <c r="D219" s="99"/>
      <c r="E219" s="99"/>
      <c r="F219" s="99"/>
      <c r="G219" s="121" t="s">
        <v>40</v>
      </c>
      <c r="H219" s="101"/>
      <c r="I219" s="102"/>
      <c r="J219" s="4"/>
      <c r="K219" s="5"/>
      <c r="L219" s="7">
        <f>SUBTOTAL(9,L215:L218)</f>
        <v>11750454</v>
      </c>
      <c r="M219" s="166"/>
      <c r="N219" s="168"/>
      <c r="O219" s="82"/>
      <c r="P219" s="4"/>
      <c r="Q219" s="4"/>
      <c r="R219" s="54">
        <f>SUBTOTAL(9,R215:R218)</f>
        <v>0</v>
      </c>
      <c r="S219" s="55"/>
      <c r="T219" s="52"/>
    </row>
    <row r="220" spans="1:20" ht="13.15" x14ac:dyDescent="0.35">
      <c r="A220" s="169"/>
      <c r="C220" s="90">
        <v>11</v>
      </c>
      <c r="D220" s="263" t="s">
        <v>394</v>
      </c>
      <c r="E220" s="263"/>
      <c r="F220" s="263"/>
      <c r="G220" s="263"/>
      <c r="H220" s="91"/>
      <c r="I220" s="92"/>
      <c r="J220" s="1"/>
      <c r="K220" s="2"/>
      <c r="L220" s="3"/>
      <c r="M220" s="166"/>
      <c r="N220" s="168"/>
      <c r="O220" s="81"/>
      <c r="P220" s="1"/>
      <c r="Q220" s="1"/>
      <c r="R220" s="56"/>
      <c r="S220" s="51"/>
      <c r="T220" s="52"/>
    </row>
    <row r="221" spans="1:20" ht="51" x14ac:dyDescent="0.35">
      <c r="A221" s="169"/>
      <c r="C221" s="98" t="s">
        <v>395</v>
      </c>
      <c r="D221" s="94" t="s">
        <v>22</v>
      </c>
      <c r="E221" s="94"/>
      <c r="F221" s="94"/>
      <c r="G221" s="126" t="s">
        <v>396</v>
      </c>
      <c r="H221" s="127" t="s">
        <v>30</v>
      </c>
      <c r="I221" s="94">
        <v>67.42</v>
      </c>
      <c r="J221" s="18">
        <v>81524</v>
      </c>
      <c r="K221" s="5">
        <f t="shared" ref="K221:K224" si="116">ROUND(J221+(J221*$L$319),0)</f>
        <v>105981</v>
      </c>
      <c r="L221" s="6">
        <f t="shared" ref="L221:L224" si="117">ROUND(I221*K221,0)</f>
        <v>7145239</v>
      </c>
      <c r="M221" s="166"/>
      <c r="N221" s="168"/>
      <c r="O221" s="82"/>
      <c r="P221" s="4">
        <f t="shared" ref="P221:P224" si="118">ROUND(O221,0)</f>
        <v>0</v>
      </c>
      <c r="Q221" s="4">
        <f t="shared" ref="Q221:Q224" si="119">ROUND(P221+(P221*$R$319),0)</f>
        <v>0</v>
      </c>
      <c r="R221" s="53">
        <f>ROUND(Q221*I221,0)</f>
        <v>0</v>
      </c>
      <c r="S221" s="161" t="str">
        <f t="shared" ref="S221:S224" si="120">IF(OR(P221&lt;=0,P221&gt;J221,Q221&lt;=0,Q221&gt;K221,R221&lt;=0,R221&gt;L221,$R$325="NO CUMPLE"),"NO CUMPLE","CUMPLE")</f>
        <v>NO CUMPLE</v>
      </c>
      <c r="T221" s="52"/>
    </row>
    <row r="222" spans="1:20" ht="51" x14ac:dyDescent="0.35">
      <c r="A222" s="169"/>
      <c r="C222" s="98" t="s">
        <v>397</v>
      </c>
      <c r="D222" s="94" t="s">
        <v>22</v>
      </c>
      <c r="E222" s="94"/>
      <c r="F222" s="94"/>
      <c r="G222" s="126" t="s">
        <v>398</v>
      </c>
      <c r="H222" s="127" t="s">
        <v>20</v>
      </c>
      <c r="I222" s="94">
        <v>28.21</v>
      </c>
      <c r="J222" s="18">
        <v>56757</v>
      </c>
      <c r="K222" s="5">
        <f t="shared" si="116"/>
        <v>73784</v>
      </c>
      <c r="L222" s="6">
        <f t="shared" si="117"/>
        <v>2081447</v>
      </c>
      <c r="M222" s="166"/>
      <c r="N222" s="168"/>
      <c r="O222" s="82"/>
      <c r="P222" s="4">
        <f t="shared" si="118"/>
        <v>0</v>
      </c>
      <c r="Q222" s="4">
        <f t="shared" si="119"/>
        <v>0</v>
      </c>
      <c r="R222" s="53">
        <f>ROUND(Q222*I222,0)</f>
        <v>0</v>
      </c>
      <c r="S222" s="161" t="str">
        <f t="shared" si="120"/>
        <v>NO CUMPLE</v>
      </c>
      <c r="T222" s="52"/>
    </row>
    <row r="223" spans="1:20" ht="51" x14ac:dyDescent="0.35">
      <c r="A223" s="169"/>
      <c r="C223" s="98" t="s">
        <v>390</v>
      </c>
      <c r="D223" s="94" t="s">
        <v>22</v>
      </c>
      <c r="E223" s="94"/>
      <c r="F223" s="94"/>
      <c r="G223" s="126" t="s">
        <v>399</v>
      </c>
      <c r="H223" s="127" t="s">
        <v>30</v>
      </c>
      <c r="I223" s="94">
        <v>4.8</v>
      </c>
      <c r="J223" s="18">
        <v>65861</v>
      </c>
      <c r="K223" s="5">
        <f>ROUNDUP(J223+(J223*$L$319),0)</f>
        <v>85620</v>
      </c>
      <c r="L223" s="6">
        <f t="shared" si="117"/>
        <v>410976</v>
      </c>
      <c r="M223" s="166"/>
      <c r="N223" s="168"/>
      <c r="O223" s="82"/>
      <c r="P223" s="4">
        <f t="shared" si="118"/>
        <v>0</v>
      </c>
      <c r="Q223" s="4">
        <f>ROUNDUP(P223+(P223*$R$319),0)</f>
        <v>0</v>
      </c>
      <c r="R223" s="53">
        <f>ROUND(Q223*I223,0)</f>
        <v>0</v>
      </c>
      <c r="S223" s="161" t="str">
        <f t="shared" si="120"/>
        <v>NO CUMPLE</v>
      </c>
      <c r="T223" s="52"/>
    </row>
    <row r="224" spans="1:20" ht="51" x14ac:dyDescent="0.35">
      <c r="A224" s="169"/>
      <c r="C224" s="98" t="s">
        <v>392</v>
      </c>
      <c r="D224" s="94" t="s">
        <v>22</v>
      </c>
      <c r="E224" s="94"/>
      <c r="F224" s="94"/>
      <c r="G224" s="126" t="s">
        <v>400</v>
      </c>
      <c r="H224" s="127" t="s">
        <v>20</v>
      </c>
      <c r="I224" s="94">
        <v>43.4</v>
      </c>
      <c r="J224" s="18">
        <v>42810</v>
      </c>
      <c r="K224" s="5">
        <f t="shared" si="116"/>
        <v>55653</v>
      </c>
      <c r="L224" s="6">
        <f t="shared" si="117"/>
        <v>2415340</v>
      </c>
      <c r="M224" s="166"/>
      <c r="N224" s="168"/>
      <c r="O224" s="82"/>
      <c r="P224" s="4">
        <f t="shared" si="118"/>
        <v>0</v>
      </c>
      <c r="Q224" s="4">
        <f t="shared" si="119"/>
        <v>0</v>
      </c>
      <c r="R224" s="53">
        <f>ROUND(Q224*I224,0)</f>
        <v>0</v>
      </c>
      <c r="S224" s="161" t="str">
        <f t="shared" si="120"/>
        <v>NO CUMPLE</v>
      </c>
      <c r="T224" s="52"/>
    </row>
    <row r="225" spans="1:20" ht="16.5" x14ac:dyDescent="0.35">
      <c r="A225" s="169"/>
      <c r="C225" s="93"/>
      <c r="D225" s="99"/>
      <c r="E225" s="99"/>
      <c r="F225" s="99"/>
      <c r="G225" s="121" t="s">
        <v>40</v>
      </c>
      <c r="H225" s="101"/>
      <c r="I225" s="102"/>
      <c r="J225" s="4"/>
      <c r="K225" s="5"/>
      <c r="L225" s="7">
        <f>SUBTOTAL(9,L221:L224)</f>
        <v>12053002</v>
      </c>
      <c r="M225" s="166"/>
      <c r="N225" s="168"/>
      <c r="O225" s="82"/>
      <c r="P225" s="4"/>
      <c r="Q225" s="4"/>
      <c r="R225" s="54">
        <f>SUBTOTAL(9,R221:R224)</f>
        <v>0</v>
      </c>
      <c r="S225" s="55"/>
      <c r="T225" s="52"/>
    </row>
    <row r="226" spans="1:20" ht="13.15" x14ac:dyDescent="0.35">
      <c r="A226" s="169"/>
      <c r="C226" s="90">
        <v>12</v>
      </c>
      <c r="D226" s="263" t="s">
        <v>401</v>
      </c>
      <c r="E226" s="263"/>
      <c r="F226" s="263"/>
      <c r="G226" s="263"/>
      <c r="H226" s="114"/>
      <c r="I226" s="92"/>
      <c r="J226" s="11"/>
      <c r="K226" s="12"/>
      <c r="L226" s="13"/>
      <c r="M226" s="166"/>
      <c r="N226" s="168"/>
      <c r="O226" s="84"/>
      <c r="P226" s="11"/>
      <c r="Q226" s="11"/>
      <c r="R226" s="59"/>
      <c r="S226" s="60"/>
      <c r="T226" s="61"/>
    </row>
    <row r="227" spans="1:20" ht="38.25" x14ac:dyDescent="0.35">
      <c r="A227" s="169"/>
      <c r="C227" s="98" t="s">
        <v>402</v>
      </c>
      <c r="D227" s="94" t="s">
        <v>22</v>
      </c>
      <c r="E227" s="94"/>
      <c r="F227" s="94"/>
      <c r="G227" s="126" t="s">
        <v>403</v>
      </c>
      <c r="H227" s="127" t="s">
        <v>30</v>
      </c>
      <c r="I227" s="94">
        <v>21.93</v>
      </c>
      <c r="J227" s="18">
        <v>23198</v>
      </c>
      <c r="K227" s="5">
        <f>ROUNDUP(J227+(J227*$L$319),0)</f>
        <v>30158</v>
      </c>
      <c r="L227" s="6">
        <f t="shared" ref="L227:L229" si="121">ROUND(I227*K227,0)</f>
        <v>661365</v>
      </c>
      <c r="M227" s="166"/>
      <c r="N227" s="168"/>
      <c r="O227" s="82"/>
      <c r="P227" s="4">
        <f t="shared" ref="P227:P229" si="122">ROUND(O227,0)</f>
        <v>0</v>
      </c>
      <c r="Q227" s="4">
        <f>ROUNDUP(P227+(P227*$R$319),0)</f>
        <v>0</v>
      </c>
      <c r="R227" s="53">
        <f>ROUND(Q227*I227,0)</f>
        <v>0</v>
      </c>
      <c r="S227" s="161" t="str">
        <f t="shared" ref="S227:S229" si="123">IF(OR(P227&lt;=0,P227&gt;J227,Q227&lt;=0,Q227&gt;K227,R227&lt;=0,R227&gt;L227,$R$325="NO CUMPLE"),"NO CUMPLE","CUMPLE")</f>
        <v>NO CUMPLE</v>
      </c>
      <c r="T227" s="52"/>
    </row>
    <row r="228" spans="1:20" ht="38.25" x14ac:dyDescent="0.35">
      <c r="A228" s="169"/>
      <c r="C228" s="98" t="s">
        <v>404</v>
      </c>
      <c r="D228" s="94" t="s">
        <v>22</v>
      </c>
      <c r="E228" s="94"/>
      <c r="F228" s="94"/>
      <c r="G228" s="126" t="s">
        <v>405</v>
      </c>
      <c r="H228" s="127" t="s">
        <v>20</v>
      </c>
      <c r="I228" s="94">
        <v>4.95</v>
      </c>
      <c r="J228" s="18">
        <v>14502</v>
      </c>
      <c r="K228" s="5">
        <f t="shared" ref="K228" si="124">ROUND(J228+(J228*$L$319),0)</f>
        <v>18853</v>
      </c>
      <c r="L228" s="6">
        <f t="shared" si="121"/>
        <v>93322</v>
      </c>
      <c r="M228" s="166"/>
      <c r="N228" s="168"/>
      <c r="O228" s="82"/>
      <c r="P228" s="4">
        <f t="shared" si="122"/>
        <v>0</v>
      </c>
      <c r="Q228" s="4">
        <f t="shared" ref="Q228" si="125">ROUND(P228+(P228*$R$319),0)</f>
        <v>0</v>
      </c>
      <c r="R228" s="53">
        <f>ROUND(Q228*I228,0)</f>
        <v>0</v>
      </c>
      <c r="S228" s="161" t="str">
        <f t="shared" si="123"/>
        <v>NO CUMPLE</v>
      </c>
      <c r="T228" s="52"/>
    </row>
    <row r="229" spans="1:20" ht="13.15" x14ac:dyDescent="0.35">
      <c r="A229" s="169"/>
      <c r="C229" s="98" t="s">
        <v>406</v>
      </c>
      <c r="D229" s="94" t="s">
        <v>407</v>
      </c>
      <c r="E229" s="94"/>
      <c r="F229" s="94"/>
      <c r="G229" s="126" t="s">
        <v>408</v>
      </c>
      <c r="H229" s="127" t="s">
        <v>20</v>
      </c>
      <c r="I229" s="94">
        <v>257.77999999999997</v>
      </c>
      <c r="J229" s="18">
        <v>4931</v>
      </c>
      <c r="K229" s="5">
        <f>ROUNDUP(J229+(J229*$L$319),0)</f>
        <v>6411</v>
      </c>
      <c r="L229" s="6">
        <f t="shared" si="121"/>
        <v>1652628</v>
      </c>
      <c r="M229" s="166"/>
      <c r="N229" s="168"/>
      <c r="O229" s="82"/>
      <c r="P229" s="4">
        <f t="shared" si="122"/>
        <v>0</v>
      </c>
      <c r="Q229" s="4">
        <f>ROUNDUP(P229+(P229*$R$319),0)</f>
        <v>0</v>
      </c>
      <c r="R229" s="53">
        <f>ROUND(Q229*I229,0)</f>
        <v>0</v>
      </c>
      <c r="S229" s="161" t="str">
        <f t="shared" si="123"/>
        <v>NO CUMPLE</v>
      </c>
      <c r="T229" s="52"/>
    </row>
    <row r="230" spans="1:20" ht="16.5" x14ac:dyDescent="0.35">
      <c r="A230" s="169"/>
      <c r="C230" s="93"/>
      <c r="D230" s="99"/>
      <c r="E230" s="99"/>
      <c r="F230" s="99"/>
      <c r="G230" s="121" t="s">
        <v>40</v>
      </c>
      <c r="H230" s="101"/>
      <c r="I230" s="102"/>
      <c r="J230" s="4"/>
      <c r="K230" s="5"/>
      <c r="L230" s="7">
        <f>SUBTOTAL(9,L227:L229)</f>
        <v>2407315</v>
      </c>
      <c r="M230" s="166"/>
      <c r="N230" s="168"/>
      <c r="O230" s="82"/>
      <c r="P230" s="4"/>
      <c r="Q230" s="4"/>
      <c r="R230" s="54">
        <f>SUBTOTAL(9,R227:R229)</f>
        <v>0</v>
      </c>
      <c r="S230" s="55"/>
      <c r="T230" s="52"/>
    </row>
    <row r="231" spans="1:20" ht="13.15" x14ac:dyDescent="0.35">
      <c r="A231" s="169"/>
      <c r="C231" s="90">
        <v>13</v>
      </c>
      <c r="D231" s="263" t="s">
        <v>409</v>
      </c>
      <c r="E231" s="263"/>
      <c r="F231" s="263"/>
      <c r="G231" s="263"/>
      <c r="H231" s="114"/>
      <c r="I231" s="92"/>
      <c r="J231" s="11"/>
      <c r="K231" s="12"/>
      <c r="L231" s="13"/>
      <c r="M231" s="166"/>
      <c r="N231" s="168"/>
      <c r="O231" s="84"/>
      <c r="P231" s="11"/>
      <c r="Q231" s="11"/>
      <c r="R231" s="59"/>
      <c r="S231" s="60"/>
      <c r="T231" s="61"/>
    </row>
    <row r="232" spans="1:20" ht="51" x14ac:dyDescent="0.35">
      <c r="A232" s="169"/>
      <c r="C232" s="98" t="s">
        <v>410</v>
      </c>
      <c r="D232" s="94" t="s">
        <v>22</v>
      </c>
      <c r="E232" s="94"/>
      <c r="F232" s="94"/>
      <c r="G232" s="126" t="s">
        <v>411</v>
      </c>
      <c r="H232" s="127" t="s">
        <v>16</v>
      </c>
      <c r="I232" s="94">
        <v>2</v>
      </c>
      <c r="J232" s="18">
        <v>1366129</v>
      </c>
      <c r="K232" s="5">
        <f t="shared" ref="K232:K246" si="126">ROUND(J232+(J232*$L$319),0)</f>
        <v>1775968</v>
      </c>
      <c r="L232" s="6">
        <f t="shared" ref="L232:L246" si="127">ROUND(I232*K232,0)</f>
        <v>3551936</v>
      </c>
      <c r="M232" s="166"/>
      <c r="N232" s="168"/>
      <c r="O232" s="82"/>
      <c r="P232" s="4">
        <f t="shared" ref="P232:P246" si="128">ROUND(O232,0)</f>
        <v>0</v>
      </c>
      <c r="Q232" s="4">
        <f t="shared" ref="Q232:Q246" si="129">ROUND(P232+(P232*$R$319),0)</f>
        <v>0</v>
      </c>
      <c r="R232" s="53">
        <f t="shared" ref="R232:R246" si="130">ROUND(Q232*I232,0)</f>
        <v>0</v>
      </c>
      <c r="S232" s="161" t="str">
        <f t="shared" ref="S232:S246" si="131">IF(OR(P232&lt;=0,P232&gt;J232,Q232&lt;=0,Q232&gt;K232,R232&lt;=0,R232&gt;L232,$R$325="NO CUMPLE"),"NO CUMPLE","CUMPLE")</f>
        <v>NO CUMPLE</v>
      </c>
      <c r="T232" s="52"/>
    </row>
    <row r="233" spans="1:20" ht="51" x14ac:dyDescent="0.35">
      <c r="A233" s="169"/>
      <c r="C233" s="98" t="s">
        <v>412</v>
      </c>
      <c r="D233" s="94" t="s">
        <v>22</v>
      </c>
      <c r="E233" s="94"/>
      <c r="F233" s="94"/>
      <c r="G233" s="126" t="s">
        <v>413</v>
      </c>
      <c r="H233" s="127" t="s">
        <v>16</v>
      </c>
      <c r="I233" s="94">
        <v>2</v>
      </c>
      <c r="J233" s="18">
        <v>694234</v>
      </c>
      <c r="K233" s="5">
        <f>ROUNDUP(J233+(J233*$L$319),0)</f>
        <v>902505</v>
      </c>
      <c r="L233" s="6">
        <f t="shared" si="127"/>
        <v>1805010</v>
      </c>
      <c r="M233" s="166"/>
      <c r="N233" s="168"/>
      <c r="O233" s="82"/>
      <c r="P233" s="4">
        <f t="shared" si="128"/>
        <v>0</v>
      </c>
      <c r="Q233" s="4">
        <f>ROUNDUP(P233+(P233*$R$319),0)</f>
        <v>0</v>
      </c>
      <c r="R233" s="53">
        <f t="shared" si="130"/>
        <v>0</v>
      </c>
      <c r="S233" s="161" t="str">
        <f t="shared" si="131"/>
        <v>NO CUMPLE</v>
      </c>
      <c r="T233" s="52"/>
    </row>
    <row r="234" spans="1:20" ht="38.25" x14ac:dyDescent="0.35">
      <c r="A234" s="169"/>
      <c r="C234" s="98" t="s">
        <v>414</v>
      </c>
      <c r="D234" s="94" t="s">
        <v>22</v>
      </c>
      <c r="E234" s="94"/>
      <c r="F234" s="94"/>
      <c r="G234" s="126" t="s">
        <v>415</v>
      </c>
      <c r="H234" s="127" t="s">
        <v>16</v>
      </c>
      <c r="I234" s="94">
        <v>2</v>
      </c>
      <c r="J234" s="18">
        <v>317576</v>
      </c>
      <c r="K234" s="5">
        <f t="shared" si="126"/>
        <v>412849</v>
      </c>
      <c r="L234" s="6">
        <f t="shared" si="127"/>
        <v>825698</v>
      </c>
      <c r="M234" s="166"/>
      <c r="N234" s="168"/>
      <c r="O234" s="82"/>
      <c r="P234" s="4">
        <f t="shared" si="128"/>
        <v>0</v>
      </c>
      <c r="Q234" s="4">
        <f t="shared" si="129"/>
        <v>0</v>
      </c>
      <c r="R234" s="53">
        <f t="shared" si="130"/>
        <v>0</v>
      </c>
      <c r="S234" s="161" t="str">
        <f t="shared" si="131"/>
        <v>NO CUMPLE</v>
      </c>
      <c r="T234" s="52"/>
    </row>
    <row r="235" spans="1:20" ht="51" x14ac:dyDescent="0.35">
      <c r="A235" s="169"/>
      <c r="C235" s="98" t="s">
        <v>416</v>
      </c>
      <c r="D235" s="94" t="s">
        <v>22</v>
      </c>
      <c r="E235" s="94"/>
      <c r="F235" s="94"/>
      <c r="G235" s="126" t="s">
        <v>417</v>
      </c>
      <c r="H235" s="127" t="s">
        <v>16</v>
      </c>
      <c r="I235" s="94">
        <v>12</v>
      </c>
      <c r="J235" s="18">
        <v>81603</v>
      </c>
      <c r="K235" s="5">
        <f t="shared" si="126"/>
        <v>106084</v>
      </c>
      <c r="L235" s="6">
        <f t="shared" si="127"/>
        <v>1273008</v>
      </c>
      <c r="M235" s="166"/>
      <c r="N235" s="168"/>
      <c r="O235" s="82"/>
      <c r="P235" s="4">
        <f t="shared" si="128"/>
        <v>0</v>
      </c>
      <c r="Q235" s="4">
        <f t="shared" si="129"/>
        <v>0</v>
      </c>
      <c r="R235" s="53">
        <f t="shared" si="130"/>
        <v>0</v>
      </c>
      <c r="S235" s="161" t="str">
        <f t="shared" si="131"/>
        <v>NO CUMPLE</v>
      </c>
      <c r="T235" s="52"/>
    </row>
    <row r="236" spans="1:20" ht="38.25" x14ac:dyDescent="0.35">
      <c r="A236" s="169"/>
      <c r="C236" s="98" t="s">
        <v>418</v>
      </c>
      <c r="D236" s="94" t="s">
        <v>22</v>
      </c>
      <c r="E236" s="94"/>
      <c r="F236" s="94"/>
      <c r="G236" s="126" t="s">
        <v>419</v>
      </c>
      <c r="H236" s="127" t="s">
        <v>16</v>
      </c>
      <c r="I236" s="94">
        <v>2</v>
      </c>
      <c r="J236" s="18">
        <v>181751</v>
      </c>
      <c r="K236" s="5">
        <f t="shared" si="126"/>
        <v>236276</v>
      </c>
      <c r="L236" s="6">
        <f t="shared" si="127"/>
        <v>472552</v>
      </c>
      <c r="M236" s="166"/>
      <c r="N236" s="168"/>
      <c r="O236" s="82"/>
      <c r="P236" s="4">
        <f t="shared" si="128"/>
        <v>0</v>
      </c>
      <c r="Q236" s="4">
        <f t="shared" si="129"/>
        <v>0</v>
      </c>
      <c r="R236" s="53">
        <f t="shared" si="130"/>
        <v>0</v>
      </c>
      <c r="S236" s="161" t="str">
        <f t="shared" si="131"/>
        <v>NO CUMPLE</v>
      </c>
      <c r="T236" s="52"/>
    </row>
    <row r="237" spans="1:20" ht="51" x14ac:dyDescent="0.35">
      <c r="A237" s="169"/>
      <c r="C237" s="98" t="s">
        <v>420</v>
      </c>
      <c r="D237" s="94" t="s">
        <v>22</v>
      </c>
      <c r="E237" s="94"/>
      <c r="F237" s="94"/>
      <c r="G237" s="126" t="s">
        <v>421</v>
      </c>
      <c r="H237" s="127" t="s">
        <v>16</v>
      </c>
      <c r="I237" s="94">
        <v>2</v>
      </c>
      <c r="J237" s="18">
        <v>654476</v>
      </c>
      <c r="K237" s="5">
        <f t="shared" si="126"/>
        <v>850819</v>
      </c>
      <c r="L237" s="6">
        <f t="shared" si="127"/>
        <v>1701638</v>
      </c>
      <c r="M237" s="166"/>
      <c r="N237" s="168"/>
      <c r="O237" s="82"/>
      <c r="P237" s="4">
        <f t="shared" si="128"/>
        <v>0</v>
      </c>
      <c r="Q237" s="4">
        <f t="shared" si="129"/>
        <v>0</v>
      </c>
      <c r="R237" s="53">
        <f t="shared" si="130"/>
        <v>0</v>
      </c>
      <c r="S237" s="161" t="str">
        <f t="shared" si="131"/>
        <v>NO CUMPLE</v>
      </c>
      <c r="T237" s="52"/>
    </row>
    <row r="238" spans="1:20" ht="51" x14ac:dyDescent="0.35">
      <c r="A238" s="169"/>
      <c r="C238" s="98" t="s">
        <v>422</v>
      </c>
      <c r="D238" s="94" t="s">
        <v>22</v>
      </c>
      <c r="E238" s="94"/>
      <c r="F238" s="94"/>
      <c r="G238" s="126" t="s">
        <v>423</v>
      </c>
      <c r="H238" s="127" t="s">
        <v>30</v>
      </c>
      <c r="I238" s="94">
        <v>1.2</v>
      </c>
      <c r="J238" s="18">
        <v>224909</v>
      </c>
      <c r="K238" s="5">
        <f t="shared" si="126"/>
        <v>292382</v>
      </c>
      <c r="L238" s="6">
        <f t="shared" si="127"/>
        <v>350858</v>
      </c>
      <c r="M238" s="166"/>
      <c r="N238" s="168"/>
      <c r="O238" s="82"/>
      <c r="P238" s="4">
        <f t="shared" si="128"/>
        <v>0</v>
      </c>
      <c r="Q238" s="4">
        <f t="shared" si="129"/>
        <v>0</v>
      </c>
      <c r="R238" s="53">
        <f t="shared" si="130"/>
        <v>0</v>
      </c>
      <c r="S238" s="161" t="str">
        <f t="shared" si="131"/>
        <v>NO CUMPLE</v>
      </c>
      <c r="T238" s="52"/>
    </row>
    <row r="239" spans="1:20" ht="38.25" x14ac:dyDescent="0.35">
      <c r="A239" s="169"/>
      <c r="C239" s="98" t="s">
        <v>424</v>
      </c>
      <c r="D239" s="94" t="s">
        <v>22</v>
      </c>
      <c r="E239" s="94"/>
      <c r="F239" s="94"/>
      <c r="G239" s="126" t="s">
        <v>425</v>
      </c>
      <c r="H239" s="127" t="s">
        <v>16</v>
      </c>
      <c r="I239" s="94">
        <v>2</v>
      </c>
      <c r="J239" s="18">
        <v>977764</v>
      </c>
      <c r="K239" s="5">
        <f>ROUNDUP(J239+(J239*$L$319),0)</f>
        <v>1271094</v>
      </c>
      <c r="L239" s="6">
        <f t="shared" si="127"/>
        <v>2542188</v>
      </c>
      <c r="M239" s="166"/>
      <c r="N239" s="168"/>
      <c r="O239" s="82"/>
      <c r="P239" s="4">
        <f t="shared" si="128"/>
        <v>0</v>
      </c>
      <c r="Q239" s="4">
        <f>ROUNDUP(P239+(P239*$R$319),0)</f>
        <v>0</v>
      </c>
      <c r="R239" s="53">
        <f t="shared" si="130"/>
        <v>0</v>
      </c>
      <c r="S239" s="161" t="str">
        <f t="shared" si="131"/>
        <v>NO CUMPLE</v>
      </c>
      <c r="T239" s="52"/>
    </row>
    <row r="240" spans="1:20" ht="51" x14ac:dyDescent="0.35">
      <c r="A240" s="169"/>
      <c r="C240" s="98" t="s">
        <v>426</v>
      </c>
      <c r="D240" s="94" t="s">
        <v>22</v>
      </c>
      <c r="E240" s="94"/>
      <c r="F240" s="94"/>
      <c r="G240" s="126" t="s">
        <v>427</v>
      </c>
      <c r="H240" s="127" t="s">
        <v>16</v>
      </c>
      <c r="I240" s="94">
        <v>2</v>
      </c>
      <c r="J240" s="18">
        <v>285054</v>
      </c>
      <c r="K240" s="5">
        <f t="shared" si="126"/>
        <v>370570</v>
      </c>
      <c r="L240" s="6">
        <f t="shared" si="127"/>
        <v>741140</v>
      </c>
      <c r="M240" s="166"/>
      <c r="N240" s="168"/>
      <c r="O240" s="82"/>
      <c r="P240" s="4">
        <f t="shared" si="128"/>
        <v>0</v>
      </c>
      <c r="Q240" s="4">
        <f t="shared" si="129"/>
        <v>0</v>
      </c>
      <c r="R240" s="53">
        <f t="shared" si="130"/>
        <v>0</v>
      </c>
      <c r="S240" s="161" t="str">
        <f t="shared" si="131"/>
        <v>NO CUMPLE</v>
      </c>
      <c r="T240" s="52"/>
    </row>
    <row r="241" spans="1:20" ht="38.25" x14ac:dyDescent="0.35">
      <c r="A241" s="169"/>
      <c r="C241" s="98" t="s">
        <v>428</v>
      </c>
      <c r="D241" s="94" t="s">
        <v>22</v>
      </c>
      <c r="E241" s="94"/>
      <c r="F241" s="94"/>
      <c r="G241" s="126" t="s">
        <v>429</v>
      </c>
      <c r="H241" s="127" t="s">
        <v>16</v>
      </c>
      <c r="I241" s="94">
        <v>3</v>
      </c>
      <c r="J241" s="18">
        <v>51858</v>
      </c>
      <c r="K241" s="5">
        <f>ROUNDUP(J241+(J241*$L$319),0)</f>
        <v>67416</v>
      </c>
      <c r="L241" s="6">
        <f t="shared" si="127"/>
        <v>202248</v>
      </c>
      <c r="M241" s="166"/>
      <c r="N241" s="168"/>
      <c r="O241" s="82"/>
      <c r="P241" s="4">
        <f t="shared" si="128"/>
        <v>0</v>
      </c>
      <c r="Q241" s="4">
        <f>ROUNDUP(P241+(P241*$R$319),0)</f>
        <v>0</v>
      </c>
      <c r="R241" s="53">
        <f t="shared" si="130"/>
        <v>0</v>
      </c>
      <c r="S241" s="161" t="str">
        <f t="shared" si="131"/>
        <v>NO CUMPLE</v>
      </c>
      <c r="T241" s="52"/>
    </row>
    <row r="242" spans="1:20" ht="13.15" x14ac:dyDescent="0.35">
      <c r="A242" s="169"/>
      <c r="C242" s="98" t="s">
        <v>430</v>
      </c>
      <c r="D242" s="94" t="s">
        <v>431</v>
      </c>
      <c r="E242" s="94"/>
      <c r="F242" s="94"/>
      <c r="G242" s="126" t="s">
        <v>432</v>
      </c>
      <c r="H242" s="127" t="s">
        <v>16</v>
      </c>
      <c r="I242" s="94">
        <v>3</v>
      </c>
      <c r="J242" s="18">
        <v>32039</v>
      </c>
      <c r="K242" s="5">
        <f t="shared" si="126"/>
        <v>41651</v>
      </c>
      <c r="L242" s="6">
        <f t="shared" si="127"/>
        <v>124953</v>
      </c>
      <c r="M242" s="166"/>
      <c r="N242" s="168"/>
      <c r="O242" s="82"/>
      <c r="P242" s="4">
        <f t="shared" si="128"/>
        <v>0</v>
      </c>
      <c r="Q242" s="4">
        <f t="shared" si="129"/>
        <v>0</v>
      </c>
      <c r="R242" s="53">
        <f t="shared" si="130"/>
        <v>0</v>
      </c>
      <c r="S242" s="161" t="str">
        <f t="shared" si="131"/>
        <v>NO CUMPLE</v>
      </c>
      <c r="T242" s="52"/>
    </row>
    <row r="243" spans="1:20" ht="38.25" x14ac:dyDescent="0.35">
      <c r="A243" s="169"/>
      <c r="C243" s="98" t="s">
        <v>433</v>
      </c>
      <c r="D243" s="94" t="s">
        <v>22</v>
      </c>
      <c r="E243" s="94"/>
      <c r="F243" s="94"/>
      <c r="G243" s="126" t="s">
        <v>434</v>
      </c>
      <c r="H243" s="127" t="s">
        <v>16</v>
      </c>
      <c r="I243" s="94">
        <v>2</v>
      </c>
      <c r="J243" s="18">
        <v>314482</v>
      </c>
      <c r="K243" s="5">
        <f t="shared" si="126"/>
        <v>408827</v>
      </c>
      <c r="L243" s="6">
        <f t="shared" si="127"/>
        <v>817654</v>
      </c>
      <c r="M243" s="166"/>
      <c r="N243" s="168"/>
      <c r="O243" s="82"/>
      <c r="P243" s="4">
        <f t="shared" si="128"/>
        <v>0</v>
      </c>
      <c r="Q243" s="4">
        <f t="shared" si="129"/>
        <v>0</v>
      </c>
      <c r="R243" s="53">
        <f t="shared" si="130"/>
        <v>0</v>
      </c>
      <c r="S243" s="161" t="str">
        <f t="shared" si="131"/>
        <v>NO CUMPLE</v>
      </c>
      <c r="T243" s="52"/>
    </row>
    <row r="244" spans="1:20" ht="51" x14ac:dyDescent="0.35">
      <c r="A244" s="169"/>
      <c r="C244" s="98" t="s">
        <v>435</v>
      </c>
      <c r="D244" s="94" t="s">
        <v>22</v>
      </c>
      <c r="E244" s="94"/>
      <c r="F244" s="94"/>
      <c r="G244" s="126" t="s">
        <v>436</v>
      </c>
      <c r="H244" s="127" t="s">
        <v>16</v>
      </c>
      <c r="I244" s="94">
        <v>2</v>
      </c>
      <c r="J244" s="18">
        <v>447151</v>
      </c>
      <c r="K244" s="5">
        <f t="shared" si="126"/>
        <v>581296</v>
      </c>
      <c r="L244" s="6">
        <f t="shared" si="127"/>
        <v>1162592</v>
      </c>
      <c r="M244" s="166"/>
      <c r="N244" s="168"/>
      <c r="O244" s="82"/>
      <c r="P244" s="4">
        <f t="shared" si="128"/>
        <v>0</v>
      </c>
      <c r="Q244" s="4">
        <f t="shared" si="129"/>
        <v>0</v>
      </c>
      <c r="R244" s="53">
        <f t="shared" si="130"/>
        <v>0</v>
      </c>
      <c r="S244" s="161" t="str">
        <f t="shared" si="131"/>
        <v>NO CUMPLE</v>
      </c>
      <c r="T244" s="52"/>
    </row>
    <row r="245" spans="1:20" ht="51" x14ac:dyDescent="0.35">
      <c r="A245" s="169"/>
      <c r="C245" s="98" t="s">
        <v>437</v>
      </c>
      <c r="D245" s="94" t="s">
        <v>22</v>
      </c>
      <c r="E245" s="94"/>
      <c r="F245" s="94"/>
      <c r="G245" s="126" t="s">
        <v>438</v>
      </c>
      <c r="H245" s="127" t="s">
        <v>24</v>
      </c>
      <c r="I245" s="94">
        <v>1</v>
      </c>
      <c r="J245" s="18">
        <v>355614</v>
      </c>
      <c r="K245" s="5">
        <f>ROUNDUP(J245+(J245*$L$319),0)</f>
        <v>462299</v>
      </c>
      <c r="L245" s="6">
        <f t="shared" si="127"/>
        <v>462299</v>
      </c>
      <c r="M245" s="166"/>
      <c r="N245" s="168"/>
      <c r="O245" s="82"/>
      <c r="P245" s="4">
        <f t="shared" si="128"/>
        <v>0</v>
      </c>
      <c r="Q245" s="4">
        <f>ROUNDUP(P245+(P245*$R$319),0)</f>
        <v>0</v>
      </c>
      <c r="R245" s="53">
        <f t="shared" si="130"/>
        <v>0</v>
      </c>
      <c r="S245" s="161" t="str">
        <f t="shared" si="131"/>
        <v>NO CUMPLE</v>
      </c>
      <c r="T245" s="52"/>
    </row>
    <row r="246" spans="1:20" ht="13.15" x14ac:dyDescent="0.35">
      <c r="A246" s="169"/>
      <c r="C246" s="98" t="s">
        <v>439</v>
      </c>
      <c r="D246" s="94" t="s">
        <v>440</v>
      </c>
      <c r="E246" s="94"/>
      <c r="F246" s="94"/>
      <c r="G246" s="126" t="s">
        <v>441</v>
      </c>
      <c r="H246" s="127" t="s">
        <v>30</v>
      </c>
      <c r="I246" s="94">
        <v>0.96</v>
      </c>
      <c r="J246" s="18">
        <v>159303</v>
      </c>
      <c r="K246" s="5">
        <f t="shared" si="126"/>
        <v>207094</v>
      </c>
      <c r="L246" s="6">
        <f t="shared" si="127"/>
        <v>198810</v>
      </c>
      <c r="M246" s="166"/>
      <c r="N246" s="168"/>
      <c r="O246" s="82"/>
      <c r="P246" s="4">
        <f t="shared" si="128"/>
        <v>0</v>
      </c>
      <c r="Q246" s="4">
        <f t="shared" si="129"/>
        <v>0</v>
      </c>
      <c r="R246" s="53">
        <f t="shared" si="130"/>
        <v>0</v>
      </c>
      <c r="S246" s="161" t="str">
        <f t="shared" si="131"/>
        <v>NO CUMPLE</v>
      </c>
      <c r="T246" s="52"/>
    </row>
    <row r="247" spans="1:20" ht="16.5" x14ac:dyDescent="0.35">
      <c r="A247" s="169"/>
      <c r="C247" s="93"/>
      <c r="D247" s="99"/>
      <c r="E247" s="99"/>
      <c r="F247" s="99"/>
      <c r="G247" s="121" t="s">
        <v>40</v>
      </c>
      <c r="H247" s="101"/>
      <c r="I247" s="102"/>
      <c r="J247" s="4"/>
      <c r="K247" s="5"/>
      <c r="L247" s="7">
        <f>SUBTOTAL(9,L232:L246)</f>
        <v>16232584</v>
      </c>
      <c r="M247" s="166"/>
      <c r="N247" s="168"/>
      <c r="O247" s="82"/>
      <c r="P247" s="4"/>
      <c r="Q247" s="4"/>
      <c r="R247" s="54">
        <f>SUBTOTAL(9,R232:R246)</f>
        <v>0</v>
      </c>
      <c r="S247" s="55"/>
      <c r="T247" s="52"/>
    </row>
    <row r="248" spans="1:20" ht="13.15" x14ac:dyDescent="0.35">
      <c r="A248" s="169"/>
      <c r="C248" s="90">
        <v>14</v>
      </c>
      <c r="D248" s="263" t="s">
        <v>442</v>
      </c>
      <c r="E248" s="263"/>
      <c r="F248" s="263"/>
      <c r="G248" s="263"/>
      <c r="H248" s="114"/>
      <c r="I248" s="92"/>
      <c r="J248" s="11"/>
      <c r="K248" s="12"/>
      <c r="L248" s="13"/>
      <c r="M248" s="166"/>
      <c r="N248" s="168"/>
      <c r="O248" s="84"/>
      <c r="P248" s="11"/>
      <c r="Q248" s="11"/>
      <c r="R248" s="59"/>
      <c r="S248" s="60"/>
      <c r="T248" s="61"/>
    </row>
    <row r="249" spans="1:20" ht="102" x14ac:dyDescent="0.35">
      <c r="A249" s="169"/>
      <c r="C249" s="98" t="s">
        <v>443</v>
      </c>
      <c r="D249" s="94" t="s">
        <v>22</v>
      </c>
      <c r="E249" s="94"/>
      <c r="F249" s="94"/>
      <c r="G249" s="126" t="s">
        <v>444</v>
      </c>
      <c r="H249" s="127" t="s">
        <v>30</v>
      </c>
      <c r="I249" s="94">
        <v>5.0999999999999996</v>
      </c>
      <c r="J249" s="18">
        <v>733117</v>
      </c>
      <c r="K249" s="5">
        <f t="shared" ref="K249:K262" si="132">ROUND(J249+(J249*$L$319),0)</f>
        <v>953052</v>
      </c>
      <c r="L249" s="6">
        <f t="shared" ref="L249:L262" si="133">ROUND(I249*K249,0)</f>
        <v>4860565</v>
      </c>
      <c r="M249" s="166"/>
      <c r="N249" s="168"/>
      <c r="O249" s="82"/>
      <c r="P249" s="4">
        <f t="shared" ref="P249:P262" si="134">ROUND(O249,0)</f>
        <v>0</v>
      </c>
      <c r="Q249" s="4">
        <f t="shared" ref="Q249:Q262" si="135">ROUND(P249+(P249*$R$319),0)</f>
        <v>0</v>
      </c>
      <c r="R249" s="53">
        <f t="shared" ref="R249:R262" si="136">ROUND(Q249*I249,0)</f>
        <v>0</v>
      </c>
      <c r="S249" s="161" t="str">
        <f t="shared" ref="S249:S262" si="137">IF(OR(P249&lt;=0,P249&gt;J249,Q249&lt;=0,Q249&gt;K249,R249&lt;=0,R249&gt;L249,$R$325="NO CUMPLE"),"NO CUMPLE","CUMPLE")</f>
        <v>NO CUMPLE</v>
      </c>
      <c r="T249" s="52"/>
    </row>
    <row r="250" spans="1:20" ht="102" x14ac:dyDescent="0.35">
      <c r="A250" s="169"/>
      <c r="C250" s="98" t="s">
        <v>445</v>
      </c>
      <c r="D250" s="94" t="s">
        <v>22</v>
      </c>
      <c r="E250" s="94"/>
      <c r="F250" s="94"/>
      <c r="G250" s="126" t="s">
        <v>446</v>
      </c>
      <c r="H250" s="127" t="s">
        <v>30</v>
      </c>
      <c r="I250" s="94">
        <v>6.9</v>
      </c>
      <c r="J250" s="18">
        <v>718058</v>
      </c>
      <c r="K250" s="5">
        <f>ROUNDUP(J250+(J250*$L$319),0)</f>
        <v>933476</v>
      </c>
      <c r="L250" s="6">
        <f t="shared" si="133"/>
        <v>6440984</v>
      </c>
      <c r="M250" s="166"/>
      <c r="N250" s="168"/>
      <c r="O250" s="82"/>
      <c r="P250" s="4">
        <f t="shared" si="134"/>
        <v>0</v>
      </c>
      <c r="Q250" s="4">
        <f>ROUNDUP(P250+(P250*$R$319),0)</f>
        <v>0</v>
      </c>
      <c r="R250" s="53">
        <f t="shared" si="136"/>
        <v>0</v>
      </c>
      <c r="S250" s="161" t="str">
        <f t="shared" si="137"/>
        <v>NO CUMPLE</v>
      </c>
      <c r="T250" s="52"/>
    </row>
    <row r="251" spans="1:20" ht="76.5" x14ac:dyDescent="0.35">
      <c r="A251" s="169"/>
      <c r="C251" s="98" t="s">
        <v>447</v>
      </c>
      <c r="D251" s="94" t="s">
        <v>22</v>
      </c>
      <c r="E251" s="94"/>
      <c r="F251" s="94"/>
      <c r="G251" s="126" t="s">
        <v>448</v>
      </c>
      <c r="H251" s="127" t="s">
        <v>30</v>
      </c>
      <c r="I251" s="94">
        <v>3.13</v>
      </c>
      <c r="J251" s="18">
        <v>1154567</v>
      </c>
      <c r="K251" s="5">
        <f t="shared" si="132"/>
        <v>1500937</v>
      </c>
      <c r="L251" s="6">
        <f t="shared" si="133"/>
        <v>4697933</v>
      </c>
      <c r="M251" s="166"/>
      <c r="N251" s="168"/>
      <c r="O251" s="82"/>
      <c r="P251" s="4">
        <f t="shared" si="134"/>
        <v>0</v>
      </c>
      <c r="Q251" s="4">
        <f t="shared" si="135"/>
        <v>0</v>
      </c>
      <c r="R251" s="53">
        <f t="shared" si="136"/>
        <v>0</v>
      </c>
      <c r="S251" s="161" t="str">
        <f t="shared" si="137"/>
        <v>NO CUMPLE</v>
      </c>
      <c r="T251" s="52"/>
    </row>
    <row r="252" spans="1:20" ht="89.25" x14ac:dyDescent="0.35">
      <c r="A252" s="169"/>
      <c r="C252" s="98" t="s">
        <v>449</v>
      </c>
      <c r="D252" s="94" t="s">
        <v>22</v>
      </c>
      <c r="E252" s="94"/>
      <c r="F252" s="94"/>
      <c r="G252" s="126" t="s">
        <v>450</v>
      </c>
      <c r="H252" s="127" t="s">
        <v>30</v>
      </c>
      <c r="I252" s="94">
        <v>6.53</v>
      </c>
      <c r="J252" s="18">
        <v>894118</v>
      </c>
      <c r="K252" s="5">
        <f>ROUNDUP(J252+(J252*$L$319),0)</f>
        <v>1162354</v>
      </c>
      <c r="L252" s="6">
        <f t="shared" si="133"/>
        <v>7590172</v>
      </c>
      <c r="M252" s="166"/>
      <c r="N252" s="168"/>
      <c r="O252" s="82"/>
      <c r="P252" s="4">
        <f t="shared" si="134"/>
        <v>0</v>
      </c>
      <c r="Q252" s="4">
        <f>ROUNDUP(P252+(P252*$R$319),0)</f>
        <v>0</v>
      </c>
      <c r="R252" s="53">
        <f t="shared" si="136"/>
        <v>0</v>
      </c>
      <c r="S252" s="161" t="str">
        <f t="shared" si="137"/>
        <v>NO CUMPLE</v>
      </c>
      <c r="T252" s="52"/>
    </row>
    <row r="253" spans="1:20" ht="102" x14ac:dyDescent="0.35">
      <c r="A253" s="169"/>
      <c r="C253" s="98" t="s">
        <v>451</v>
      </c>
      <c r="D253" s="94" t="s">
        <v>22</v>
      </c>
      <c r="E253" s="94"/>
      <c r="F253" s="94"/>
      <c r="G253" s="126" t="s">
        <v>452</v>
      </c>
      <c r="H253" s="127" t="s">
        <v>30</v>
      </c>
      <c r="I253" s="94">
        <v>21.07</v>
      </c>
      <c r="J253" s="18">
        <v>478121</v>
      </c>
      <c r="K253" s="5">
        <f t="shared" si="132"/>
        <v>621557</v>
      </c>
      <c r="L253" s="6">
        <f t="shared" si="133"/>
        <v>13096206</v>
      </c>
      <c r="M253" s="166"/>
      <c r="N253" s="168"/>
      <c r="O253" s="82"/>
      <c r="P253" s="4">
        <f t="shared" si="134"/>
        <v>0</v>
      </c>
      <c r="Q253" s="4">
        <f t="shared" si="135"/>
        <v>0</v>
      </c>
      <c r="R253" s="53">
        <f t="shared" si="136"/>
        <v>0</v>
      </c>
      <c r="S253" s="161" t="str">
        <f t="shared" si="137"/>
        <v>NO CUMPLE</v>
      </c>
      <c r="T253" s="52"/>
    </row>
    <row r="254" spans="1:20" ht="102" x14ac:dyDescent="0.35">
      <c r="A254" s="169"/>
      <c r="C254" s="98" t="s">
        <v>453</v>
      </c>
      <c r="D254" s="94" t="s">
        <v>22</v>
      </c>
      <c r="E254" s="94"/>
      <c r="F254" s="94"/>
      <c r="G254" s="126" t="s">
        <v>454</v>
      </c>
      <c r="H254" s="127" t="s">
        <v>30</v>
      </c>
      <c r="I254" s="94">
        <v>27.52</v>
      </c>
      <c r="J254" s="18">
        <v>658615</v>
      </c>
      <c r="K254" s="5">
        <f t="shared" si="132"/>
        <v>856200</v>
      </c>
      <c r="L254" s="6">
        <f t="shared" si="133"/>
        <v>23562624</v>
      </c>
      <c r="M254" s="166"/>
      <c r="N254" s="168"/>
      <c r="O254" s="82"/>
      <c r="P254" s="4">
        <f t="shared" si="134"/>
        <v>0</v>
      </c>
      <c r="Q254" s="4">
        <f t="shared" si="135"/>
        <v>0</v>
      </c>
      <c r="R254" s="53">
        <f t="shared" si="136"/>
        <v>0</v>
      </c>
      <c r="S254" s="161" t="str">
        <f t="shared" si="137"/>
        <v>NO CUMPLE</v>
      </c>
      <c r="T254" s="52"/>
    </row>
    <row r="255" spans="1:20" ht="102" x14ac:dyDescent="0.35">
      <c r="A255" s="169"/>
      <c r="C255" s="98" t="s">
        <v>455</v>
      </c>
      <c r="D255" s="94" t="s">
        <v>22</v>
      </c>
      <c r="E255" s="94"/>
      <c r="F255" s="94"/>
      <c r="G255" s="126" t="s">
        <v>456</v>
      </c>
      <c r="H255" s="127" t="s">
        <v>30</v>
      </c>
      <c r="I255" s="94">
        <v>18.559999999999999</v>
      </c>
      <c r="J255" s="18">
        <v>1154568</v>
      </c>
      <c r="K255" s="5">
        <f t="shared" si="132"/>
        <v>1500938</v>
      </c>
      <c r="L255" s="6">
        <f t="shared" si="133"/>
        <v>27857409</v>
      </c>
      <c r="M255" s="166"/>
      <c r="N255" s="168"/>
      <c r="O255" s="82"/>
      <c r="P255" s="4">
        <f t="shared" si="134"/>
        <v>0</v>
      </c>
      <c r="Q255" s="4">
        <f t="shared" si="135"/>
        <v>0</v>
      </c>
      <c r="R255" s="53">
        <f t="shared" si="136"/>
        <v>0</v>
      </c>
      <c r="S255" s="161" t="str">
        <f t="shared" si="137"/>
        <v>NO CUMPLE</v>
      </c>
      <c r="T255" s="52"/>
    </row>
    <row r="256" spans="1:20" ht="102" x14ac:dyDescent="0.35">
      <c r="A256" s="169"/>
      <c r="C256" s="98" t="s">
        <v>457</v>
      </c>
      <c r="D256" s="94" t="s">
        <v>22</v>
      </c>
      <c r="E256" s="94"/>
      <c r="F256" s="94"/>
      <c r="G256" s="126" t="s">
        <v>458</v>
      </c>
      <c r="H256" s="127" t="s">
        <v>30</v>
      </c>
      <c r="I256" s="94">
        <v>10.19</v>
      </c>
      <c r="J256" s="18">
        <v>1154568</v>
      </c>
      <c r="K256" s="5">
        <f t="shared" si="132"/>
        <v>1500938</v>
      </c>
      <c r="L256" s="6">
        <f t="shared" si="133"/>
        <v>15294558</v>
      </c>
      <c r="M256" s="166"/>
      <c r="N256" s="168"/>
      <c r="O256" s="82"/>
      <c r="P256" s="4">
        <f t="shared" si="134"/>
        <v>0</v>
      </c>
      <c r="Q256" s="4">
        <f t="shared" si="135"/>
        <v>0</v>
      </c>
      <c r="R256" s="53">
        <f t="shared" si="136"/>
        <v>0</v>
      </c>
      <c r="S256" s="161" t="str">
        <f t="shared" si="137"/>
        <v>NO CUMPLE</v>
      </c>
      <c r="T256" s="52"/>
    </row>
    <row r="257" spans="1:20" ht="102" x14ac:dyDescent="0.35">
      <c r="A257" s="169"/>
      <c r="C257" s="98" t="s">
        <v>459</v>
      </c>
      <c r="D257" s="94" t="s">
        <v>22</v>
      </c>
      <c r="E257" s="94"/>
      <c r="F257" s="94"/>
      <c r="G257" s="126" t="s">
        <v>460</v>
      </c>
      <c r="H257" s="127" t="s">
        <v>30</v>
      </c>
      <c r="I257" s="94">
        <v>11.35</v>
      </c>
      <c r="J257" s="18">
        <v>1154568</v>
      </c>
      <c r="K257" s="5">
        <f t="shared" si="132"/>
        <v>1500938</v>
      </c>
      <c r="L257" s="6">
        <f t="shared" si="133"/>
        <v>17035646</v>
      </c>
      <c r="M257" s="166"/>
      <c r="N257" s="168"/>
      <c r="O257" s="82"/>
      <c r="P257" s="4">
        <f t="shared" si="134"/>
        <v>0</v>
      </c>
      <c r="Q257" s="4">
        <f t="shared" si="135"/>
        <v>0</v>
      </c>
      <c r="R257" s="53">
        <f t="shared" si="136"/>
        <v>0</v>
      </c>
      <c r="S257" s="161" t="str">
        <f t="shared" si="137"/>
        <v>NO CUMPLE</v>
      </c>
      <c r="T257" s="52"/>
    </row>
    <row r="258" spans="1:20" ht="76.5" x14ac:dyDescent="0.35">
      <c r="A258" s="169"/>
      <c r="C258" s="98" t="s">
        <v>461</v>
      </c>
      <c r="D258" s="94" t="s">
        <v>22</v>
      </c>
      <c r="E258" s="94"/>
      <c r="F258" s="94"/>
      <c r="G258" s="126" t="s">
        <v>462</v>
      </c>
      <c r="H258" s="127" t="s">
        <v>30</v>
      </c>
      <c r="I258" s="94">
        <v>3.06</v>
      </c>
      <c r="J258" s="18">
        <v>933476</v>
      </c>
      <c r="K258" s="5">
        <f t="shared" si="132"/>
        <v>1213519</v>
      </c>
      <c r="L258" s="6">
        <f t="shared" si="133"/>
        <v>3713368</v>
      </c>
      <c r="M258" s="166"/>
      <c r="N258" s="168"/>
      <c r="O258" s="82"/>
      <c r="P258" s="4">
        <f t="shared" si="134"/>
        <v>0</v>
      </c>
      <c r="Q258" s="4">
        <f t="shared" si="135"/>
        <v>0</v>
      </c>
      <c r="R258" s="53">
        <f t="shared" si="136"/>
        <v>0</v>
      </c>
      <c r="S258" s="161" t="str">
        <f t="shared" si="137"/>
        <v>NO CUMPLE</v>
      </c>
      <c r="T258" s="52"/>
    </row>
    <row r="259" spans="1:20" ht="76.5" x14ac:dyDescent="0.35">
      <c r="A259" s="169"/>
      <c r="C259" s="98" t="s">
        <v>463</v>
      </c>
      <c r="D259" s="94" t="s">
        <v>22</v>
      </c>
      <c r="E259" s="94"/>
      <c r="F259" s="94"/>
      <c r="G259" s="126" t="s">
        <v>464</v>
      </c>
      <c r="H259" s="127" t="s">
        <v>30</v>
      </c>
      <c r="I259" s="94">
        <v>9.4</v>
      </c>
      <c r="J259" s="18">
        <v>856200</v>
      </c>
      <c r="K259" s="5">
        <f t="shared" si="132"/>
        <v>1113060</v>
      </c>
      <c r="L259" s="6">
        <f t="shared" si="133"/>
        <v>10462764</v>
      </c>
      <c r="M259" s="166"/>
      <c r="N259" s="168"/>
      <c r="O259" s="82"/>
      <c r="P259" s="4">
        <f t="shared" si="134"/>
        <v>0</v>
      </c>
      <c r="Q259" s="4">
        <f t="shared" si="135"/>
        <v>0</v>
      </c>
      <c r="R259" s="53">
        <f t="shared" si="136"/>
        <v>0</v>
      </c>
      <c r="S259" s="161" t="str">
        <f t="shared" si="137"/>
        <v>NO CUMPLE</v>
      </c>
      <c r="T259" s="52"/>
    </row>
    <row r="260" spans="1:20" ht="76.5" x14ac:dyDescent="0.35">
      <c r="A260" s="169"/>
      <c r="C260" s="98" t="s">
        <v>465</v>
      </c>
      <c r="D260" s="94" t="s">
        <v>22</v>
      </c>
      <c r="E260" s="94"/>
      <c r="F260" s="94"/>
      <c r="G260" s="126" t="s">
        <v>466</v>
      </c>
      <c r="H260" s="127" t="s">
        <v>30</v>
      </c>
      <c r="I260" s="94">
        <v>1.53</v>
      </c>
      <c r="J260" s="18">
        <v>856200</v>
      </c>
      <c r="K260" s="5">
        <f t="shared" si="132"/>
        <v>1113060</v>
      </c>
      <c r="L260" s="6">
        <f t="shared" si="133"/>
        <v>1702982</v>
      </c>
      <c r="M260" s="166"/>
      <c r="N260" s="168"/>
      <c r="O260" s="82"/>
      <c r="P260" s="4">
        <f t="shared" si="134"/>
        <v>0</v>
      </c>
      <c r="Q260" s="4">
        <f t="shared" si="135"/>
        <v>0</v>
      </c>
      <c r="R260" s="53">
        <f t="shared" si="136"/>
        <v>0</v>
      </c>
      <c r="S260" s="161" t="str">
        <f t="shared" si="137"/>
        <v>NO CUMPLE</v>
      </c>
      <c r="T260" s="52"/>
    </row>
    <row r="261" spans="1:20" ht="51" x14ac:dyDescent="0.35">
      <c r="A261" s="169"/>
      <c r="C261" s="98" t="s">
        <v>467</v>
      </c>
      <c r="D261" s="94" t="s">
        <v>22</v>
      </c>
      <c r="E261" s="94"/>
      <c r="F261" s="94"/>
      <c r="G261" s="126" t="s">
        <v>468</v>
      </c>
      <c r="H261" s="127" t="s">
        <v>30</v>
      </c>
      <c r="I261" s="94">
        <v>2.91</v>
      </c>
      <c r="J261" s="18">
        <v>856200</v>
      </c>
      <c r="K261" s="5">
        <f t="shared" si="132"/>
        <v>1113060</v>
      </c>
      <c r="L261" s="6">
        <f t="shared" si="133"/>
        <v>3239005</v>
      </c>
      <c r="M261" s="166"/>
      <c r="N261" s="168"/>
      <c r="O261" s="82"/>
      <c r="P261" s="4">
        <f t="shared" si="134"/>
        <v>0</v>
      </c>
      <c r="Q261" s="4">
        <f t="shared" si="135"/>
        <v>0</v>
      </c>
      <c r="R261" s="53">
        <f t="shared" si="136"/>
        <v>0</v>
      </c>
      <c r="S261" s="161" t="str">
        <f t="shared" si="137"/>
        <v>NO CUMPLE</v>
      </c>
      <c r="T261" s="52"/>
    </row>
    <row r="262" spans="1:20" ht="38.25" x14ac:dyDescent="0.35">
      <c r="A262" s="169"/>
      <c r="C262" s="98" t="s">
        <v>469</v>
      </c>
      <c r="D262" s="94" t="s">
        <v>22</v>
      </c>
      <c r="E262" s="94"/>
      <c r="F262" s="94"/>
      <c r="G262" s="126" t="s">
        <v>470</v>
      </c>
      <c r="H262" s="127" t="s">
        <v>30</v>
      </c>
      <c r="I262" s="94">
        <v>13.08</v>
      </c>
      <c r="J262" s="18">
        <v>822000</v>
      </c>
      <c r="K262" s="5">
        <f t="shared" si="132"/>
        <v>1068600</v>
      </c>
      <c r="L262" s="6">
        <f t="shared" si="133"/>
        <v>13977288</v>
      </c>
      <c r="M262" s="166"/>
      <c r="N262" s="168"/>
      <c r="O262" s="82"/>
      <c r="P262" s="4">
        <f t="shared" si="134"/>
        <v>0</v>
      </c>
      <c r="Q262" s="4">
        <f t="shared" si="135"/>
        <v>0</v>
      </c>
      <c r="R262" s="53">
        <f t="shared" si="136"/>
        <v>0</v>
      </c>
      <c r="S262" s="161" t="str">
        <f t="shared" si="137"/>
        <v>NO CUMPLE</v>
      </c>
      <c r="T262" s="52"/>
    </row>
    <row r="263" spans="1:20" ht="16.5" x14ac:dyDescent="0.35">
      <c r="A263" s="169"/>
      <c r="C263" s="93"/>
      <c r="D263" s="99"/>
      <c r="E263" s="99"/>
      <c r="F263" s="99"/>
      <c r="G263" s="121" t="s">
        <v>40</v>
      </c>
      <c r="H263" s="101"/>
      <c r="I263" s="102"/>
      <c r="J263" s="4"/>
      <c r="K263" s="5"/>
      <c r="L263" s="7">
        <f>SUBTOTAL(9,L249:L262)</f>
        <v>153531504</v>
      </c>
      <c r="M263" s="166"/>
      <c r="N263" s="168"/>
      <c r="O263" s="82"/>
      <c r="P263" s="4"/>
      <c r="Q263" s="4"/>
      <c r="R263" s="54">
        <f>SUBTOTAL(9,R249:R262)</f>
        <v>0</v>
      </c>
      <c r="S263" s="55"/>
      <c r="T263" s="52"/>
    </row>
    <row r="264" spans="1:20" ht="13.15" x14ac:dyDescent="0.35">
      <c r="A264" s="169"/>
      <c r="C264" s="90">
        <v>15</v>
      </c>
      <c r="D264" s="132"/>
      <c r="E264" s="133"/>
      <c r="F264" s="133"/>
      <c r="G264" s="134" t="s">
        <v>471</v>
      </c>
      <c r="H264" s="114"/>
      <c r="I264" s="92"/>
      <c r="J264" s="11"/>
      <c r="K264" s="12"/>
      <c r="L264" s="13"/>
      <c r="M264" s="166"/>
      <c r="N264" s="168"/>
      <c r="O264" s="84"/>
      <c r="P264" s="11"/>
      <c r="Q264" s="11"/>
      <c r="R264" s="59"/>
      <c r="S264" s="60"/>
      <c r="T264" s="61"/>
    </row>
    <row r="265" spans="1:20" ht="63.75" x14ac:dyDescent="0.35">
      <c r="A265" s="169"/>
      <c r="C265" s="98" t="s">
        <v>472</v>
      </c>
      <c r="D265" s="94" t="s">
        <v>22</v>
      </c>
      <c r="E265" s="94"/>
      <c r="F265" s="94"/>
      <c r="G265" s="126" t="s">
        <v>473</v>
      </c>
      <c r="H265" s="127" t="s">
        <v>30</v>
      </c>
      <c r="I265" s="94">
        <v>2.42</v>
      </c>
      <c r="J265" s="18">
        <v>426604</v>
      </c>
      <c r="K265" s="5">
        <f>ROUNDUP(J265+(J265*$L$319),0)</f>
        <v>554586</v>
      </c>
      <c r="L265" s="6">
        <f t="shared" ref="L265" si="138">ROUND(I265*K265,0)</f>
        <v>1342098</v>
      </c>
      <c r="M265" s="166"/>
      <c r="N265" s="168"/>
      <c r="O265" s="82"/>
      <c r="P265" s="4">
        <f>ROUND(O265,0)</f>
        <v>0</v>
      </c>
      <c r="Q265" s="4">
        <f>ROUNDUP(P265+(P265*$R$319),0)</f>
        <v>0</v>
      </c>
      <c r="R265" s="53">
        <f>ROUND(Q265*I265,0)</f>
        <v>0</v>
      </c>
      <c r="S265" s="161" t="str">
        <f t="shared" ref="S265" si="139">IF(OR(P265&lt;=0,P265&gt;J265,Q265&lt;=0,Q265&gt;K265,R265&lt;=0,R265&gt;L265,$R$325="NO CUMPLE"),"NO CUMPLE","CUMPLE")</f>
        <v>NO CUMPLE</v>
      </c>
      <c r="T265" s="52"/>
    </row>
    <row r="266" spans="1:20" ht="16.5" x14ac:dyDescent="0.35">
      <c r="A266" s="169"/>
      <c r="C266" s="93"/>
      <c r="D266" s="99"/>
      <c r="E266" s="99"/>
      <c r="F266" s="99"/>
      <c r="G266" s="121" t="s">
        <v>40</v>
      </c>
      <c r="H266" s="101"/>
      <c r="I266" s="102"/>
      <c r="J266" s="4"/>
      <c r="K266" s="5"/>
      <c r="L266" s="7">
        <f>SUBTOTAL(9,L265)</f>
        <v>1342098</v>
      </c>
      <c r="M266" s="166"/>
      <c r="N266" s="168"/>
      <c r="O266" s="82"/>
      <c r="P266" s="4"/>
      <c r="Q266" s="4"/>
      <c r="R266" s="54">
        <f>SUBTOTAL(9,R265)</f>
        <v>0</v>
      </c>
      <c r="S266" s="55"/>
      <c r="T266" s="52"/>
    </row>
    <row r="267" spans="1:20" ht="13.15" x14ac:dyDescent="0.35">
      <c r="A267" s="169"/>
      <c r="C267" s="90">
        <v>16</v>
      </c>
      <c r="D267" s="263" t="s">
        <v>474</v>
      </c>
      <c r="E267" s="263"/>
      <c r="F267" s="263"/>
      <c r="G267" s="263"/>
      <c r="H267" s="114"/>
      <c r="I267" s="92"/>
      <c r="J267" s="11"/>
      <c r="K267" s="12"/>
      <c r="L267" s="13"/>
      <c r="M267" s="166"/>
      <c r="N267" s="168"/>
      <c r="O267" s="84"/>
      <c r="P267" s="11"/>
      <c r="Q267" s="11"/>
      <c r="R267" s="59"/>
      <c r="S267" s="60"/>
      <c r="T267" s="61"/>
    </row>
    <row r="268" spans="1:20" ht="13.15" x14ac:dyDescent="0.35">
      <c r="A268" s="169"/>
      <c r="C268" s="98" t="s">
        <v>475</v>
      </c>
      <c r="D268" s="94" t="s">
        <v>476</v>
      </c>
      <c r="E268" s="94"/>
      <c r="F268" s="94"/>
      <c r="G268" s="126" t="s">
        <v>477</v>
      </c>
      <c r="H268" s="127" t="s">
        <v>45</v>
      </c>
      <c r="I268" s="94">
        <v>17.07</v>
      </c>
      <c r="J268" s="18">
        <v>176068</v>
      </c>
      <c r="K268" s="5">
        <f t="shared" ref="K268:K280" si="140">ROUND(J268+(J268*$L$319),0)</f>
        <v>228888</v>
      </c>
      <c r="L268" s="6">
        <f t="shared" ref="L268:L282" si="141">ROUND(I268*K268,0)</f>
        <v>3907118</v>
      </c>
      <c r="M268" s="166"/>
      <c r="N268" s="168"/>
      <c r="O268" s="82"/>
      <c r="P268" s="4">
        <f t="shared" ref="P268:P282" si="142">ROUND(O268,0)</f>
        <v>0</v>
      </c>
      <c r="Q268" s="4">
        <f t="shared" ref="Q268:Q280" si="143">ROUND(P268+(P268*$R$319),0)</f>
        <v>0</v>
      </c>
      <c r="R268" s="53">
        <f t="shared" ref="R268:R282" si="144">ROUND(Q268*I268,0)</f>
        <v>0</v>
      </c>
      <c r="S268" s="161" t="str">
        <f t="shared" ref="S268:S282" si="145">IF(OR(P268&lt;=0,P268&gt;J268,Q268&lt;=0,Q268&gt;K268,R268&lt;=0,R268&gt;L268,$R$325="NO CUMPLE"),"NO CUMPLE","CUMPLE")</f>
        <v>NO CUMPLE</v>
      </c>
      <c r="T268" s="52"/>
    </row>
    <row r="269" spans="1:20" ht="13.15" x14ac:dyDescent="0.35">
      <c r="A269" s="169"/>
      <c r="C269" s="98" t="s">
        <v>478</v>
      </c>
      <c r="D269" s="94" t="s">
        <v>479</v>
      </c>
      <c r="E269" s="94"/>
      <c r="F269" s="94"/>
      <c r="G269" s="126" t="s">
        <v>480</v>
      </c>
      <c r="H269" s="127" t="s">
        <v>45</v>
      </c>
      <c r="I269" s="94">
        <v>22.77</v>
      </c>
      <c r="J269" s="18">
        <v>192690</v>
      </c>
      <c r="K269" s="5">
        <f t="shared" si="140"/>
        <v>250497</v>
      </c>
      <c r="L269" s="6">
        <f t="shared" si="141"/>
        <v>5703817</v>
      </c>
      <c r="M269" s="166"/>
      <c r="N269" s="168"/>
      <c r="O269" s="82"/>
      <c r="P269" s="4">
        <f t="shared" si="142"/>
        <v>0</v>
      </c>
      <c r="Q269" s="4">
        <f t="shared" si="143"/>
        <v>0</v>
      </c>
      <c r="R269" s="53">
        <f t="shared" si="144"/>
        <v>0</v>
      </c>
      <c r="S269" s="161" t="str">
        <f t="shared" si="145"/>
        <v>NO CUMPLE</v>
      </c>
      <c r="T269" s="52"/>
    </row>
    <row r="270" spans="1:20" ht="25.5" x14ac:dyDescent="0.35">
      <c r="A270" s="169"/>
      <c r="C270" s="98" t="s">
        <v>481</v>
      </c>
      <c r="D270" s="94" t="s">
        <v>482</v>
      </c>
      <c r="E270" s="94"/>
      <c r="F270" s="94"/>
      <c r="G270" s="126" t="s">
        <v>483</v>
      </c>
      <c r="H270" s="127" t="s">
        <v>30</v>
      </c>
      <c r="I270" s="94">
        <v>113.86</v>
      </c>
      <c r="J270" s="18">
        <v>13009</v>
      </c>
      <c r="K270" s="5">
        <f t="shared" si="140"/>
        <v>16912</v>
      </c>
      <c r="L270" s="6">
        <f t="shared" si="141"/>
        <v>1925600</v>
      </c>
      <c r="M270" s="166"/>
      <c r="N270" s="168"/>
      <c r="O270" s="82"/>
      <c r="P270" s="4">
        <f t="shared" si="142"/>
        <v>0</v>
      </c>
      <c r="Q270" s="4">
        <f t="shared" si="143"/>
        <v>0</v>
      </c>
      <c r="R270" s="53">
        <f t="shared" si="144"/>
        <v>0</v>
      </c>
      <c r="S270" s="161" t="str">
        <f t="shared" si="145"/>
        <v>NO CUMPLE</v>
      </c>
      <c r="T270" s="52"/>
    </row>
    <row r="271" spans="1:20" ht="38.25" x14ac:dyDescent="0.35">
      <c r="A271" s="169"/>
      <c r="C271" s="98" t="s">
        <v>484</v>
      </c>
      <c r="D271" s="94" t="s">
        <v>22</v>
      </c>
      <c r="E271" s="94"/>
      <c r="F271" s="94"/>
      <c r="G271" s="126" t="s">
        <v>485</v>
      </c>
      <c r="H271" s="127" t="s">
        <v>20</v>
      </c>
      <c r="I271" s="94">
        <v>169.69</v>
      </c>
      <c r="J271" s="18">
        <v>57014</v>
      </c>
      <c r="K271" s="5">
        <f>ROUNDUP(J271+(J271*$L$319),0)</f>
        <v>74119</v>
      </c>
      <c r="L271" s="6">
        <f t="shared" si="141"/>
        <v>12577253</v>
      </c>
      <c r="M271" s="166"/>
      <c r="N271" s="168"/>
      <c r="O271" s="82"/>
      <c r="P271" s="4">
        <f t="shared" si="142"/>
        <v>0</v>
      </c>
      <c r="Q271" s="4">
        <f>ROUNDUP(P271+(P271*$R$319),0)</f>
        <v>0</v>
      </c>
      <c r="R271" s="53">
        <f t="shared" si="144"/>
        <v>0</v>
      </c>
      <c r="S271" s="161" t="str">
        <f t="shared" si="145"/>
        <v>NO CUMPLE</v>
      </c>
      <c r="T271" s="52"/>
    </row>
    <row r="272" spans="1:20" ht="51" x14ac:dyDescent="0.35">
      <c r="A272" s="169"/>
      <c r="C272" s="98" t="s">
        <v>486</v>
      </c>
      <c r="D272" s="94" t="s">
        <v>22</v>
      </c>
      <c r="E272" s="94"/>
      <c r="F272" s="94"/>
      <c r="G272" s="126" t="s">
        <v>487</v>
      </c>
      <c r="H272" s="127" t="s">
        <v>30</v>
      </c>
      <c r="I272" s="94">
        <v>19.2</v>
      </c>
      <c r="J272" s="18">
        <v>38641</v>
      </c>
      <c r="K272" s="5">
        <f>ROUNDUP(J272+(J272*$L$319),0)</f>
        <v>50234</v>
      </c>
      <c r="L272" s="6">
        <f t="shared" si="141"/>
        <v>964493</v>
      </c>
      <c r="M272" s="166"/>
      <c r="N272" s="168"/>
      <c r="O272" s="82"/>
      <c r="P272" s="4">
        <f t="shared" si="142"/>
        <v>0</v>
      </c>
      <c r="Q272" s="4">
        <f>ROUNDUP(P272+(P272*$R$319),0)</f>
        <v>0</v>
      </c>
      <c r="R272" s="53">
        <f t="shared" si="144"/>
        <v>0</v>
      </c>
      <c r="S272" s="161" t="str">
        <f t="shared" si="145"/>
        <v>NO CUMPLE</v>
      </c>
      <c r="T272" s="52"/>
    </row>
    <row r="273" spans="1:20" ht="63.75" x14ac:dyDescent="0.35">
      <c r="A273" s="169"/>
      <c r="C273" s="98" t="s">
        <v>488</v>
      </c>
      <c r="D273" s="94" t="s">
        <v>22</v>
      </c>
      <c r="E273" s="94"/>
      <c r="F273" s="94"/>
      <c r="G273" s="126" t="s">
        <v>489</v>
      </c>
      <c r="H273" s="127" t="s">
        <v>30</v>
      </c>
      <c r="I273" s="94">
        <v>91.56</v>
      </c>
      <c r="J273" s="18">
        <v>170390</v>
      </c>
      <c r="K273" s="5">
        <f t="shared" si="140"/>
        <v>221507</v>
      </c>
      <c r="L273" s="6">
        <f t="shared" si="141"/>
        <v>20281181</v>
      </c>
      <c r="M273" s="166"/>
      <c r="N273" s="168"/>
      <c r="O273" s="82"/>
      <c r="P273" s="4">
        <f t="shared" si="142"/>
        <v>0</v>
      </c>
      <c r="Q273" s="4">
        <f t="shared" si="143"/>
        <v>0</v>
      </c>
      <c r="R273" s="53">
        <f t="shared" si="144"/>
        <v>0</v>
      </c>
      <c r="S273" s="161" t="str">
        <f t="shared" si="145"/>
        <v>NO CUMPLE</v>
      </c>
      <c r="T273" s="52"/>
    </row>
    <row r="274" spans="1:20" ht="13.15" x14ac:dyDescent="0.35">
      <c r="A274" s="169"/>
      <c r="C274" s="98" t="s">
        <v>490</v>
      </c>
      <c r="D274" s="94" t="s">
        <v>491</v>
      </c>
      <c r="E274" s="94"/>
      <c r="F274" s="94"/>
      <c r="G274" s="126" t="s">
        <v>492</v>
      </c>
      <c r="H274" s="127" t="s">
        <v>20</v>
      </c>
      <c r="I274" s="94">
        <v>8.1999999999999993</v>
      </c>
      <c r="J274" s="18">
        <v>127109</v>
      </c>
      <c r="K274" s="5">
        <f t="shared" si="140"/>
        <v>165242</v>
      </c>
      <c r="L274" s="6">
        <f t="shared" si="141"/>
        <v>1354984</v>
      </c>
      <c r="M274" s="166"/>
      <c r="N274" s="168"/>
      <c r="O274" s="82"/>
      <c r="P274" s="4">
        <f t="shared" si="142"/>
        <v>0</v>
      </c>
      <c r="Q274" s="4">
        <f t="shared" si="143"/>
        <v>0</v>
      </c>
      <c r="R274" s="53">
        <f t="shared" si="144"/>
        <v>0</v>
      </c>
      <c r="S274" s="161" t="str">
        <f t="shared" si="145"/>
        <v>NO CUMPLE</v>
      </c>
      <c r="T274" s="52"/>
    </row>
    <row r="275" spans="1:20" ht="13.15" x14ac:dyDescent="0.35">
      <c r="A275" s="169"/>
      <c r="C275" s="98" t="s">
        <v>493</v>
      </c>
      <c r="D275" s="94" t="s">
        <v>494</v>
      </c>
      <c r="E275" s="94"/>
      <c r="F275" s="94"/>
      <c r="G275" s="126" t="s">
        <v>495</v>
      </c>
      <c r="H275" s="127" t="s">
        <v>30</v>
      </c>
      <c r="I275" s="94">
        <v>2.41</v>
      </c>
      <c r="J275" s="18">
        <v>63578</v>
      </c>
      <c r="K275" s="5">
        <f t="shared" si="140"/>
        <v>82651</v>
      </c>
      <c r="L275" s="6">
        <f t="shared" si="141"/>
        <v>199189</v>
      </c>
      <c r="M275" s="166"/>
      <c r="N275" s="168"/>
      <c r="O275" s="82"/>
      <c r="P275" s="4">
        <f t="shared" si="142"/>
        <v>0</v>
      </c>
      <c r="Q275" s="4">
        <f t="shared" si="143"/>
        <v>0</v>
      </c>
      <c r="R275" s="53">
        <f t="shared" si="144"/>
        <v>0</v>
      </c>
      <c r="S275" s="161" t="str">
        <f t="shared" si="145"/>
        <v>NO CUMPLE</v>
      </c>
      <c r="T275" s="52"/>
    </row>
    <row r="276" spans="1:20" ht="13.15" x14ac:dyDescent="0.35">
      <c r="A276" s="169"/>
      <c r="C276" s="98" t="s">
        <v>496</v>
      </c>
      <c r="D276" s="94" t="s">
        <v>497</v>
      </c>
      <c r="E276" s="94"/>
      <c r="F276" s="94"/>
      <c r="G276" s="126" t="s">
        <v>498</v>
      </c>
      <c r="H276" s="127" t="s">
        <v>24</v>
      </c>
      <c r="I276" s="94">
        <v>1</v>
      </c>
      <c r="J276" s="18">
        <v>687311</v>
      </c>
      <c r="K276" s="5">
        <f>ROUNDUP(J276+(J276*$L$319),0)</f>
        <v>893505</v>
      </c>
      <c r="L276" s="6">
        <f t="shared" si="141"/>
        <v>893505</v>
      </c>
      <c r="M276" s="166"/>
      <c r="N276" s="168"/>
      <c r="O276" s="82"/>
      <c r="P276" s="4">
        <f t="shared" si="142"/>
        <v>0</v>
      </c>
      <c r="Q276" s="4">
        <f>ROUNDUP(P276+(P276*$R$319),0)</f>
        <v>0</v>
      </c>
      <c r="R276" s="53">
        <f t="shared" si="144"/>
        <v>0</v>
      </c>
      <c r="S276" s="161" t="str">
        <f t="shared" si="145"/>
        <v>NO CUMPLE</v>
      </c>
      <c r="T276" s="52"/>
    </row>
    <row r="277" spans="1:20" ht="13.15" x14ac:dyDescent="0.35">
      <c r="A277" s="169"/>
      <c r="C277" s="98" t="s">
        <v>499</v>
      </c>
      <c r="D277" s="94" t="s">
        <v>500</v>
      </c>
      <c r="E277" s="94"/>
      <c r="F277" s="94"/>
      <c r="G277" s="126" t="s">
        <v>501</v>
      </c>
      <c r="H277" s="127" t="s">
        <v>24</v>
      </c>
      <c r="I277" s="94">
        <v>1</v>
      </c>
      <c r="J277" s="18">
        <v>1183919</v>
      </c>
      <c r="K277" s="5">
        <f t="shared" si="140"/>
        <v>1539095</v>
      </c>
      <c r="L277" s="6">
        <f t="shared" si="141"/>
        <v>1539095</v>
      </c>
      <c r="M277" s="166"/>
      <c r="N277" s="168"/>
      <c r="O277" s="82"/>
      <c r="P277" s="4">
        <f t="shared" si="142"/>
        <v>0</v>
      </c>
      <c r="Q277" s="4">
        <f t="shared" si="143"/>
        <v>0</v>
      </c>
      <c r="R277" s="53">
        <f t="shared" si="144"/>
        <v>0</v>
      </c>
      <c r="S277" s="161" t="str">
        <f t="shared" si="145"/>
        <v>NO CUMPLE</v>
      </c>
      <c r="T277" s="52"/>
    </row>
    <row r="278" spans="1:20" s="166" customFormat="1" ht="13.15" x14ac:dyDescent="0.35">
      <c r="B278" s="168"/>
      <c r="C278" s="98" t="s">
        <v>502</v>
      </c>
      <c r="D278" s="94" t="s">
        <v>63</v>
      </c>
      <c r="E278" s="106"/>
      <c r="F278" s="106"/>
      <c r="G278" s="126" t="s">
        <v>64</v>
      </c>
      <c r="H278" s="127" t="s">
        <v>45</v>
      </c>
      <c r="I278" s="94">
        <v>2.63</v>
      </c>
      <c r="J278" s="18">
        <v>1042683</v>
      </c>
      <c r="K278" s="5">
        <f t="shared" si="140"/>
        <v>1355488</v>
      </c>
      <c r="L278" s="6">
        <f t="shared" si="141"/>
        <v>3564933</v>
      </c>
      <c r="M278" s="169"/>
      <c r="O278" s="82"/>
      <c r="P278" s="4">
        <f t="shared" si="142"/>
        <v>0</v>
      </c>
      <c r="Q278" s="4">
        <f t="shared" si="143"/>
        <v>0</v>
      </c>
      <c r="R278" s="53">
        <f t="shared" si="144"/>
        <v>0</v>
      </c>
      <c r="S278" s="161" t="str">
        <f t="shared" si="145"/>
        <v>NO CUMPLE</v>
      </c>
      <c r="T278" s="52"/>
    </row>
    <row r="279" spans="1:20" ht="13.15" x14ac:dyDescent="0.35">
      <c r="A279" s="169"/>
      <c r="C279" s="98" t="s">
        <v>503</v>
      </c>
      <c r="D279" s="94" t="s">
        <v>50</v>
      </c>
      <c r="E279" s="94"/>
      <c r="F279" s="94"/>
      <c r="G279" s="126" t="s">
        <v>51</v>
      </c>
      <c r="H279" s="127" t="s">
        <v>45</v>
      </c>
      <c r="I279" s="94">
        <v>2.8</v>
      </c>
      <c r="J279" s="18">
        <v>95264</v>
      </c>
      <c r="K279" s="5">
        <f>ROUNDUP(J279+(J279*$L$319),0)</f>
        <v>123844</v>
      </c>
      <c r="L279" s="6">
        <f t="shared" si="141"/>
        <v>346763</v>
      </c>
      <c r="M279" s="166"/>
      <c r="N279" s="168"/>
      <c r="O279" s="82"/>
      <c r="P279" s="4">
        <f t="shared" si="142"/>
        <v>0</v>
      </c>
      <c r="Q279" s="4">
        <f>ROUNDUP(P279+(P279*$R$319),0)</f>
        <v>0</v>
      </c>
      <c r="R279" s="53">
        <f t="shared" si="144"/>
        <v>0</v>
      </c>
      <c r="S279" s="161" t="str">
        <f t="shared" si="145"/>
        <v>NO CUMPLE</v>
      </c>
      <c r="T279" s="52"/>
    </row>
    <row r="280" spans="1:20" ht="13.15" x14ac:dyDescent="0.35">
      <c r="A280" s="169"/>
      <c r="C280" s="98" t="s">
        <v>504</v>
      </c>
      <c r="D280" s="94" t="s">
        <v>72</v>
      </c>
      <c r="E280" s="94"/>
      <c r="F280" s="94"/>
      <c r="G280" s="126" t="s">
        <v>73</v>
      </c>
      <c r="H280" s="127" t="s">
        <v>74</v>
      </c>
      <c r="I280" s="94">
        <v>211</v>
      </c>
      <c r="J280" s="18">
        <v>8453</v>
      </c>
      <c r="K280" s="5">
        <f t="shared" si="140"/>
        <v>10989</v>
      </c>
      <c r="L280" s="6">
        <f t="shared" si="141"/>
        <v>2318679</v>
      </c>
      <c r="M280" s="166"/>
      <c r="N280" s="168"/>
      <c r="O280" s="82"/>
      <c r="P280" s="4">
        <f t="shared" si="142"/>
        <v>0</v>
      </c>
      <c r="Q280" s="4">
        <f t="shared" si="143"/>
        <v>0</v>
      </c>
      <c r="R280" s="53">
        <f t="shared" si="144"/>
        <v>0</v>
      </c>
      <c r="S280" s="161" t="str">
        <f t="shared" si="145"/>
        <v>NO CUMPLE</v>
      </c>
      <c r="T280" s="52"/>
    </row>
    <row r="281" spans="1:20" ht="76.5" x14ac:dyDescent="0.35">
      <c r="A281" s="169"/>
      <c r="C281" s="98" t="s">
        <v>505</v>
      </c>
      <c r="D281" s="94" t="s">
        <v>22</v>
      </c>
      <c r="E281" s="94"/>
      <c r="F281" s="94"/>
      <c r="G281" s="126" t="s">
        <v>506</v>
      </c>
      <c r="H281" s="127" t="s">
        <v>30</v>
      </c>
      <c r="I281" s="94">
        <v>8.81</v>
      </c>
      <c r="J281" s="18">
        <v>888128</v>
      </c>
      <c r="K281" s="5">
        <f>ROUNDUP(J281+(J281*$L$319),0)</f>
        <v>1154567</v>
      </c>
      <c r="L281" s="6">
        <f t="shared" si="141"/>
        <v>10171735</v>
      </c>
      <c r="M281" s="166"/>
      <c r="N281" s="168"/>
      <c r="O281" s="82"/>
      <c r="P281" s="4">
        <f t="shared" si="142"/>
        <v>0</v>
      </c>
      <c r="Q281" s="4">
        <f>ROUNDUP(P281+(P281*$R$319),0)</f>
        <v>0</v>
      </c>
      <c r="R281" s="53">
        <f t="shared" si="144"/>
        <v>0</v>
      </c>
      <c r="S281" s="161" t="str">
        <f t="shared" si="145"/>
        <v>NO CUMPLE</v>
      </c>
      <c r="T281" s="52"/>
    </row>
    <row r="282" spans="1:20" ht="76.5" x14ac:dyDescent="0.35">
      <c r="A282" s="169"/>
      <c r="C282" s="98" t="s">
        <v>507</v>
      </c>
      <c r="D282" s="94" t="s">
        <v>22</v>
      </c>
      <c r="E282" s="94"/>
      <c r="F282" s="94"/>
      <c r="G282" s="126" t="s">
        <v>508</v>
      </c>
      <c r="H282" s="127" t="s">
        <v>30</v>
      </c>
      <c r="I282" s="94">
        <v>3.13</v>
      </c>
      <c r="J282" s="18">
        <v>888128</v>
      </c>
      <c r="K282" s="5">
        <f>ROUNDUP(J282+(J282*$L$319),0)</f>
        <v>1154567</v>
      </c>
      <c r="L282" s="6">
        <f t="shared" si="141"/>
        <v>3613795</v>
      </c>
      <c r="M282" s="166"/>
      <c r="N282" s="168"/>
      <c r="O282" s="82"/>
      <c r="P282" s="4">
        <f t="shared" si="142"/>
        <v>0</v>
      </c>
      <c r="Q282" s="4">
        <f>ROUNDUP(P282+(P282*$R$319),0)</f>
        <v>0</v>
      </c>
      <c r="R282" s="53">
        <f t="shared" si="144"/>
        <v>0</v>
      </c>
      <c r="S282" s="161" t="str">
        <f t="shared" si="145"/>
        <v>NO CUMPLE</v>
      </c>
      <c r="T282" s="52"/>
    </row>
    <row r="283" spans="1:20" ht="16.5" x14ac:dyDescent="0.35">
      <c r="A283" s="169"/>
      <c r="C283" s="93"/>
      <c r="D283" s="99"/>
      <c r="E283" s="99"/>
      <c r="F283" s="99"/>
      <c r="G283" s="121" t="s">
        <v>40</v>
      </c>
      <c r="H283" s="101"/>
      <c r="I283" s="102"/>
      <c r="J283" s="4"/>
      <c r="K283" s="5"/>
      <c r="L283" s="7">
        <f>SUBTOTAL(9,L268:L282)</f>
        <v>69362140</v>
      </c>
      <c r="M283" s="166"/>
      <c r="N283" s="168"/>
      <c r="O283" s="82"/>
      <c r="P283" s="4"/>
      <c r="Q283" s="4"/>
      <c r="R283" s="54">
        <f>SUBTOTAL(9,R268:R282)</f>
        <v>0</v>
      </c>
      <c r="S283" s="55"/>
      <c r="T283" s="52"/>
    </row>
    <row r="284" spans="1:20" ht="13.15" x14ac:dyDescent="0.35">
      <c r="A284" s="169"/>
      <c r="C284" s="90">
        <v>17</v>
      </c>
      <c r="D284" s="132"/>
      <c r="E284" s="133"/>
      <c r="F284" s="133"/>
      <c r="G284" s="134" t="s">
        <v>509</v>
      </c>
      <c r="H284" s="114"/>
      <c r="I284" s="92"/>
      <c r="J284" s="11"/>
      <c r="K284" s="12"/>
      <c r="L284" s="13"/>
      <c r="M284" s="166"/>
      <c r="N284" s="168"/>
      <c r="O284" s="84"/>
      <c r="P284" s="11"/>
      <c r="Q284" s="11"/>
      <c r="R284" s="59"/>
      <c r="S284" s="60"/>
      <c r="T284" s="61"/>
    </row>
    <row r="285" spans="1:20" ht="63.75" x14ac:dyDescent="0.35">
      <c r="A285" s="169"/>
      <c r="C285" s="98" t="s">
        <v>510</v>
      </c>
      <c r="D285" s="94" t="s">
        <v>511</v>
      </c>
      <c r="E285" s="94"/>
      <c r="F285" s="94"/>
      <c r="G285" s="126" t="s">
        <v>108</v>
      </c>
      <c r="H285" s="127" t="s">
        <v>74</v>
      </c>
      <c r="I285" s="94">
        <v>633.6</v>
      </c>
      <c r="J285" s="18">
        <v>21578</v>
      </c>
      <c r="K285" s="5">
        <f t="shared" ref="K285:K287" si="146">ROUND(J285+(J285*$L$319),0)</f>
        <v>28051</v>
      </c>
      <c r="L285" s="6">
        <f t="shared" ref="L285:L287" si="147">ROUND(I285*K285,0)</f>
        <v>17773114</v>
      </c>
      <c r="M285" s="166"/>
      <c r="N285" s="168"/>
      <c r="O285" s="82"/>
      <c r="P285" s="4">
        <f t="shared" ref="P285:P287" si="148">ROUND(O285,0)</f>
        <v>0</v>
      </c>
      <c r="Q285" s="4">
        <f t="shared" ref="Q285:Q287" si="149">ROUND(P285+(P285*$R$319),0)</f>
        <v>0</v>
      </c>
      <c r="R285" s="53">
        <f>ROUND(Q285*I285,0)</f>
        <v>0</v>
      </c>
      <c r="S285" s="161" t="str">
        <f t="shared" ref="S285" si="150">IF(OR(P285&lt;=0,P285&gt;J285,Q285&lt;=0,Q285&gt;K285,R285&lt;=0,R285&gt;L285,$R$325="NO CUMPLE"),"NO CUMPLE","CUMPLE")</f>
        <v>NO CUMPLE</v>
      </c>
      <c r="T285" s="52"/>
    </row>
    <row r="286" spans="1:20" ht="89.25" x14ac:dyDescent="0.35">
      <c r="A286" s="169"/>
      <c r="C286" s="98" t="s">
        <v>512</v>
      </c>
      <c r="D286" s="94" t="s">
        <v>22</v>
      </c>
      <c r="E286" s="94"/>
      <c r="F286" s="94"/>
      <c r="G286" s="126" t="s">
        <v>513</v>
      </c>
      <c r="H286" s="127" t="s">
        <v>20</v>
      </c>
      <c r="I286" s="94">
        <v>103.2</v>
      </c>
      <c r="J286" s="18">
        <v>830661</v>
      </c>
      <c r="K286" s="5">
        <f>ROUNDUP(J286+(J286*$L$319),0)</f>
        <v>1079860</v>
      </c>
      <c r="L286" s="6">
        <f t="shared" si="147"/>
        <v>111441552</v>
      </c>
      <c r="M286" s="166"/>
      <c r="N286" s="168"/>
      <c r="O286" s="82"/>
      <c r="P286" s="4">
        <f t="shared" si="148"/>
        <v>0</v>
      </c>
      <c r="Q286" s="4">
        <f>ROUNDUP(P286+(P286*$R$319),0)</f>
        <v>0</v>
      </c>
      <c r="R286" s="53">
        <f>ROUND(Q286*I286,0)</f>
        <v>0</v>
      </c>
      <c r="S286" s="161" t="str">
        <f t="shared" ref="S286:S287" si="151">IF(OR(P286&lt;=0,P286&gt;J286,Q286&lt;=0,Q286&gt;K286,R286&lt;=0,R286&gt;L286,$R$325="NO CUMPLE"),"NO CUMPLE","CUMPLE")</f>
        <v>NO CUMPLE</v>
      </c>
      <c r="T286" s="52"/>
    </row>
    <row r="287" spans="1:20" ht="89.25" x14ac:dyDescent="0.35">
      <c r="A287" s="169"/>
      <c r="C287" s="98" t="s">
        <v>514</v>
      </c>
      <c r="D287" s="94" t="s">
        <v>22</v>
      </c>
      <c r="E287" s="94"/>
      <c r="F287" s="94"/>
      <c r="G287" s="126" t="s">
        <v>515</v>
      </c>
      <c r="H287" s="127" t="s">
        <v>16</v>
      </c>
      <c r="I287" s="94">
        <v>1</v>
      </c>
      <c r="J287" s="18">
        <v>1223077</v>
      </c>
      <c r="K287" s="5">
        <f t="shared" si="146"/>
        <v>1590000</v>
      </c>
      <c r="L287" s="6">
        <f t="shared" si="147"/>
        <v>1590000</v>
      </c>
      <c r="M287" s="166"/>
      <c r="N287" s="168"/>
      <c r="O287" s="82"/>
      <c r="P287" s="4">
        <f t="shared" si="148"/>
        <v>0</v>
      </c>
      <c r="Q287" s="4">
        <f t="shared" si="149"/>
        <v>0</v>
      </c>
      <c r="R287" s="53">
        <f>ROUND(Q287*I287,0)</f>
        <v>0</v>
      </c>
      <c r="S287" s="161" t="str">
        <f t="shared" si="151"/>
        <v>NO CUMPLE</v>
      </c>
      <c r="T287" s="52"/>
    </row>
    <row r="288" spans="1:20" ht="16.5" x14ac:dyDescent="0.35">
      <c r="A288" s="169"/>
      <c r="C288" s="93"/>
      <c r="D288" s="99"/>
      <c r="E288" s="99"/>
      <c r="F288" s="99"/>
      <c r="G288" s="121" t="s">
        <v>40</v>
      </c>
      <c r="H288" s="101"/>
      <c r="I288" s="102"/>
      <c r="J288" s="4"/>
      <c r="K288" s="5"/>
      <c r="L288" s="7">
        <f>SUBTOTAL(9,L285:L287)</f>
        <v>130804666</v>
      </c>
      <c r="M288" s="166"/>
      <c r="N288" s="168"/>
      <c r="O288" s="82"/>
      <c r="P288" s="4"/>
      <c r="Q288" s="4"/>
      <c r="R288" s="54">
        <f>SUBTOTAL(9,R285:R287)</f>
        <v>0</v>
      </c>
      <c r="S288" s="55"/>
      <c r="T288" s="52"/>
    </row>
    <row r="289" spans="1:20" ht="13.15" x14ac:dyDescent="0.35">
      <c r="A289" s="169"/>
      <c r="C289" s="90">
        <v>18</v>
      </c>
      <c r="D289" s="263" t="s">
        <v>516</v>
      </c>
      <c r="E289" s="263"/>
      <c r="F289" s="263"/>
      <c r="G289" s="263"/>
      <c r="H289" s="114"/>
      <c r="I289" s="92"/>
      <c r="J289" s="11"/>
      <c r="K289" s="12"/>
      <c r="L289" s="13"/>
      <c r="M289" s="166"/>
      <c r="N289" s="168"/>
      <c r="O289" s="84"/>
      <c r="P289" s="11"/>
      <c r="Q289" s="11"/>
      <c r="R289" s="59"/>
      <c r="S289" s="60"/>
      <c r="T289" s="61"/>
    </row>
    <row r="290" spans="1:20" ht="13.15" x14ac:dyDescent="0.35">
      <c r="A290" s="169"/>
      <c r="C290" s="98" t="s">
        <v>517</v>
      </c>
      <c r="D290" s="94" t="s">
        <v>518</v>
      </c>
      <c r="E290" s="94"/>
      <c r="F290" s="94"/>
      <c r="G290" s="126" t="s">
        <v>519</v>
      </c>
      <c r="H290" s="127" t="s">
        <v>30</v>
      </c>
      <c r="I290" s="94">
        <v>38.86</v>
      </c>
      <c r="J290" s="18">
        <v>23664</v>
      </c>
      <c r="K290" s="5">
        <f>ROUNDUP(J290+(J290*$L$319),0)</f>
        <v>30764</v>
      </c>
      <c r="L290" s="6">
        <f t="shared" ref="L290:L293" si="152">ROUND(I290*K290,0)</f>
        <v>1195489</v>
      </c>
      <c r="M290" s="166"/>
      <c r="N290" s="168"/>
      <c r="O290" s="82"/>
      <c r="P290" s="4">
        <f t="shared" ref="P290:P293" si="153">ROUND(O290,0)</f>
        <v>0</v>
      </c>
      <c r="Q290" s="4">
        <f>ROUNDUP(P290+(P290*$R$319),0)</f>
        <v>0</v>
      </c>
      <c r="R290" s="53">
        <f>ROUND(Q290*I290,0)</f>
        <v>0</v>
      </c>
      <c r="S290" s="161" t="str">
        <f t="shared" ref="S290:S293" si="154">IF(OR(P290&lt;=0,P290&gt;J290,Q290&lt;=0,Q290&gt;K290,R290&lt;=0,R290&gt;L290,$R$325="NO CUMPLE"),"NO CUMPLE","CUMPLE")</f>
        <v>NO CUMPLE</v>
      </c>
      <c r="T290" s="52"/>
    </row>
    <row r="291" spans="1:20" ht="51" x14ac:dyDescent="0.35">
      <c r="A291" s="169"/>
      <c r="C291" s="98" t="s">
        <v>520</v>
      </c>
      <c r="D291" s="94" t="s">
        <v>22</v>
      </c>
      <c r="E291" s="94"/>
      <c r="F291" s="94"/>
      <c r="G291" s="126" t="s">
        <v>521</v>
      </c>
      <c r="H291" s="127" t="s">
        <v>16</v>
      </c>
      <c r="I291" s="94">
        <v>45</v>
      </c>
      <c r="J291" s="18">
        <v>26950</v>
      </c>
      <c r="K291" s="5">
        <f t="shared" ref="K291:K293" si="155">ROUND(J291+(J291*$L$319),0)</f>
        <v>35035</v>
      </c>
      <c r="L291" s="6">
        <f t="shared" si="152"/>
        <v>1576575</v>
      </c>
      <c r="M291" s="166"/>
      <c r="N291" s="168"/>
      <c r="O291" s="82"/>
      <c r="P291" s="4">
        <f t="shared" si="153"/>
        <v>0</v>
      </c>
      <c r="Q291" s="4">
        <f t="shared" ref="Q291:Q293" si="156">ROUND(P291+(P291*$R$319),0)</f>
        <v>0</v>
      </c>
      <c r="R291" s="53">
        <f>ROUND(Q291*I291,0)</f>
        <v>0</v>
      </c>
      <c r="S291" s="161" t="str">
        <f t="shared" si="154"/>
        <v>NO CUMPLE</v>
      </c>
      <c r="T291" s="52"/>
    </row>
    <row r="292" spans="1:20" ht="38.25" x14ac:dyDescent="0.35">
      <c r="A292" s="169"/>
      <c r="C292" s="98" t="s">
        <v>522</v>
      </c>
      <c r="D292" s="94" t="s">
        <v>22</v>
      </c>
      <c r="E292" s="94"/>
      <c r="F292" s="94"/>
      <c r="G292" s="126" t="s">
        <v>523</v>
      </c>
      <c r="H292" s="127" t="s">
        <v>16</v>
      </c>
      <c r="I292" s="94">
        <v>1</v>
      </c>
      <c r="J292" s="18">
        <v>232297</v>
      </c>
      <c r="K292" s="5">
        <f t="shared" si="155"/>
        <v>301986</v>
      </c>
      <c r="L292" s="6">
        <f t="shared" si="152"/>
        <v>301986</v>
      </c>
      <c r="M292" s="166"/>
      <c r="N292" s="168"/>
      <c r="O292" s="82"/>
      <c r="P292" s="4">
        <f t="shared" si="153"/>
        <v>0</v>
      </c>
      <c r="Q292" s="4">
        <f t="shared" si="156"/>
        <v>0</v>
      </c>
      <c r="R292" s="53">
        <f>ROUND(Q292*I292,0)</f>
        <v>0</v>
      </c>
      <c r="S292" s="161" t="str">
        <f t="shared" si="154"/>
        <v>NO CUMPLE</v>
      </c>
      <c r="T292" s="52"/>
    </row>
    <row r="293" spans="1:20" ht="38.25" x14ac:dyDescent="0.35">
      <c r="A293" s="169"/>
      <c r="C293" s="98" t="s">
        <v>524</v>
      </c>
      <c r="D293" s="94" t="s">
        <v>22</v>
      </c>
      <c r="E293" s="94"/>
      <c r="F293" s="94"/>
      <c r="G293" s="126" t="s">
        <v>525</v>
      </c>
      <c r="H293" s="127" t="s">
        <v>16</v>
      </c>
      <c r="I293" s="94">
        <v>4</v>
      </c>
      <c r="J293" s="18">
        <v>321398</v>
      </c>
      <c r="K293" s="5">
        <f t="shared" si="155"/>
        <v>417817</v>
      </c>
      <c r="L293" s="6">
        <f t="shared" si="152"/>
        <v>1671268</v>
      </c>
      <c r="M293" s="166"/>
      <c r="N293" s="168"/>
      <c r="O293" s="82"/>
      <c r="P293" s="4">
        <f t="shared" si="153"/>
        <v>0</v>
      </c>
      <c r="Q293" s="4">
        <f t="shared" si="156"/>
        <v>0</v>
      </c>
      <c r="R293" s="53">
        <f>ROUND(Q293*I293,0)</f>
        <v>0</v>
      </c>
      <c r="S293" s="161" t="str">
        <f t="shared" si="154"/>
        <v>NO CUMPLE</v>
      </c>
      <c r="T293" s="52"/>
    </row>
    <row r="294" spans="1:20" ht="16.5" x14ac:dyDescent="0.35">
      <c r="A294" s="169"/>
      <c r="C294" s="93"/>
      <c r="D294" s="99"/>
      <c r="E294" s="99"/>
      <c r="F294" s="99"/>
      <c r="G294" s="121" t="s">
        <v>40</v>
      </c>
      <c r="H294" s="101"/>
      <c r="I294" s="102"/>
      <c r="J294" s="4"/>
      <c r="K294" s="5"/>
      <c r="L294" s="7">
        <f>SUBTOTAL(9,L290:L293)</f>
        <v>4745318</v>
      </c>
      <c r="M294" s="166"/>
      <c r="N294" s="168"/>
      <c r="O294" s="82"/>
      <c r="P294" s="4"/>
      <c r="Q294" s="4"/>
      <c r="R294" s="54">
        <f>SUBTOTAL(9,R290:R293)</f>
        <v>0</v>
      </c>
      <c r="S294" s="55"/>
      <c r="T294" s="52"/>
    </row>
    <row r="295" spans="1:20" ht="13.15" x14ac:dyDescent="0.35">
      <c r="A295" s="169"/>
      <c r="C295" s="90">
        <v>19</v>
      </c>
      <c r="D295" s="263" t="s">
        <v>526</v>
      </c>
      <c r="E295" s="263"/>
      <c r="F295" s="263"/>
      <c r="G295" s="263"/>
      <c r="H295" s="114"/>
      <c r="I295" s="92"/>
      <c r="J295" s="11"/>
      <c r="K295" s="12"/>
      <c r="L295" s="13"/>
      <c r="M295" s="166"/>
      <c r="N295" s="168"/>
      <c r="O295" s="84"/>
      <c r="P295" s="11"/>
      <c r="Q295" s="11"/>
      <c r="R295" s="59"/>
      <c r="S295" s="60"/>
      <c r="T295" s="61"/>
    </row>
    <row r="296" spans="1:20" ht="89.25" x14ac:dyDescent="0.35">
      <c r="A296" s="169"/>
      <c r="C296" s="98" t="s">
        <v>527</v>
      </c>
      <c r="D296" s="94" t="s">
        <v>22</v>
      </c>
      <c r="E296" s="94"/>
      <c r="F296" s="94"/>
      <c r="G296" s="126" t="s">
        <v>528</v>
      </c>
      <c r="H296" s="127" t="s">
        <v>30</v>
      </c>
      <c r="I296" s="94">
        <v>395.41</v>
      </c>
      <c r="J296" s="18">
        <v>7067</v>
      </c>
      <c r="K296" s="5">
        <f t="shared" ref="K296:K297" si="157">ROUND(J296+(J296*$L$319),0)</f>
        <v>9187</v>
      </c>
      <c r="L296" s="6">
        <f t="shared" ref="L296:L297" si="158">ROUND(I296*K296,0)</f>
        <v>3632632</v>
      </c>
      <c r="M296" s="166"/>
      <c r="N296" s="168"/>
      <c r="O296" s="82"/>
      <c r="P296" s="4">
        <f t="shared" ref="P296:P297" si="159">ROUND(O296,0)</f>
        <v>0</v>
      </c>
      <c r="Q296" s="4">
        <f t="shared" ref="Q296:Q297" si="160">ROUND(P296+(P296*$R$319),0)</f>
        <v>0</v>
      </c>
      <c r="R296" s="53">
        <f>ROUND(Q296*I296,0)</f>
        <v>0</v>
      </c>
      <c r="S296" s="161" t="str">
        <f t="shared" ref="S296:S297" si="161">IF(OR(P296&lt;=0,P296&gt;J296,Q296&lt;=0,Q296&gt;K296,R296&lt;=0,R296&gt;L296,$R$325="NO CUMPLE"),"NO CUMPLE","CUMPLE")</f>
        <v>NO CUMPLE</v>
      </c>
      <c r="T296" s="52"/>
    </row>
    <row r="297" spans="1:20" ht="89.25" x14ac:dyDescent="0.35">
      <c r="A297" s="169"/>
      <c r="C297" s="98" t="s">
        <v>529</v>
      </c>
      <c r="D297" s="94" t="s">
        <v>22</v>
      </c>
      <c r="E297" s="94"/>
      <c r="F297" s="94"/>
      <c r="G297" s="126" t="s">
        <v>530</v>
      </c>
      <c r="H297" s="127" t="s">
        <v>30</v>
      </c>
      <c r="I297" s="94">
        <v>145.32</v>
      </c>
      <c r="J297" s="18">
        <v>4522</v>
      </c>
      <c r="K297" s="5">
        <f t="shared" si="157"/>
        <v>5879</v>
      </c>
      <c r="L297" s="6">
        <f t="shared" si="158"/>
        <v>854336</v>
      </c>
      <c r="M297" s="166"/>
      <c r="N297" s="168"/>
      <c r="O297" s="82"/>
      <c r="P297" s="4">
        <f t="shared" si="159"/>
        <v>0</v>
      </c>
      <c r="Q297" s="4">
        <f t="shared" si="160"/>
        <v>0</v>
      </c>
      <c r="R297" s="53">
        <f>ROUND(Q297*I297,0)</f>
        <v>0</v>
      </c>
      <c r="S297" s="161" t="str">
        <f t="shared" si="161"/>
        <v>NO CUMPLE</v>
      </c>
      <c r="T297" s="52"/>
    </row>
    <row r="298" spans="1:20" ht="16.5" x14ac:dyDescent="0.35">
      <c r="A298" s="169"/>
      <c r="C298" s="93"/>
      <c r="D298" s="99"/>
      <c r="E298" s="99"/>
      <c r="F298" s="99"/>
      <c r="G298" s="121" t="s">
        <v>40</v>
      </c>
      <c r="H298" s="101"/>
      <c r="I298" s="102"/>
      <c r="J298" s="4"/>
      <c r="K298" s="5"/>
      <c r="L298" s="7">
        <f>SUBTOTAL(9,L296:L297)</f>
        <v>4486968</v>
      </c>
      <c r="M298" s="166"/>
      <c r="N298" s="168"/>
      <c r="O298" s="82"/>
      <c r="P298" s="4"/>
      <c r="Q298" s="4"/>
      <c r="R298" s="54">
        <f>SUBTOTAL(9,R296:R297)</f>
        <v>0</v>
      </c>
      <c r="S298" s="55"/>
      <c r="T298" s="52"/>
    </row>
    <row r="299" spans="1:20" s="166" customFormat="1" ht="13.15" x14ac:dyDescent="0.35">
      <c r="A299" s="169"/>
      <c r="B299" s="168"/>
      <c r="C299" s="135">
        <v>20</v>
      </c>
      <c r="D299" s="265" t="s">
        <v>531</v>
      </c>
      <c r="E299" s="265"/>
      <c r="F299" s="265"/>
      <c r="G299" s="265"/>
      <c r="H299" s="136"/>
      <c r="I299" s="137"/>
      <c r="J299" s="25"/>
      <c r="K299" s="26"/>
      <c r="L299" s="27"/>
      <c r="N299" s="168"/>
      <c r="O299" s="87"/>
      <c r="P299" s="25"/>
      <c r="Q299" s="25"/>
      <c r="R299" s="66"/>
      <c r="S299" s="67"/>
      <c r="T299" s="68"/>
    </row>
    <row r="300" spans="1:20" ht="13.15" x14ac:dyDescent="0.35">
      <c r="A300" s="169"/>
      <c r="C300" s="110" t="s">
        <v>532</v>
      </c>
      <c r="D300" s="94" t="s">
        <v>22</v>
      </c>
      <c r="E300" s="94"/>
      <c r="F300" s="94"/>
      <c r="G300" s="126" t="s">
        <v>593</v>
      </c>
      <c r="H300" s="127" t="s">
        <v>24</v>
      </c>
      <c r="I300" s="94">
        <v>1</v>
      </c>
      <c r="J300" s="18">
        <v>4621849</v>
      </c>
      <c r="K300" s="5">
        <f>ROUND(J300+(J300*$L$321),0)</f>
        <v>5500000</v>
      </c>
      <c r="L300" s="6">
        <f t="shared" ref="L300" si="162">ROUND(I300*K300,0)</f>
        <v>5500000</v>
      </c>
      <c r="M300" s="166"/>
      <c r="N300" s="168"/>
      <c r="O300" s="82"/>
      <c r="P300" s="4">
        <f t="shared" ref="P300:P307" si="163">ROUND(O300,0)</f>
        <v>0</v>
      </c>
      <c r="Q300" s="4">
        <f>ROUND(P300+(P300*$R$321),0)</f>
        <v>0</v>
      </c>
      <c r="R300" s="53">
        <f t="shared" ref="R300:R307" si="164">ROUND(Q300*I300,0)</f>
        <v>0</v>
      </c>
      <c r="S300" s="161" t="str">
        <f t="shared" ref="S300:S307" si="165">IF(OR(P300&lt;=0,P300&gt;J300,Q300&lt;=0,Q300&gt;K300,R300&lt;=0,R300&gt;L300,$R$325="NO CUMPLE"),"NO CUMPLE","CUMPLE")</f>
        <v>NO CUMPLE</v>
      </c>
      <c r="T300" s="52"/>
    </row>
    <row r="301" spans="1:20" ht="13.15" x14ac:dyDescent="0.35">
      <c r="A301" s="169"/>
      <c r="C301" s="110" t="s">
        <v>533</v>
      </c>
      <c r="D301" s="94" t="s">
        <v>22</v>
      </c>
      <c r="E301" s="94"/>
      <c r="F301" s="94"/>
      <c r="G301" s="126" t="s">
        <v>594</v>
      </c>
      <c r="H301" s="127" t="s">
        <v>24</v>
      </c>
      <c r="I301" s="94">
        <v>1</v>
      </c>
      <c r="J301" s="18">
        <v>3781513</v>
      </c>
      <c r="K301" s="5">
        <f t="shared" ref="K301:K306" si="166">ROUND(J301+(J301*$L$321),0)</f>
        <v>4500000</v>
      </c>
      <c r="L301" s="6">
        <f t="shared" ref="L301:L307" si="167">ROUND(I301*K301,0)</f>
        <v>4500000</v>
      </c>
      <c r="M301" s="166"/>
      <c r="N301" s="168"/>
      <c r="O301" s="82"/>
      <c r="P301" s="4">
        <f t="shared" si="163"/>
        <v>0</v>
      </c>
      <c r="Q301" s="4">
        <f t="shared" ref="Q301:Q306" si="168">ROUND(P301+(P301*$R$321),0)</f>
        <v>0</v>
      </c>
      <c r="R301" s="53">
        <f t="shared" si="164"/>
        <v>0</v>
      </c>
      <c r="S301" s="161" t="str">
        <f t="shared" si="165"/>
        <v>NO CUMPLE</v>
      </c>
      <c r="T301" s="52"/>
    </row>
    <row r="302" spans="1:20" ht="13.15" x14ac:dyDescent="0.35">
      <c r="A302" s="169"/>
      <c r="C302" s="110" t="s">
        <v>534</v>
      </c>
      <c r="D302" s="94" t="s">
        <v>22</v>
      </c>
      <c r="E302" s="94"/>
      <c r="F302" s="94"/>
      <c r="G302" s="126" t="s">
        <v>595</v>
      </c>
      <c r="H302" s="127" t="s">
        <v>24</v>
      </c>
      <c r="I302" s="94">
        <v>9</v>
      </c>
      <c r="J302" s="18">
        <v>1319262</v>
      </c>
      <c r="K302" s="5">
        <f t="shared" si="166"/>
        <v>1569922</v>
      </c>
      <c r="L302" s="6">
        <f t="shared" si="167"/>
        <v>14129298</v>
      </c>
      <c r="M302" s="166"/>
      <c r="N302" s="168"/>
      <c r="O302" s="82"/>
      <c r="P302" s="4">
        <f t="shared" si="163"/>
        <v>0</v>
      </c>
      <c r="Q302" s="4">
        <f t="shared" si="168"/>
        <v>0</v>
      </c>
      <c r="R302" s="53">
        <f t="shared" si="164"/>
        <v>0</v>
      </c>
      <c r="S302" s="161" t="str">
        <f t="shared" si="165"/>
        <v>NO CUMPLE</v>
      </c>
      <c r="T302" s="52"/>
    </row>
    <row r="303" spans="1:20" ht="13.15" x14ac:dyDescent="0.35">
      <c r="A303" s="169"/>
      <c r="C303" s="110" t="s">
        <v>535</v>
      </c>
      <c r="D303" s="94" t="s">
        <v>22</v>
      </c>
      <c r="E303" s="94"/>
      <c r="F303" s="94"/>
      <c r="G303" s="126" t="s">
        <v>596</v>
      </c>
      <c r="H303" s="127" t="s">
        <v>24</v>
      </c>
      <c r="I303" s="94">
        <v>1</v>
      </c>
      <c r="J303" s="18">
        <v>2100840</v>
      </c>
      <c r="K303" s="5">
        <f t="shared" si="166"/>
        <v>2500000</v>
      </c>
      <c r="L303" s="6">
        <f t="shared" si="167"/>
        <v>2500000</v>
      </c>
      <c r="M303" s="166"/>
      <c r="N303" s="168"/>
      <c r="O303" s="82"/>
      <c r="P303" s="4">
        <f t="shared" si="163"/>
        <v>0</v>
      </c>
      <c r="Q303" s="4">
        <f t="shared" si="168"/>
        <v>0</v>
      </c>
      <c r="R303" s="53">
        <f t="shared" si="164"/>
        <v>0</v>
      </c>
      <c r="S303" s="161" t="str">
        <f t="shared" si="165"/>
        <v>NO CUMPLE</v>
      </c>
      <c r="T303" s="52"/>
    </row>
    <row r="304" spans="1:20" ht="13.15" x14ac:dyDescent="0.35">
      <c r="A304" s="169"/>
      <c r="C304" s="110" t="s">
        <v>536</v>
      </c>
      <c r="D304" s="94" t="s">
        <v>22</v>
      </c>
      <c r="E304" s="94"/>
      <c r="F304" s="94"/>
      <c r="G304" s="126" t="s">
        <v>537</v>
      </c>
      <c r="H304" s="127" t="s">
        <v>16</v>
      </c>
      <c r="I304" s="94">
        <v>1</v>
      </c>
      <c r="J304" s="18">
        <v>1260504</v>
      </c>
      <c r="K304" s="5">
        <f t="shared" si="166"/>
        <v>1500000</v>
      </c>
      <c r="L304" s="6">
        <f t="shared" si="167"/>
        <v>1500000</v>
      </c>
      <c r="M304" s="166"/>
      <c r="N304" s="168"/>
      <c r="O304" s="82"/>
      <c r="P304" s="4">
        <f t="shared" si="163"/>
        <v>0</v>
      </c>
      <c r="Q304" s="4">
        <f t="shared" si="168"/>
        <v>0</v>
      </c>
      <c r="R304" s="53">
        <f t="shared" si="164"/>
        <v>0</v>
      </c>
      <c r="S304" s="161" t="str">
        <f t="shared" si="165"/>
        <v>NO CUMPLE</v>
      </c>
      <c r="T304" s="52"/>
    </row>
    <row r="305" spans="1:20" ht="13.15" x14ac:dyDescent="0.35">
      <c r="A305" s="169"/>
      <c r="C305" s="110" t="s">
        <v>538</v>
      </c>
      <c r="D305" s="94" t="s">
        <v>22</v>
      </c>
      <c r="E305" s="94"/>
      <c r="F305" s="94"/>
      <c r="G305" s="126" t="s">
        <v>539</v>
      </c>
      <c r="H305" s="127" t="s">
        <v>16</v>
      </c>
      <c r="I305" s="94">
        <v>1</v>
      </c>
      <c r="J305" s="18">
        <v>798319</v>
      </c>
      <c r="K305" s="5">
        <f t="shared" si="166"/>
        <v>950000</v>
      </c>
      <c r="L305" s="6">
        <f t="shared" si="167"/>
        <v>950000</v>
      </c>
      <c r="M305" s="166"/>
      <c r="N305" s="168"/>
      <c r="O305" s="82"/>
      <c r="P305" s="4">
        <f t="shared" si="163"/>
        <v>0</v>
      </c>
      <c r="Q305" s="4">
        <f t="shared" si="168"/>
        <v>0</v>
      </c>
      <c r="R305" s="53">
        <f t="shared" si="164"/>
        <v>0</v>
      </c>
      <c r="S305" s="161" t="str">
        <f t="shared" si="165"/>
        <v>NO CUMPLE</v>
      </c>
      <c r="T305" s="52"/>
    </row>
    <row r="306" spans="1:20" ht="13.15" x14ac:dyDescent="0.35">
      <c r="A306" s="169"/>
      <c r="C306" s="110" t="s">
        <v>540</v>
      </c>
      <c r="D306" s="94" t="s">
        <v>22</v>
      </c>
      <c r="E306" s="94"/>
      <c r="F306" s="94"/>
      <c r="G306" s="126" t="s">
        <v>541</v>
      </c>
      <c r="H306" s="127" t="s">
        <v>16</v>
      </c>
      <c r="I306" s="94">
        <v>1</v>
      </c>
      <c r="J306" s="18">
        <v>2100840</v>
      </c>
      <c r="K306" s="5">
        <f t="shared" si="166"/>
        <v>2500000</v>
      </c>
      <c r="L306" s="6">
        <f t="shared" si="167"/>
        <v>2500000</v>
      </c>
      <c r="M306" s="166"/>
      <c r="N306" s="168"/>
      <c r="O306" s="82"/>
      <c r="P306" s="4">
        <f t="shared" si="163"/>
        <v>0</v>
      </c>
      <c r="Q306" s="4">
        <f t="shared" si="168"/>
        <v>0</v>
      </c>
      <c r="R306" s="53">
        <f t="shared" si="164"/>
        <v>0</v>
      </c>
      <c r="S306" s="161" t="str">
        <f t="shared" si="165"/>
        <v>NO CUMPLE</v>
      </c>
      <c r="T306" s="52"/>
    </row>
    <row r="307" spans="1:20" ht="13.15" x14ac:dyDescent="0.35">
      <c r="A307" s="169"/>
      <c r="C307" s="110" t="s">
        <v>542</v>
      </c>
      <c r="D307" s="94" t="s">
        <v>22</v>
      </c>
      <c r="E307" s="94"/>
      <c r="F307" s="94"/>
      <c r="G307" s="126" t="s">
        <v>543</v>
      </c>
      <c r="H307" s="127" t="s">
        <v>24</v>
      </c>
      <c r="I307" s="94">
        <v>3</v>
      </c>
      <c r="J307" s="18">
        <v>450260</v>
      </c>
      <c r="K307" s="5">
        <f>ROUNDUP(J307+(J307*$L$321),0)</f>
        <v>535810</v>
      </c>
      <c r="L307" s="6">
        <f t="shared" si="167"/>
        <v>1607430</v>
      </c>
      <c r="M307" s="166"/>
      <c r="N307" s="168"/>
      <c r="O307" s="82"/>
      <c r="P307" s="4">
        <f t="shared" si="163"/>
        <v>0</v>
      </c>
      <c r="Q307" s="4">
        <f>ROUNDUP(P307+(P307*$R$321),0)</f>
        <v>0</v>
      </c>
      <c r="R307" s="53">
        <f t="shared" si="164"/>
        <v>0</v>
      </c>
      <c r="S307" s="161" t="str">
        <f t="shared" si="165"/>
        <v>NO CUMPLE</v>
      </c>
      <c r="T307" s="52"/>
    </row>
    <row r="308" spans="1:20" ht="16.899999999999999" thickBot="1" x14ac:dyDescent="0.4">
      <c r="A308" s="169"/>
      <c r="C308" s="138"/>
      <c r="D308" s="139"/>
      <c r="E308" s="139"/>
      <c r="F308" s="139"/>
      <c r="G308" s="140" t="s">
        <v>40</v>
      </c>
      <c r="H308" s="141"/>
      <c r="I308" s="142"/>
      <c r="J308" s="28"/>
      <c r="K308" s="29"/>
      <c r="L308" s="7">
        <f>SUBTOTAL(9,L300:L307)</f>
        <v>33186728</v>
      </c>
      <c r="M308" s="166"/>
      <c r="N308" s="168"/>
      <c r="O308" s="175"/>
      <c r="P308" s="162"/>
      <c r="Q308" s="162"/>
      <c r="R308" s="69">
        <f>SUBTOTAL(9,R300:R307)</f>
        <v>0</v>
      </c>
      <c r="S308" s="163"/>
      <c r="T308" s="166"/>
    </row>
    <row r="309" spans="1:20" ht="13.5" thickBot="1" x14ac:dyDescent="0.4">
      <c r="A309" s="169"/>
      <c r="C309" s="143"/>
      <c r="G309" s="145"/>
      <c r="H309" s="146"/>
      <c r="I309" s="30"/>
      <c r="J309" s="31"/>
      <c r="K309" s="31"/>
      <c r="L309" s="32"/>
      <c r="M309" s="166"/>
      <c r="N309" s="168"/>
      <c r="O309" s="176"/>
      <c r="P309" s="166"/>
      <c r="Q309" s="166"/>
      <c r="R309" s="166"/>
      <c r="S309" s="177"/>
      <c r="T309" s="166"/>
    </row>
    <row r="310" spans="1:20" s="149" customFormat="1" ht="14.25" customHeight="1" x14ac:dyDescent="0.4">
      <c r="B310" s="178"/>
      <c r="C310" s="147"/>
      <c r="D310" s="148"/>
      <c r="G310" s="241" t="s">
        <v>544</v>
      </c>
      <c r="H310" s="242"/>
      <c r="I310" s="242"/>
      <c r="J310" s="242"/>
      <c r="K310" s="243"/>
      <c r="L310" s="33">
        <f>SUBTOTAL(9,L21:L298)</f>
        <v>1019598277</v>
      </c>
      <c r="N310" s="168"/>
      <c r="O310" s="217" t="s">
        <v>544</v>
      </c>
      <c r="P310" s="218"/>
      <c r="Q310" s="218"/>
      <c r="R310" s="33">
        <f>SUBTOTAL(9,R21:R298)</f>
        <v>0</v>
      </c>
      <c r="S310" s="177"/>
      <c r="T310" s="166"/>
    </row>
    <row r="311" spans="1:20" s="149" customFormat="1" ht="13.15" x14ac:dyDescent="0.4">
      <c r="B311" s="178"/>
      <c r="C311" s="147"/>
      <c r="D311" s="148"/>
      <c r="G311" s="244" t="s">
        <v>545</v>
      </c>
      <c r="H311" s="245"/>
      <c r="I311" s="245"/>
      <c r="J311" s="245"/>
      <c r="K311" s="246"/>
      <c r="L311" s="27">
        <f>SUBTOTAL(9,L300:L308)</f>
        <v>33186728</v>
      </c>
      <c r="N311" s="168"/>
      <c r="O311" s="219" t="s">
        <v>545</v>
      </c>
      <c r="P311" s="220"/>
      <c r="Q311" s="220"/>
      <c r="R311" s="27">
        <f>SUBTOTAL(9,R300:R308)</f>
        <v>0</v>
      </c>
      <c r="S311" s="177"/>
      <c r="T311" s="166"/>
    </row>
    <row r="312" spans="1:20" s="149" customFormat="1" ht="14.65" customHeight="1" thickBot="1" x14ac:dyDescent="0.45">
      <c r="B312" s="178"/>
      <c r="C312" s="147"/>
      <c r="D312" s="148"/>
      <c r="G312" s="247" t="s">
        <v>546</v>
      </c>
      <c r="H312" s="248"/>
      <c r="I312" s="248"/>
      <c r="J312" s="248"/>
      <c r="K312" s="249"/>
      <c r="L312" s="34">
        <f>SUM(L310:L311)</f>
        <v>1052785005</v>
      </c>
      <c r="N312" s="168"/>
      <c r="O312" s="221" t="s">
        <v>546</v>
      </c>
      <c r="P312" s="222"/>
      <c r="Q312" s="222"/>
      <c r="R312" s="34">
        <f>SUM(R310:R311)</f>
        <v>0</v>
      </c>
      <c r="S312" s="177"/>
      <c r="T312" s="166"/>
    </row>
    <row r="313" spans="1:20" s="149" customFormat="1" ht="13.5" thickBot="1" x14ac:dyDescent="0.4">
      <c r="B313" s="178"/>
      <c r="C313" s="150"/>
      <c r="D313" s="151"/>
      <c r="E313" s="151"/>
      <c r="F313" s="151"/>
      <c r="G313" s="152"/>
      <c r="H313" s="152"/>
      <c r="I313" s="153"/>
      <c r="J313" s="35"/>
      <c r="K313" s="35"/>
      <c r="L313" s="36"/>
      <c r="N313" s="168"/>
      <c r="O313" s="176"/>
      <c r="P313" s="166"/>
      <c r="Q313" s="166"/>
      <c r="R313" s="166"/>
      <c r="S313" s="177"/>
      <c r="T313" s="166"/>
    </row>
    <row r="314" spans="1:20" s="149" customFormat="1" ht="13.5" thickBot="1" x14ac:dyDescent="0.4">
      <c r="B314" s="178"/>
      <c r="C314" s="154"/>
      <c r="D314" s="239"/>
      <c r="E314" s="239"/>
      <c r="F314" s="239"/>
      <c r="G314" s="239"/>
      <c r="H314" s="239"/>
      <c r="I314" s="239"/>
      <c r="J314" s="239"/>
      <c r="K314" s="239"/>
      <c r="L314" s="240"/>
      <c r="N314" s="168"/>
      <c r="O314" s="179"/>
      <c r="S314" s="177"/>
      <c r="T314" s="166"/>
    </row>
    <row r="315" spans="1:20" s="149" customFormat="1" ht="13.15" x14ac:dyDescent="0.35">
      <c r="B315" s="178"/>
      <c r="C315" s="250" t="s">
        <v>547</v>
      </c>
      <c r="D315" s="251"/>
      <c r="E315" s="251"/>
      <c r="F315" s="251"/>
      <c r="G315" s="251"/>
      <c r="H315" s="252"/>
      <c r="I315" s="253" t="s">
        <v>548</v>
      </c>
      <c r="J315" s="254"/>
      <c r="K315" s="155"/>
      <c r="L315" s="37" t="s">
        <v>549</v>
      </c>
      <c r="N315" s="168"/>
      <c r="O315" s="229" t="s">
        <v>548</v>
      </c>
      <c r="P315" s="230"/>
      <c r="Q315" s="155"/>
      <c r="R315" s="37" t="s">
        <v>549</v>
      </c>
      <c r="S315" s="177"/>
      <c r="T315" s="166"/>
    </row>
    <row r="316" spans="1:20" s="149" customFormat="1" ht="25.9" customHeight="1" x14ac:dyDescent="0.35">
      <c r="B316" s="178"/>
      <c r="C316" s="255" t="s">
        <v>550</v>
      </c>
      <c r="D316" s="256"/>
      <c r="E316" s="256"/>
      <c r="F316" s="256"/>
      <c r="G316" s="256"/>
      <c r="H316" s="257"/>
      <c r="I316" s="231" t="s">
        <v>551</v>
      </c>
      <c r="J316" s="232"/>
      <c r="K316" s="38" t="s">
        <v>552</v>
      </c>
      <c r="L316" s="39">
        <v>0.26</v>
      </c>
      <c r="N316" s="168"/>
      <c r="O316" s="223" t="s">
        <v>551</v>
      </c>
      <c r="P316" s="224"/>
      <c r="Q316" s="38" t="s">
        <v>552</v>
      </c>
      <c r="R316" s="88"/>
      <c r="S316" s="177"/>
      <c r="T316" s="166"/>
    </row>
    <row r="317" spans="1:20" s="149" customFormat="1" ht="13.5" thickBot="1" x14ac:dyDescent="0.4">
      <c r="B317" s="178"/>
      <c r="C317" s="258" t="s">
        <v>553</v>
      </c>
      <c r="D317" s="259"/>
      <c r="E317" s="259"/>
      <c r="F317" s="259"/>
      <c r="G317" s="259"/>
      <c r="H317" s="260"/>
      <c r="I317" s="231" t="s">
        <v>554</v>
      </c>
      <c r="J317" s="232"/>
      <c r="K317" s="38" t="s">
        <v>555</v>
      </c>
      <c r="L317" s="39">
        <v>0.01</v>
      </c>
      <c r="N317" s="168"/>
      <c r="O317" s="223" t="s">
        <v>554</v>
      </c>
      <c r="P317" s="224"/>
      <c r="Q317" s="38" t="s">
        <v>555</v>
      </c>
      <c r="R317" s="88"/>
      <c r="S317" s="177"/>
      <c r="T317" s="166"/>
    </row>
    <row r="318" spans="1:20" s="149" customFormat="1" ht="27.75" customHeight="1" thickBot="1" x14ac:dyDescent="0.4">
      <c r="B318" s="178"/>
      <c r="C318" s="258" t="s">
        <v>619</v>
      </c>
      <c r="D318" s="259"/>
      <c r="E318" s="259"/>
      <c r="F318" s="259"/>
      <c r="G318" s="259"/>
      <c r="H318" s="260"/>
      <c r="I318" s="231" t="s">
        <v>556</v>
      </c>
      <c r="J318" s="232"/>
      <c r="K318" s="38" t="s">
        <v>557</v>
      </c>
      <c r="L318" s="39">
        <v>0.03</v>
      </c>
      <c r="N318" s="168"/>
      <c r="O318" s="223" t="s">
        <v>556</v>
      </c>
      <c r="P318" s="224"/>
      <c r="Q318" s="38" t="s">
        <v>557</v>
      </c>
      <c r="R318" s="88"/>
      <c r="S318" s="177"/>
      <c r="T318" s="166"/>
    </row>
    <row r="319" spans="1:20" s="166" customFormat="1" ht="27.75" customHeight="1" thickBot="1" x14ac:dyDescent="0.4">
      <c r="B319" s="168"/>
      <c r="C319" s="258" t="s">
        <v>620</v>
      </c>
      <c r="D319" s="259"/>
      <c r="E319" s="259"/>
      <c r="F319" s="259"/>
      <c r="G319" s="259"/>
      <c r="H319" s="260"/>
      <c r="I319" s="233" t="s">
        <v>558</v>
      </c>
      <c r="J319" s="234"/>
      <c r="K319" s="40" t="s">
        <v>559</v>
      </c>
      <c r="L319" s="41">
        <f>SUM(L316:L318)</f>
        <v>0.30000000000000004</v>
      </c>
      <c r="N319" s="168"/>
      <c r="O319" s="227" t="s">
        <v>558</v>
      </c>
      <c r="P319" s="228"/>
      <c r="Q319" s="40" t="s">
        <v>559</v>
      </c>
      <c r="R319" s="41">
        <f>SUM(R316:R318)</f>
        <v>0</v>
      </c>
      <c r="S319" s="177"/>
    </row>
    <row r="320" spans="1:20" s="166" customFormat="1" ht="13.5" thickBot="1" x14ac:dyDescent="0.4">
      <c r="B320" s="168"/>
      <c r="C320" s="156"/>
      <c r="D320" s="157"/>
      <c r="E320" s="157"/>
      <c r="F320" s="157"/>
      <c r="G320" s="157"/>
      <c r="H320" s="159"/>
      <c r="I320" s="160"/>
      <c r="J320" s="42"/>
      <c r="K320" s="42"/>
      <c r="L320" s="43"/>
      <c r="N320" s="168"/>
      <c r="O320" s="176"/>
      <c r="S320" s="177"/>
    </row>
    <row r="321" spans="2:20" s="166" customFormat="1" ht="14.65" customHeight="1" thickBot="1" x14ac:dyDescent="0.4">
      <c r="B321" s="168"/>
      <c r="C321" s="156"/>
      <c r="D321" s="157"/>
      <c r="E321" s="157"/>
      <c r="F321" s="157"/>
      <c r="G321" s="157"/>
      <c r="H321" s="158"/>
      <c r="I321" s="261" t="s">
        <v>597</v>
      </c>
      <c r="J321" s="262"/>
      <c r="K321" s="44" t="s">
        <v>598</v>
      </c>
      <c r="L321" s="45">
        <v>0.19</v>
      </c>
      <c r="N321" s="168"/>
      <c r="O321" s="225" t="s">
        <v>597</v>
      </c>
      <c r="P321" s="226"/>
      <c r="Q321" s="44" t="s">
        <v>598</v>
      </c>
      <c r="R321" s="45">
        <v>0.19</v>
      </c>
      <c r="S321" s="177"/>
    </row>
    <row r="322" spans="2:20" s="166" customFormat="1" ht="13.15" thickBot="1" x14ac:dyDescent="0.4">
      <c r="B322" s="168"/>
      <c r="C322" s="180"/>
      <c r="D322" s="181"/>
      <c r="E322" s="182"/>
      <c r="F322" s="181"/>
      <c r="G322" s="181"/>
      <c r="H322" s="181"/>
      <c r="I322" s="183"/>
      <c r="J322" s="35"/>
      <c r="K322" s="35"/>
      <c r="L322" s="70"/>
      <c r="N322" s="168"/>
      <c r="O322" s="176"/>
      <c r="S322" s="177"/>
    </row>
    <row r="323" spans="2:20" s="166" customFormat="1" ht="14.25" customHeight="1" x14ac:dyDescent="0.35">
      <c r="B323" s="168"/>
      <c r="C323" s="184"/>
      <c r="E323" s="167"/>
      <c r="I323" s="185"/>
      <c r="J323" s="71"/>
      <c r="K323" s="71"/>
      <c r="L323" s="72"/>
      <c r="M323" s="169"/>
      <c r="N323" s="168"/>
      <c r="O323" s="205" t="s">
        <v>604</v>
      </c>
      <c r="P323" s="206"/>
      <c r="Q323" s="186">
        <f>R312</f>
        <v>0</v>
      </c>
      <c r="R323" s="187" t="str">
        <f>IF(OR(Q323&lt;=0,Q323&gt;$L$312),"NO CUMPLE","CUMPLE")</f>
        <v>NO CUMPLE</v>
      </c>
      <c r="S323" s="177"/>
    </row>
    <row r="324" spans="2:20" s="166" customFormat="1" ht="13.15" x14ac:dyDescent="0.35">
      <c r="B324" s="168"/>
      <c r="C324" s="184"/>
      <c r="E324" s="167"/>
      <c r="I324" s="185"/>
      <c r="J324" s="71"/>
      <c r="K324" s="71"/>
      <c r="L324" s="72"/>
      <c r="M324" s="169"/>
      <c r="N324" s="168"/>
      <c r="O324" s="208" t="s">
        <v>618</v>
      </c>
      <c r="P324" s="209"/>
      <c r="Q324" s="210"/>
      <c r="R324" s="161" t="str">
        <f>IF(COUNTIF(S21:S308,"NO CUMPLE")&gt;0,"NO CUMPLE","CUMPLE")</f>
        <v>NO CUMPLE</v>
      </c>
      <c r="S324" s="177"/>
    </row>
    <row r="325" spans="2:20" s="166" customFormat="1" ht="14.65" customHeight="1" thickBot="1" x14ac:dyDescent="0.45">
      <c r="B325" s="168"/>
      <c r="C325" s="184"/>
      <c r="D325" s="188"/>
      <c r="H325" s="188"/>
      <c r="I325" s="185"/>
      <c r="J325" s="71"/>
      <c r="K325" s="71"/>
      <c r="L325" s="72"/>
      <c r="M325" s="169"/>
      <c r="N325" s="168"/>
      <c r="O325" s="211" t="s">
        <v>606</v>
      </c>
      <c r="P325" s="212"/>
      <c r="Q325" s="213"/>
      <c r="R325" s="189" t="str">
        <f>IF(OR(R316&lt;=0,R316&gt;$L$319,R317&lt;=0,R317&gt;L319,R318&lt;=0,R318&gt;L319,R319&lt;=0,R319&gt;L319,R321&lt;&gt;L321),"NO CUMPLE","CUMPLE")</f>
        <v>NO CUMPLE</v>
      </c>
      <c r="S325" s="177"/>
    </row>
    <row r="326" spans="2:20" s="166" customFormat="1" ht="13.5" thickBot="1" x14ac:dyDescent="0.45">
      <c r="B326" s="168"/>
      <c r="C326" s="184"/>
      <c r="D326" s="188"/>
      <c r="H326" s="188"/>
      <c r="I326" s="185"/>
      <c r="J326" s="71"/>
      <c r="K326" s="71"/>
      <c r="L326" s="72"/>
      <c r="M326" s="169"/>
      <c r="N326" s="168"/>
      <c r="O326" s="190"/>
      <c r="P326" s="172"/>
      <c r="Q326" s="172"/>
      <c r="R326" s="172"/>
      <c r="S326" s="177"/>
    </row>
    <row r="327" spans="2:20" s="166" customFormat="1" ht="14.65" customHeight="1" thickBot="1" x14ac:dyDescent="0.45">
      <c r="B327" s="168"/>
      <c r="C327" s="184"/>
      <c r="D327" s="188"/>
      <c r="H327" s="188"/>
      <c r="I327" s="185"/>
      <c r="J327" s="71"/>
      <c r="K327" s="71"/>
      <c r="L327" s="72"/>
      <c r="M327" s="169"/>
      <c r="N327" s="168"/>
      <c r="O327" s="214" t="s">
        <v>605</v>
      </c>
      <c r="P327" s="215"/>
      <c r="Q327" s="216"/>
      <c r="R327" s="191" t="str">
        <f>IF(AND(R323="CUMPLE",R324="CUMPLE",R325="CUMPLE"),"HABILITADO","NO HABILITADO")</f>
        <v>NO HABILITADO</v>
      </c>
      <c r="S327" s="192"/>
    </row>
    <row r="328" spans="2:20" s="166" customFormat="1" ht="13.15" x14ac:dyDescent="0.4">
      <c r="B328" s="168"/>
      <c r="C328" s="184"/>
      <c r="D328" s="188"/>
      <c r="H328" s="188"/>
      <c r="I328" s="185"/>
      <c r="J328" s="71"/>
      <c r="K328" s="71"/>
      <c r="L328" s="72"/>
      <c r="M328" s="169"/>
      <c r="N328" s="168"/>
    </row>
    <row r="329" spans="2:20" s="166" customFormat="1" x14ac:dyDescent="0.35">
      <c r="B329" s="168"/>
      <c r="C329" s="184"/>
      <c r="E329" s="167"/>
      <c r="I329" s="185"/>
      <c r="J329" s="71"/>
      <c r="K329" s="71"/>
      <c r="L329" s="72"/>
      <c r="M329" s="169"/>
      <c r="N329" s="168"/>
      <c r="O329" s="80"/>
      <c r="P329" s="80"/>
      <c r="Q329" s="80"/>
      <c r="R329" s="80"/>
      <c r="S329" s="80"/>
      <c r="T329" s="80"/>
    </row>
    <row r="330" spans="2:20" s="166" customFormat="1" ht="13.15" x14ac:dyDescent="0.4">
      <c r="B330" s="168"/>
      <c r="C330" s="184"/>
      <c r="D330" s="238"/>
      <c r="E330" s="238"/>
      <c r="H330" s="238"/>
      <c r="I330" s="238"/>
      <c r="J330" s="238"/>
      <c r="K330" s="193"/>
      <c r="L330" s="72"/>
      <c r="M330" s="169"/>
      <c r="N330" s="168"/>
      <c r="O330" s="80"/>
      <c r="P330" s="80"/>
      <c r="Q330" s="80"/>
      <c r="R330" s="80"/>
      <c r="S330" s="80"/>
      <c r="T330" s="80"/>
    </row>
    <row r="331" spans="2:20" s="166" customFormat="1" ht="13.15" x14ac:dyDescent="0.35">
      <c r="B331" s="168"/>
      <c r="C331" s="184"/>
      <c r="D331" s="235"/>
      <c r="E331" s="235"/>
      <c r="H331" s="236"/>
      <c r="I331" s="236"/>
      <c r="J331" s="236"/>
      <c r="K331" s="167"/>
      <c r="L331" s="72"/>
      <c r="M331" s="169"/>
      <c r="N331" s="168"/>
      <c r="O331" s="269" t="s">
        <v>615</v>
      </c>
      <c r="P331" s="269"/>
      <c r="Q331" s="80"/>
      <c r="R331" s="80"/>
      <c r="S331" s="80"/>
      <c r="T331" s="80"/>
    </row>
    <row r="332" spans="2:20" s="166" customFormat="1" x14ac:dyDescent="0.35">
      <c r="B332" s="168"/>
      <c r="C332" s="184"/>
      <c r="D332" s="235"/>
      <c r="E332" s="235"/>
      <c r="H332" s="237"/>
      <c r="I332" s="237"/>
      <c r="J332" s="237"/>
      <c r="K332" s="184"/>
      <c r="L332" s="72"/>
      <c r="M332" s="169"/>
      <c r="N332" s="168"/>
      <c r="O332" s="270" t="s">
        <v>616</v>
      </c>
      <c r="P332" s="270"/>
      <c r="Q332" s="80"/>
      <c r="R332" s="80"/>
      <c r="S332" s="80"/>
      <c r="T332" s="80"/>
    </row>
    <row r="333" spans="2:20" s="166" customFormat="1" x14ac:dyDescent="0.35">
      <c r="B333" s="168"/>
      <c r="C333" s="184"/>
      <c r="D333" s="237"/>
      <c r="E333" s="237"/>
      <c r="H333" s="236"/>
      <c r="I333" s="236"/>
      <c r="J333" s="236"/>
      <c r="K333" s="167"/>
      <c r="L333" s="72"/>
      <c r="M333" s="169"/>
      <c r="N333" s="168"/>
      <c r="O333" s="270" t="s">
        <v>617</v>
      </c>
      <c r="P333" s="270"/>
      <c r="Q333" s="80"/>
      <c r="R333" s="80"/>
      <c r="S333" s="80"/>
      <c r="T333" s="80"/>
    </row>
    <row r="334" spans="2:20" s="166" customFormat="1" x14ac:dyDescent="0.35">
      <c r="B334" s="168"/>
      <c r="C334" s="184"/>
      <c r="D334" s="236"/>
      <c r="E334" s="236"/>
      <c r="H334" s="236"/>
      <c r="I334" s="236"/>
      <c r="J334" s="236"/>
      <c r="K334" s="167"/>
      <c r="L334" s="72"/>
      <c r="M334" s="169"/>
      <c r="N334" s="168"/>
      <c r="O334" s="80"/>
      <c r="P334" s="80"/>
      <c r="Q334" s="80"/>
      <c r="R334" s="80"/>
      <c r="S334" s="80"/>
      <c r="T334" s="80"/>
    </row>
    <row r="335" spans="2:20" s="166" customFormat="1" ht="13.15" thickBot="1" x14ac:dyDescent="0.4">
      <c r="B335" s="194"/>
      <c r="C335" s="195"/>
      <c r="D335" s="196"/>
      <c r="E335" s="197"/>
      <c r="F335" s="196"/>
      <c r="G335" s="73"/>
      <c r="H335" s="196"/>
      <c r="I335" s="198"/>
      <c r="J335" s="74"/>
      <c r="K335" s="74"/>
      <c r="L335" s="75"/>
      <c r="M335" s="199"/>
      <c r="N335" s="168"/>
      <c r="O335" s="301"/>
      <c r="P335" s="301"/>
      <c r="Q335" s="301"/>
      <c r="R335" s="301"/>
      <c r="S335" s="301"/>
      <c r="T335" s="80"/>
    </row>
    <row r="336" spans="2:20" s="166" customFormat="1" ht="13.15" thickTop="1" x14ac:dyDescent="0.35">
      <c r="C336" s="184"/>
      <c r="E336" s="167"/>
      <c r="I336" s="185"/>
      <c r="J336" s="76"/>
      <c r="K336" s="76"/>
      <c r="L336" s="77"/>
      <c r="M336" s="78"/>
      <c r="O336" s="302"/>
      <c r="P336" s="302"/>
      <c r="Q336" s="302"/>
      <c r="R336" s="302"/>
      <c r="S336" s="302"/>
      <c r="T336" s="80"/>
    </row>
    <row r="337" spans="15:20" x14ac:dyDescent="0.45">
      <c r="O337" s="79"/>
      <c r="P337" s="79"/>
      <c r="Q337" s="79"/>
      <c r="R337" s="79"/>
      <c r="S337" s="79"/>
      <c r="T337" s="79"/>
    </row>
  </sheetData>
  <sheetProtection algorithmName="SHA-512" hashValue="0ZaPDSCLKXz2EaMl0Zx6l+LIa5jSNCBYzcCPKg+PXbu0ms1K575sFFUNOhzGgKXKsREojB0uelSvlBsyU0Fi2w==" saltValue="kT+4sb/VJDOWyLF1s2CDsA==" spinCount="100000" sheet="1" objects="1" scenarios="1"/>
  <mergeCells count="101">
    <mergeCell ref="O335:S335"/>
    <mergeCell ref="C318:H318"/>
    <mergeCell ref="C319:H319"/>
    <mergeCell ref="O331:P331"/>
    <mergeCell ref="O332:P332"/>
    <mergeCell ref="O333:P333"/>
    <mergeCell ref="B5:F12"/>
    <mergeCell ref="G5:H12"/>
    <mergeCell ref="I5:M12"/>
    <mergeCell ref="C13:L13"/>
    <mergeCell ref="C14:L15"/>
    <mergeCell ref="C16:L16"/>
    <mergeCell ref="C17:L17"/>
    <mergeCell ref="C18:C19"/>
    <mergeCell ref="D18:D19"/>
    <mergeCell ref="E18:F18"/>
    <mergeCell ref="G18:G19"/>
    <mergeCell ref="H18:H19"/>
    <mergeCell ref="I18:I19"/>
    <mergeCell ref="J18:J19"/>
    <mergeCell ref="K18:K19"/>
    <mergeCell ref="L18:L19"/>
    <mergeCell ref="D59:G59"/>
    <mergeCell ref="D60:G60"/>
    <mergeCell ref="D67:G67"/>
    <mergeCell ref="D68:G68"/>
    <mergeCell ref="D74:G74"/>
    <mergeCell ref="D77:G77"/>
    <mergeCell ref="D20:G20"/>
    <mergeCell ref="D30:G30"/>
    <mergeCell ref="D36:G36"/>
    <mergeCell ref="D37:G37"/>
    <mergeCell ref="D45:G45"/>
    <mergeCell ref="D56:G56"/>
    <mergeCell ref="D299:G299"/>
    <mergeCell ref="D152:G152"/>
    <mergeCell ref="D81:G81"/>
    <mergeCell ref="D85:G85"/>
    <mergeCell ref="D86:G86"/>
    <mergeCell ref="D100:G100"/>
    <mergeCell ref="D104:G104"/>
    <mergeCell ref="D105:G105"/>
    <mergeCell ref="D110:G110"/>
    <mergeCell ref="D116:G116"/>
    <mergeCell ref="D122:G122"/>
    <mergeCell ref="D130:G130"/>
    <mergeCell ref="D131:G131"/>
    <mergeCell ref="D295:G295"/>
    <mergeCell ref="D169:G169"/>
    <mergeCell ref="D183:G183"/>
    <mergeCell ref="D195:G195"/>
    <mergeCell ref="D199:G199"/>
    <mergeCell ref="D214:G214"/>
    <mergeCell ref="D220:G220"/>
    <mergeCell ref="D226:G226"/>
    <mergeCell ref="D231:G231"/>
    <mergeCell ref="D248:G248"/>
    <mergeCell ref="D267:G267"/>
    <mergeCell ref="D289:G289"/>
    <mergeCell ref="D314:L314"/>
    <mergeCell ref="G310:K310"/>
    <mergeCell ref="G311:K311"/>
    <mergeCell ref="G312:K312"/>
    <mergeCell ref="C315:H315"/>
    <mergeCell ref="I315:J315"/>
    <mergeCell ref="D333:E333"/>
    <mergeCell ref="H333:J333"/>
    <mergeCell ref="D334:E334"/>
    <mergeCell ref="H334:J334"/>
    <mergeCell ref="D330:E330"/>
    <mergeCell ref="H330:J330"/>
    <mergeCell ref="D332:E332"/>
    <mergeCell ref="H332:J332"/>
    <mergeCell ref="I316:J316"/>
    <mergeCell ref="I317:J317"/>
    <mergeCell ref="I318:J318"/>
    <mergeCell ref="I319:J319"/>
    <mergeCell ref="D331:E331"/>
    <mergeCell ref="H331:J331"/>
    <mergeCell ref="C316:H316"/>
    <mergeCell ref="C317:H317"/>
    <mergeCell ref="I321:J321"/>
    <mergeCell ref="O324:Q324"/>
    <mergeCell ref="O325:Q325"/>
    <mergeCell ref="O327:Q327"/>
    <mergeCell ref="O310:Q310"/>
    <mergeCell ref="O311:Q311"/>
    <mergeCell ref="O312:Q312"/>
    <mergeCell ref="O318:P318"/>
    <mergeCell ref="O321:P321"/>
    <mergeCell ref="O319:P319"/>
    <mergeCell ref="O315:P315"/>
    <mergeCell ref="O316:P316"/>
    <mergeCell ref="O317:P317"/>
    <mergeCell ref="Q18:Q19"/>
    <mergeCell ref="R18:R19"/>
    <mergeCell ref="S18:S19"/>
    <mergeCell ref="O17:S17"/>
    <mergeCell ref="O323:P323"/>
    <mergeCell ref="O18:O19"/>
    <mergeCell ref="P18:P19"/>
  </mergeCells>
  <phoneticPr fontId="9" type="noConversion"/>
  <conditionalFormatting sqref="R327">
    <cfRule type="containsText" dxfId="71" priority="135" operator="containsText" text="NO HABILITADO">
      <formula>NOT(ISERROR(SEARCH("NO HABILITADO",R327)))</formula>
    </cfRule>
    <cfRule type="containsText" dxfId="70" priority="136" operator="containsText" text="HABILITADO">
      <formula>NOT(ISERROR(SEARCH("HABILITADO",R327)))</formula>
    </cfRule>
  </conditionalFormatting>
  <conditionalFormatting sqref="S21:S28">
    <cfRule type="containsText" dxfId="69" priority="133" operator="containsText" text="NO CUMPLE">
      <formula>NOT(ISERROR(SEARCH("NO CUMPLE",S21)))</formula>
    </cfRule>
    <cfRule type="containsText" dxfId="68" priority="134" operator="containsText" text="CUMPLE">
      <formula>NOT(ISERROR(SEARCH("CUMPLE",S21)))</formula>
    </cfRule>
  </conditionalFormatting>
  <conditionalFormatting sqref="S31:S34">
    <cfRule type="containsText" dxfId="67" priority="67" operator="containsText" text="NO CUMPLE">
      <formula>NOT(ISERROR(SEARCH("NO CUMPLE",S31)))</formula>
    </cfRule>
    <cfRule type="containsText" dxfId="66" priority="68" operator="containsText" text="CUMPLE">
      <formula>NOT(ISERROR(SEARCH("CUMPLE",S31)))</formula>
    </cfRule>
  </conditionalFormatting>
  <conditionalFormatting sqref="S38:S43">
    <cfRule type="containsText" dxfId="65" priority="63" operator="containsText" text="NO CUMPLE">
      <formula>NOT(ISERROR(SEARCH("NO CUMPLE",S38)))</formula>
    </cfRule>
    <cfRule type="containsText" dxfId="64" priority="64" operator="containsText" text="CUMPLE">
      <formula>NOT(ISERROR(SEARCH("CUMPLE",S38)))</formula>
    </cfRule>
  </conditionalFormatting>
  <conditionalFormatting sqref="S46:S54">
    <cfRule type="containsText" dxfId="63" priority="61" operator="containsText" text="NO CUMPLE">
      <formula>NOT(ISERROR(SEARCH("NO CUMPLE",S46)))</formula>
    </cfRule>
    <cfRule type="containsText" dxfId="62" priority="62" operator="containsText" text="CUMPLE">
      <formula>NOT(ISERROR(SEARCH("CUMPLE",S46)))</formula>
    </cfRule>
  </conditionalFormatting>
  <conditionalFormatting sqref="S57">
    <cfRule type="containsText" dxfId="61" priority="59" operator="containsText" text="NO CUMPLE">
      <formula>NOT(ISERROR(SEARCH("NO CUMPLE",S57)))</formula>
    </cfRule>
    <cfRule type="containsText" dxfId="60" priority="60" operator="containsText" text="CUMPLE">
      <formula>NOT(ISERROR(SEARCH("CUMPLE",S57)))</formula>
    </cfRule>
  </conditionalFormatting>
  <conditionalFormatting sqref="S61:S65">
    <cfRule type="containsText" dxfId="59" priority="57" operator="containsText" text="NO CUMPLE">
      <formula>NOT(ISERROR(SEARCH("NO CUMPLE",S61)))</formula>
    </cfRule>
    <cfRule type="containsText" dxfId="58" priority="58" operator="containsText" text="CUMPLE">
      <formula>NOT(ISERROR(SEARCH("CUMPLE",S61)))</formula>
    </cfRule>
  </conditionalFormatting>
  <conditionalFormatting sqref="S69:S72">
    <cfRule type="containsText" dxfId="57" priority="55" operator="containsText" text="NO CUMPLE">
      <formula>NOT(ISERROR(SEARCH("NO CUMPLE",S69)))</formula>
    </cfRule>
    <cfRule type="containsText" dxfId="56" priority="56" operator="containsText" text="CUMPLE">
      <formula>NOT(ISERROR(SEARCH("CUMPLE",S69)))</formula>
    </cfRule>
  </conditionalFormatting>
  <conditionalFormatting sqref="S75">
    <cfRule type="containsText" dxfId="55" priority="53" operator="containsText" text="NO CUMPLE">
      <formula>NOT(ISERROR(SEARCH("NO CUMPLE",S75)))</formula>
    </cfRule>
    <cfRule type="containsText" dxfId="54" priority="54" operator="containsText" text="CUMPLE">
      <formula>NOT(ISERROR(SEARCH("CUMPLE",S75)))</formula>
    </cfRule>
  </conditionalFormatting>
  <conditionalFormatting sqref="S78:S79">
    <cfRule type="containsText" dxfId="53" priority="51" operator="containsText" text="NO CUMPLE">
      <formula>NOT(ISERROR(SEARCH("NO CUMPLE",S78)))</formula>
    </cfRule>
    <cfRule type="containsText" dxfId="52" priority="52" operator="containsText" text="CUMPLE">
      <formula>NOT(ISERROR(SEARCH("CUMPLE",S78)))</formula>
    </cfRule>
  </conditionalFormatting>
  <conditionalFormatting sqref="S82:S83">
    <cfRule type="containsText" dxfId="51" priority="49" operator="containsText" text="NO CUMPLE">
      <formula>NOT(ISERROR(SEARCH("NO CUMPLE",S82)))</formula>
    </cfRule>
    <cfRule type="containsText" dxfId="50" priority="50" operator="containsText" text="CUMPLE">
      <formula>NOT(ISERROR(SEARCH("CUMPLE",S82)))</formula>
    </cfRule>
  </conditionalFormatting>
  <conditionalFormatting sqref="S87:S98">
    <cfRule type="containsText" dxfId="49" priority="47" operator="containsText" text="NO CUMPLE">
      <formula>NOT(ISERROR(SEARCH("NO CUMPLE",S87)))</formula>
    </cfRule>
    <cfRule type="containsText" dxfId="48" priority="48" operator="containsText" text="CUMPLE">
      <formula>NOT(ISERROR(SEARCH("CUMPLE",S87)))</formula>
    </cfRule>
  </conditionalFormatting>
  <conditionalFormatting sqref="S101:S102">
    <cfRule type="containsText" dxfId="47" priority="45" operator="containsText" text="NO CUMPLE">
      <formula>NOT(ISERROR(SEARCH("NO CUMPLE",S101)))</formula>
    </cfRule>
    <cfRule type="containsText" dxfId="46" priority="46" operator="containsText" text="CUMPLE">
      <formula>NOT(ISERROR(SEARCH("CUMPLE",S101)))</formula>
    </cfRule>
  </conditionalFormatting>
  <conditionalFormatting sqref="S106:S108">
    <cfRule type="containsText" dxfId="45" priority="43" operator="containsText" text="NO CUMPLE">
      <formula>NOT(ISERROR(SEARCH("NO CUMPLE",S106)))</formula>
    </cfRule>
    <cfRule type="containsText" dxfId="44" priority="44" operator="containsText" text="CUMPLE">
      <formula>NOT(ISERROR(SEARCH("CUMPLE",S106)))</formula>
    </cfRule>
  </conditionalFormatting>
  <conditionalFormatting sqref="S111:S114">
    <cfRule type="containsText" dxfId="43" priority="41" operator="containsText" text="NO CUMPLE">
      <formula>NOT(ISERROR(SEARCH("NO CUMPLE",S111)))</formula>
    </cfRule>
    <cfRule type="containsText" dxfId="42" priority="42" operator="containsText" text="CUMPLE">
      <formula>NOT(ISERROR(SEARCH("CUMPLE",S111)))</formula>
    </cfRule>
  </conditionalFormatting>
  <conditionalFormatting sqref="S117:S120">
    <cfRule type="containsText" dxfId="41" priority="39" operator="containsText" text="NO CUMPLE">
      <formula>NOT(ISERROR(SEARCH("NO CUMPLE",S117)))</formula>
    </cfRule>
    <cfRule type="containsText" dxfId="40" priority="40" operator="containsText" text="CUMPLE">
      <formula>NOT(ISERROR(SEARCH("CUMPLE",S117)))</formula>
    </cfRule>
  </conditionalFormatting>
  <conditionalFormatting sqref="S123:S128">
    <cfRule type="containsText" dxfId="39" priority="37" operator="containsText" text="NO CUMPLE">
      <formula>NOT(ISERROR(SEARCH("NO CUMPLE",S123)))</formula>
    </cfRule>
    <cfRule type="containsText" dxfId="38" priority="38" operator="containsText" text="CUMPLE">
      <formula>NOT(ISERROR(SEARCH("CUMPLE",S123)))</formula>
    </cfRule>
  </conditionalFormatting>
  <conditionalFormatting sqref="S132:S150">
    <cfRule type="containsText" dxfId="37" priority="35" operator="containsText" text="NO CUMPLE">
      <formula>NOT(ISERROR(SEARCH("NO CUMPLE",S132)))</formula>
    </cfRule>
    <cfRule type="containsText" dxfId="36" priority="36" operator="containsText" text="CUMPLE">
      <formula>NOT(ISERROR(SEARCH("CUMPLE",S132)))</formula>
    </cfRule>
  </conditionalFormatting>
  <conditionalFormatting sqref="S153:S167">
    <cfRule type="containsText" dxfId="35" priority="33" operator="containsText" text="NO CUMPLE">
      <formula>NOT(ISERROR(SEARCH("NO CUMPLE",S153)))</formula>
    </cfRule>
    <cfRule type="containsText" dxfId="34" priority="34" operator="containsText" text="CUMPLE">
      <formula>NOT(ISERROR(SEARCH("CUMPLE",S153)))</formula>
    </cfRule>
  </conditionalFormatting>
  <conditionalFormatting sqref="S170:S181">
    <cfRule type="containsText" dxfId="33" priority="31" operator="containsText" text="NO CUMPLE">
      <formula>NOT(ISERROR(SEARCH("NO CUMPLE",S170)))</formula>
    </cfRule>
    <cfRule type="containsText" dxfId="32" priority="32" operator="containsText" text="CUMPLE">
      <formula>NOT(ISERROR(SEARCH("CUMPLE",S170)))</formula>
    </cfRule>
  </conditionalFormatting>
  <conditionalFormatting sqref="S184:S193">
    <cfRule type="containsText" dxfId="31" priority="29" operator="containsText" text="NO CUMPLE">
      <formula>NOT(ISERROR(SEARCH("NO CUMPLE",S184)))</formula>
    </cfRule>
    <cfRule type="containsText" dxfId="30" priority="30" operator="containsText" text="CUMPLE">
      <formula>NOT(ISERROR(SEARCH("CUMPLE",S184)))</formula>
    </cfRule>
  </conditionalFormatting>
  <conditionalFormatting sqref="S196:S197">
    <cfRule type="containsText" dxfId="29" priority="27" operator="containsText" text="NO CUMPLE">
      <formula>NOT(ISERROR(SEARCH("NO CUMPLE",S196)))</formula>
    </cfRule>
    <cfRule type="containsText" dxfId="28" priority="28" operator="containsText" text="CUMPLE">
      <formula>NOT(ISERROR(SEARCH("CUMPLE",S196)))</formula>
    </cfRule>
  </conditionalFormatting>
  <conditionalFormatting sqref="S200:S212">
    <cfRule type="containsText" dxfId="27" priority="25" operator="containsText" text="NO CUMPLE">
      <formula>NOT(ISERROR(SEARCH("NO CUMPLE",S200)))</formula>
    </cfRule>
    <cfRule type="containsText" dxfId="26" priority="26" operator="containsText" text="CUMPLE">
      <formula>NOT(ISERROR(SEARCH("CUMPLE",S200)))</formula>
    </cfRule>
  </conditionalFormatting>
  <conditionalFormatting sqref="S215:S218">
    <cfRule type="containsText" dxfId="25" priority="23" operator="containsText" text="NO CUMPLE">
      <formula>NOT(ISERROR(SEARCH("NO CUMPLE",S215)))</formula>
    </cfRule>
    <cfRule type="containsText" dxfId="24" priority="24" operator="containsText" text="CUMPLE">
      <formula>NOT(ISERROR(SEARCH("CUMPLE",S215)))</formula>
    </cfRule>
  </conditionalFormatting>
  <conditionalFormatting sqref="S221:S224">
    <cfRule type="containsText" dxfId="23" priority="21" operator="containsText" text="NO CUMPLE">
      <formula>NOT(ISERROR(SEARCH("NO CUMPLE",S221)))</formula>
    </cfRule>
    <cfRule type="containsText" dxfId="22" priority="22" operator="containsText" text="CUMPLE">
      <formula>NOT(ISERROR(SEARCH("CUMPLE",S221)))</formula>
    </cfRule>
  </conditionalFormatting>
  <conditionalFormatting sqref="S227:S229">
    <cfRule type="containsText" dxfId="21" priority="19" operator="containsText" text="NO CUMPLE">
      <formula>NOT(ISERROR(SEARCH("NO CUMPLE",S227)))</formula>
    </cfRule>
    <cfRule type="containsText" dxfId="20" priority="20" operator="containsText" text="CUMPLE">
      <formula>NOT(ISERROR(SEARCH("CUMPLE",S227)))</formula>
    </cfRule>
  </conditionalFormatting>
  <conditionalFormatting sqref="S232:S246">
    <cfRule type="containsText" dxfId="19" priority="17" operator="containsText" text="NO CUMPLE">
      <formula>NOT(ISERROR(SEARCH("NO CUMPLE",S232)))</formula>
    </cfRule>
    <cfRule type="containsText" dxfId="18" priority="18" operator="containsText" text="CUMPLE">
      <formula>NOT(ISERROR(SEARCH("CUMPLE",S232)))</formula>
    </cfRule>
  </conditionalFormatting>
  <conditionalFormatting sqref="S249:S262">
    <cfRule type="containsText" dxfId="17" priority="15" operator="containsText" text="NO CUMPLE">
      <formula>NOT(ISERROR(SEARCH("NO CUMPLE",S249)))</formula>
    </cfRule>
    <cfRule type="containsText" dxfId="16" priority="16" operator="containsText" text="CUMPLE">
      <formula>NOT(ISERROR(SEARCH("CUMPLE",S249)))</formula>
    </cfRule>
  </conditionalFormatting>
  <conditionalFormatting sqref="S265">
    <cfRule type="containsText" dxfId="15" priority="1" operator="containsText" text="NO CUMPLE">
      <formula>NOT(ISERROR(SEARCH("NO CUMPLE",S265)))</formula>
    </cfRule>
    <cfRule type="containsText" dxfId="14" priority="2" operator="containsText" text="CUMPLE">
      <formula>NOT(ISERROR(SEARCH("CUMPLE",S265)))</formula>
    </cfRule>
  </conditionalFormatting>
  <conditionalFormatting sqref="S268:S282">
    <cfRule type="containsText" dxfId="13" priority="13" operator="containsText" text="NO CUMPLE">
      <formula>NOT(ISERROR(SEARCH("NO CUMPLE",S268)))</formula>
    </cfRule>
    <cfRule type="containsText" dxfId="12" priority="14" operator="containsText" text="CUMPLE">
      <formula>NOT(ISERROR(SEARCH("CUMPLE",S268)))</formula>
    </cfRule>
  </conditionalFormatting>
  <conditionalFormatting sqref="S285:S287">
    <cfRule type="containsText" dxfId="11" priority="9" operator="containsText" text="NO CUMPLE">
      <formula>NOT(ISERROR(SEARCH("NO CUMPLE",S285)))</formula>
    </cfRule>
    <cfRule type="containsText" dxfId="10" priority="10" operator="containsText" text="CUMPLE">
      <formula>NOT(ISERROR(SEARCH("CUMPLE",S285)))</formula>
    </cfRule>
  </conditionalFormatting>
  <conditionalFormatting sqref="S290:S293">
    <cfRule type="containsText" dxfId="9" priority="7" operator="containsText" text="NO CUMPLE">
      <formula>NOT(ISERROR(SEARCH("NO CUMPLE",S290)))</formula>
    </cfRule>
    <cfRule type="containsText" dxfId="8" priority="8" operator="containsText" text="CUMPLE">
      <formula>NOT(ISERROR(SEARCH("CUMPLE",S290)))</formula>
    </cfRule>
  </conditionalFormatting>
  <conditionalFormatting sqref="S296:S297">
    <cfRule type="containsText" dxfId="7" priority="5" operator="containsText" text="NO CUMPLE">
      <formula>NOT(ISERROR(SEARCH("NO CUMPLE",S296)))</formula>
    </cfRule>
    <cfRule type="containsText" dxfId="6" priority="6" operator="containsText" text="CUMPLE">
      <formula>NOT(ISERROR(SEARCH("CUMPLE",S296)))</formula>
    </cfRule>
  </conditionalFormatting>
  <conditionalFormatting sqref="S300:S307">
    <cfRule type="containsText" dxfId="5" priority="3" operator="containsText" text="NO CUMPLE">
      <formula>NOT(ISERROR(SEARCH("NO CUMPLE",S300)))</formula>
    </cfRule>
    <cfRule type="containsText" dxfId="4" priority="4" operator="containsText" text="CUMPLE">
      <formula>NOT(ISERROR(SEARCH("CUMPLE",S300)))</formula>
    </cfRule>
  </conditionalFormatting>
  <conditionalFormatting sqref="S322:S324 R322:R325">
    <cfRule type="containsText" dxfId="3" priority="137" operator="containsText" text="NO CUMPLE">
      <formula>NOT(ISERROR(SEARCH("NO CUMPLE",R322)))</formula>
    </cfRule>
    <cfRule type="containsText" dxfId="2" priority="138" operator="containsText" text="CUMPLE">
      <formula>NOT(ISERROR(SEARCH("CUMPLE",R322)))</formula>
    </cfRule>
  </conditionalFormatting>
  <conditionalFormatting sqref="S326">
    <cfRule type="containsText" dxfId="1" priority="143" operator="containsText" text="NO HABILITADO">
      <formula>NOT(ISERROR(SEARCH("NO HABILITADO",S326)))</formula>
    </cfRule>
    <cfRule type="containsText" dxfId="0" priority="144" operator="containsText" text="HABILITADO">
      <formula>NOT(ISERROR(SEARCH("HABILITADO",S326)))</formula>
    </cfRule>
  </conditionalFormatting>
  <pageMargins left="0.70866141732283472" right="0.70866141732283472" top="0.74803149606299213" bottom="0.74803149606299213" header="0.31496062992125984" footer="0.31496062992125984"/>
  <pageSetup paperSize="145" scale="22" fitToHeight="0" orientation="portrait" r:id="rId1"/>
  <rowBreaks count="2" manualBreakCount="2">
    <brk id="290" max="21" man="1"/>
    <brk id="308" max="2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Oferta Economica</vt:lpstr>
      <vt:lpstr>'Oferta Economica'!Área_de_impresión</vt:lpstr>
      <vt:lpstr>'Oferta Economica'!Títulos_a_imprimir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Jairo Gomez Rodriguez</dc:creator>
  <cp:lastModifiedBy>Jairo Gomez Rodriguez</cp:lastModifiedBy>
  <cp:lastPrinted>2026-08-11T02:10:04Z</cp:lastPrinted>
  <dcterms:created xsi:type="dcterms:W3CDTF">2026-08-06T22:48:29Z</dcterms:created>
  <dcterms:modified xsi:type="dcterms:W3CDTF">2026-09-10T03:06:24Z</dcterms:modified>
</cp:coreProperties>
</file>